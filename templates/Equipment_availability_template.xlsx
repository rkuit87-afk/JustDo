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36" yWindow="1668" windowWidth="11712" windowHeight="6120" tabRatio="600" firstSheet="4" activeTab="4" autoFilterDateGrouping="1"/>
  </bookViews>
  <sheets>
    <sheet name="Production line availability" sheetId="1" state="hidden" r:id="rId1"/>
    <sheet name="Equipment reliability-Feb26" sheetId="2" state="hidden" r:id="rId2"/>
    <sheet name="KPI Dashboard" sheetId="3" state="visible" r:id="rId3"/>
    <sheet name="Reliability Eng Dashboard" sheetId="4" state="visible" r:id="rId4"/>
    <sheet name="Reliability KPIs" sheetId="5" state="visible" r:id="rId5"/>
    <sheet name="Failure modes" sheetId="6" state="visible" r:id="rId6"/>
    <sheet name="Daily Downtime log" sheetId="7" state="visible" r:id="rId7"/>
    <sheet name="Boiler operations" sheetId="8" state="visible" r:id="rId8"/>
    <sheet name="Generator runtime" sheetId="9" state="visible" r:id="rId9"/>
    <sheet name="Compressor runtime" sheetId="10" state="visible" r:id="rId10"/>
    <sheet name="Firewater pump runtime" sheetId="11" state="visible" r:id="rId11"/>
    <sheet name="Equipment Register" sheetId="12" state="visible" r:id="rId12"/>
  </sheets>
  <definedNames/>
  <calcPr calcId="191029" fullCalcOnLoad="1"/>
  <pivotCaches>
    <pivotCache cacheId="1" r:id="rId13"/>
    <pivotCache cacheId="2" r:id="rId14"/>
    <pivotCache cacheId="0" r:id="rId15"/>
  </pivotCaches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2">
    <font>
      <name val="Times New Roman"/>
      <family val="2"/>
      <color theme="1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2"/>
      <color theme="1"/>
      <sz val="9"/>
    </font>
    <font>
      <name val="Times New Roman"/>
      <family val="1"/>
      <color theme="1"/>
      <sz val="9"/>
    </font>
    <font>
      <name val="Aptos Narrow"/>
      <family val="2"/>
      <color indexed="8"/>
      <sz val="9"/>
    </font>
    <font>
      <name val="Times New Roman"/>
      <family val="1"/>
      <color indexed="8"/>
      <sz val="9"/>
    </font>
    <font>
      <name val="Times New Roman"/>
      <family val="2"/>
      <sz val="8"/>
    </font>
    <font>
      <name val="Times New Roman"/>
      <family val="2"/>
      <b val="1"/>
      <color theme="0"/>
      <sz val="9"/>
    </font>
    <font>
      <name val="Century Gothic"/>
      <family val="2"/>
      <b val="1"/>
      <color rgb="FF000000"/>
      <sz val="9"/>
    </font>
    <font>
      <name val="Century Gothic"/>
      <family val="2"/>
      <color rgb="FF000000"/>
      <sz val="8"/>
    </font>
    <font>
      <name val="Century Gothic"/>
      <family val="2"/>
      <sz val="8"/>
    </font>
    <font>
      <name val="Aptos Narrow"/>
      <family val="2"/>
      <color rgb="FF000000"/>
      <sz val="8"/>
    </font>
    <font>
      <name val="Century Gothic"/>
      <family val="2"/>
      <b val="1"/>
      <color rgb="FF000000"/>
      <sz val="8"/>
    </font>
    <font>
      <name val="Century Gothic"/>
      <family val="2"/>
      <b val="1"/>
      <color rgb="FFFF0000"/>
      <sz val="8"/>
    </font>
    <font>
      <name val="Century Gothic"/>
      <family val="2"/>
      <b val="1"/>
      <sz val="8"/>
    </font>
    <font>
      <name val="Century Gothic"/>
      <family val="2"/>
      <b val="1"/>
      <color rgb="FF145F82"/>
      <sz val="8"/>
    </font>
    <font>
      <name val="Century Gothic"/>
      <family val="2"/>
      <color rgb="FF145F82"/>
      <sz val="8"/>
    </font>
    <font>
      <name val="Aptos Narrow"/>
      <family val="2"/>
      <color rgb="FF000000"/>
      <sz val="11"/>
    </font>
    <font>
      <name val="Century Gothic"/>
      <family val="2"/>
      <color rgb="FFFFFFFF"/>
      <sz val="8"/>
    </font>
    <font>
      <name val="Century Gothic"/>
      <family val="2"/>
      <b val="1"/>
      <color rgb="FF0F4762"/>
      <sz val="8"/>
    </font>
    <font>
      <name val="Aptos Narrow"/>
      <family val="2"/>
      <sz val="11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rgb="FF145F82"/>
        <bgColor rgb="FF000000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3" fillId="0" borderId="0"/>
    <xf numFmtId="9" fontId="3" fillId="0" borderId="0"/>
  </cellStyleXfs>
  <cellXfs count="119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1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9" fontId="0" fillId="0" borderId="0" pivotButton="0" quotePrefix="0" xfId="0"/>
    <xf numFmtId="0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8" fillId="2" borderId="1" pivotButton="0" quotePrefix="0" xfId="0"/>
    <xf numFmtId="0" fontId="8" fillId="2" borderId="1" applyProtection="1" pivotButton="0" quotePrefix="0" xfId="0">
      <protection locked="0" hidden="0"/>
    </xf>
    <xf numFmtId="0" fontId="8" fillId="2" borderId="2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8" fillId="2" borderId="3" applyProtection="1" pivotButton="0" quotePrefix="0" xfId="0">
      <protection locked="0" hidden="0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" fontId="11" fillId="0" borderId="7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3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10" fontId="11" fillId="0" borderId="7" applyAlignment="1" pivotButton="0" quotePrefix="0" xfId="0">
      <alignment horizontal="center" vertical="center"/>
    </xf>
    <xf numFmtId="9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vertical="center" wrapText="1"/>
    </xf>
    <xf numFmtId="0" fontId="11" fillId="0" borderId="7" applyAlignment="1" pivotButton="0" quotePrefix="0" xfId="0">
      <alignment vertical="center"/>
    </xf>
    <xf numFmtId="3" fontId="11" fillId="0" borderId="10" applyAlignment="1" pivotButton="0" quotePrefix="0" xfId="0">
      <alignment horizontal="center" vertical="center"/>
    </xf>
    <xf numFmtId="0" fontId="18" fillId="0" borderId="0" pivotButton="0" quotePrefix="0" xfId="0"/>
    <xf numFmtId="0" fontId="18" fillId="0" borderId="11" pivotButton="0" quotePrefix="0" xfId="0"/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9" fontId="19" fillId="4" borderId="7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10" fontId="11" fillId="5" borderId="7" applyAlignment="1" pivotButton="0" quotePrefix="0" xfId="0">
      <alignment horizontal="center" vertical="center"/>
    </xf>
    <xf numFmtId="9" fontId="11" fillId="5" borderId="7" applyAlignment="1" pivotButton="0" quotePrefix="0" xfId="0">
      <alignment horizontal="center" vertical="center"/>
    </xf>
    <xf numFmtId="9" fontId="11" fillId="0" borderId="7" applyAlignment="1" pivotButton="0" quotePrefix="0" xfId="1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4" fontId="11" fillId="0" borderId="7" applyAlignment="1" pivotButton="0" quotePrefix="0" xfId="0">
      <alignment horizontal="center" vertical="center"/>
    </xf>
    <xf numFmtId="4" fontId="11" fillId="0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4" fontId="11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 wrapText="1"/>
    </xf>
    <xf numFmtId="4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 wrapText="1"/>
    </xf>
    <xf numFmtId="2" fontId="13" fillId="0" borderId="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4" fontId="15" fillId="0" borderId="7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2" fontId="0" fillId="0" borderId="7" pivotButton="0" quotePrefix="0" xfId="0"/>
    <xf numFmtId="9" fontId="0" fillId="0" borderId="7" pivotButton="0" quotePrefix="0" xfId="0"/>
    <xf numFmtId="9" fontId="0" fillId="0" borderId="7" pivotButton="0" quotePrefix="0" xfId="1"/>
    <xf numFmtId="0" fontId="9" fillId="3" borderId="4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9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3" pivotButton="0" quotePrefix="0" xfId="0"/>
  </cellXfs>
  <cellStyles count="2">
    <cellStyle name="Normal" xfId="0" builtinId="0"/>
    <cellStyle name="Percent" xfId="1" builtinId="5"/>
  </cellStyles>
  <dxfs count="35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0" formatCode="General"/>
    </dxf>
    <dxf>
      <protection locked="0" hidden="0"/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alignment horizontal="left" vertical="top" wrapText="1"/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fill>
        <patternFill>
          <fgColor indexed="64"/>
          <bgColor indexed="65"/>
        </patternFill>
      </fill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</dxf>
    <dxf>
      <font>
        <name val="Times New Roman"/>
        <family val="1"/>
        <strike val="0"/>
        <outline val="0"/>
        <shadow val="0"/>
        <condense val="0"/>
        <color indexed="8"/>
        <extend val="0"/>
        <sz val="9"/>
        <vertAlign val="baseline"/>
      </font>
      <fill>
        <patternFill>
          <fgColor indexed="64"/>
          <bgColor indexed="65"/>
        </patternFill>
      </fill>
    </dxf>
    <dxf>
      <protection locked="0" hidden="0"/>
    </dxf>
    <dxf>
      <protection locked="0" hidden="0"/>
    </dxf>
    <dxf>
      <numFmt numFmtId="2" formatCode="0.00"/>
    </dxf>
    <dxf>
      <numFmt numFmtId="2" formatCode="0.00"/>
      <protection locked="0" hidden="0"/>
    </dxf>
    <dxf>
      <numFmt numFmtId="2" formatCode="0.00"/>
      <protection locked="0" hidden="0"/>
    </dxf>
    <dxf>
      <numFmt numFmtId="2" formatCode="0.00"/>
    </dxf>
    <dxf>
      <protection locked="0" hidden="0"/>
    </dxf>
    <dxf>
      <numFmt numFmtId="2" formatCode="0.00"/>
    </dxf>
    <dxf>
      <numFmt numFmtId="164" formatCode="[$-F400]h:mm:ss\ AM/PM"/>
      <protection locked="0" hidden="0"/>
    </dxf>
    <dxf>
      <numFmt numFmtId="164" formatCode="[$-F400]h:mm:ss\ AM/PM"/>
      <protection locked="0" hidden="0"/>
    </dxf>
    <dxf>
      <protection locked="0" hidden="0"/>
    </dxf>
    <dxf>
      <protection locked="0" hidden="0"/>
    </dxf>
    <dxf>
      <numFmt numFmtId="19" formatCode="yyyy/mm/dd"/>
      <protection locked="0" hidden="0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font>
        <name val="Times New Roman"/>
        <family val="2"/>
        <b val="1"/>
        <strike val="0"/>
        <outline val="0"/>
        <shadow val="0"/>
        <condense val="0"/>
        <color theme="0"/>
        <extend val="0"/>
        <sz val="9"/>
        <vertAlign val="baseline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pivotCacheDefinition" Target="/xl/pivotCache/pivotCacheDefinition3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pivotSource>
    <name>[Equipment_availability_template.xlsx]KPI Dashboard!PivotTable8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Wetmill Downtime</a:t>
            </a:r>
            <a:r>
              <a:rPr lang="en-US" baseline="0"/>
              <a:t xml:space="preserve"> Ratio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3934030952380952"/>
          <y val="0.0429365079365079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0"/>
          <showCatName val="0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2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3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4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5"/>
        <spPr>
          <a:solidFill>
            <a:schemeClr val="accent1"/>
          </a:solidFill>
          <a:ln>
            <a:noFill/>
            <a:prstDash val="solid"/>
          </a:ln>
          <a:sp3d/>
        </spPr>
      </pivotFmt>
    </pivotFmts>
    <plotArea>
      <layout/>
      <pie3DChart>
        <varyColors val="1"/>
        <ser>
          <idx val="0"/>
          <order val="0"/>
          <tx>
            <strRef>
              <f>'KPI Dashboard'!$B$69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/>
            </spPr>
          </dPt>
          <dLbls>
            <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'KPI Dashboard'!$A$70</f>
              <strCache>
                <ptCount val="1"/>
                <pt idx="0">
                  <v>Grand Total</v>
                </pt>
              </strCache>
            </strRef>
          </cat>
          <val>
            <numRef>
              <f>'KPI Dashboard'!$B$70</f>
              <numCache>
                <formatCode>General</formatCode>
                <ptCount val="1"/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165555555555556"/>
          <y val="0.001494841269841258"/>
          <w val="0.1743730158730159"/>
          <h val="0.2705133597883598"/>
        </manualLayout>
      </layout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[Equipment_availability_template.xlsx]KPI Dashboard!PivotTable2</name>
    <fmtId val="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Drymill Downtime Ration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>
            <a:schemeClr val="accent1"/>
          </a:soli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0"/>
          <showCatName val="0"/>
          <showSerName val="0"/>
          <showPercent val="1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2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3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4"/>
        <spPr>
          <a:solidFill>
            <a:schemeClr val="accent1"/>
          </a:solidFill>
          <a:ln>
            <a:noFill/>
            <a:prstDash val="solid"/>
          </a:ln>
          <a:sp3d/>
        </spPr>
      </pivotFmt>
      <pivotFmt>
        <idx val="5"/>
        <spPr>
          <a:solidFill>
            <a:schemeClr val="accent1"/>
          </a:solidFill>
          <a:ln>
            <a:noFill/>
            <a:prstDash val="solid"/>
          </a:ln>
          <a:sp3d/>
        </spPr>
      </pivotFmt>
    </pivotFmts>
    <plotArea>
      <layout/>
      <pie3DChart>
        <varyColors val="1"/>
        <ser>
          <idx val="0"/>
          <order val="0"/>
          <tx>
            <strRef>
              <f>'KPI Dashboard'!$B$78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/>
            </spPr>
          </dPt>
          <dLbls>
            <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'KPI Dashboard'!$A$79</f>
              <strCache>
                <ptCount val="1"/>
                <pt idx="0">
                  <v>Grand Total</v>
                </pt>
              </strCache>
            </strRef>
          </cat>
          <val>
            <numRef>
              <f>'KPI Dashboard'!$B$79</f>
              <numCache>
                <formatCode>General</formatCode>
                <ptCount val="1"/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47123015873016"/>
          <y val="0.002800925925925958"/>
          <w val="0.1902480158730159"/>
          <h val="0.2234763227513228"/>
        </manualLayout>
      </layout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[Equipment_availability_template.xlsx]KPI Dashboard!PivotTable1</name>
    <fmtId val="0"/>
  </pivotSource>
  <chart>
    <pivotFmts>
      <pivotFmt>
        <idx val="0"/>
        <spPr>
          <a:ln w="34925" cap="rnd">
            <a:solidFill>
              <a:schemeClr val="accent6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6">
                    <a:tint val="94000"/>
                    <a:satMod val="103000"/>
                    <a:lumMod val="102000"/>
                  </a:schemeClr>
                </a:gs>
                <a:gs pos="50000">
                  <a:schemeClr val="accent6">
                    <a:shade val="100000"/>
                    <a:satMod val="110000"/>
                    <a:lumMod val="100000"/>
                  </a:schemeClr>
                </a:gs>
                <a:gs pos="100000">
                  <a:schemeClr val="accent6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517329369187341"/>
          <y val="0.05170634920634921"/>
          <w val="0.9428354073308132"/>
          <h val="0.8760955026455026"/>
        </manualLayout>
      </layout>
      <barChart>
        <barDir val="col"/>
        <grouping val="clustered"/>
        <varyColors val="0"/>
        <ser>
          <idx val="1"/>
          <order val="0"/>
          <tx>
            <strRef>
              <f>'KPI Dashboard'!$C$84</f>
              <strCache>
                <ptCount val="1"/>
                <pt idx="0">
                  <v>Sum of Availability Actual</v>
                </pt>
              </strCache>
            </strRef>
          </tx>
          <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'KPI Dashboard'!$A$85:$A$94</f>
              <strCache>
                <ptCount val="9"/>
                <pt idx="0">
                  <v>AutoStacker</v>
                </pt>
                <pt idx="1">
                  <v>Bandline</v>
                </pt>
                <pt idx="2">
                  <v>Boilers</v>
                </pt>
                <pt idx="3">
                  <v>Debarker</v>
                </pt>
                <pt idx="4">
                  <v>Drymil Primary</v>
                </pt>
                <pt idx="5">
                  <v>Frameline</v>
                </pt>
                <pt idx="6">
                  <v>Kilns</v>
                </pt>
                <pt idx="7">
                  <v>Recovery line</v>
                </pt>
                <pt idx="8">
                  <v>Wetmill Primary</v>
                </pt>
              </strCache>
            </strRef>
          </cat>
          <val>
            <numRef>
              <f>'KPI Dashboard'!$C$85:$C$94</f>
              <numCache>
                <formatCode>0%</formatCode>
                <ptCount val="9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288553535"/>
        <axId val="288554495"/>
      </barChart>
      <lineChart>
        <grouping val="standard"/>
        <varyColors val="0"/>
        <ser>
          <idx val="2"/>
          <order val="2"/>
          <tx>
            <strRef>
              <f>'KPI Dashboard'!$B$84</f>
              <strCache>
                <ptCount val="1"/>
                <pt idx="0">
                  <v>Sum of Availability Target</v>
                </pt>
              </strCache>
            </strRef>
          </tx>
          <spPr>
            <a:ln w="3492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prstDash val="solid"/>
                <a:round/>
              </a:ln>
            </spPr>
          </marker>
          <cat>
            <strRef>
              <f>'KPI Dashboard'!$A$85:$A$94</f>
              <strCache>
                <ptCount val="9"/>
                <pt idx="0">
                  <v>AutoStacker</v>
                </pt>
                <pt idx="1">
                  <v>Bandline</v>
                </pt>
                <pt idx="2">
                  <v>Boilers</v>
                </pt>
                <pt idx="3">
                  <v>Debarker</v>
                </pt>
                <pt idx="4">
                  <v>Drymil Primary</v>
                </pt>
                <pt idx="5">
                  <v>Frameline</v>
                </pt>
                <pt idx="6">
                  <v>Kilns</v>
                </pt>
                <pt idx="7">
                  <v>Recovery line</v>
                </pt>
                <pt idx="8">
                  <v>Wetmill Primary</v>
                </pt>
              </strCache>
            </strRef>
          </cat>
          <val>
            <numRef>
              <f>'KPI Dashboard'!$B$85:$B$94</f>
              <numCache>
                <formatCode>0%</formatCode>
                <ptCount val="9"/>
                <pt idx="0">
                  <v>0.85</v>
                </pt>
                <pt idx="1">
                  <v>0.9</v>
                </pt>
                <pt idx="2">
                  <v>0.99</v>
                </pt>
                <pt idx="3">
                  <v>0.85</v>
                </pt>
                <pt idx="4">
                  <v>0.85</v>
                </pt>
                <pt idx="5">
                  <v>0.9</v>
                </pt>
                <pt idx="6">
                  <v>0.99</v>
                </pt>
                <pt idx="7">
                  <v>0.9</v>
                </pt>
                <pt idx="8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88553535"/>
        <axId val="288554495"/>
      </lineChart>
      <catAx>
        <axId val="288553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88554495"/>
        <crosses val="autoZero"/>
        <auto val="1"/>
        <lblAlgn val="ctr"/>
        <lblOffset val="100"/>
        <noMultiLvlLbl val="0"/>
      </catAx>
      <valAx>
        <axId val="2885544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88553535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960316505383622"/>
          <y val="0.0142755291005291"/>
          <w val="0.1717769576964397"/>
          <h val="0.12646203703703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Dashboard!PivotTable4</name>
    <fmtId val="10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Mill Equipment Reliability Chart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6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</a:schemeClr>
              </a:gs>
              <a:gs pos="50000">
                <a:schemeClr val="accent6">
                  <a:shade val="100000"/>
                  <a:satMod val="110000"/>
                  <a:lumMod val="100000"/>
                </a:schemeClr>
              </a:gs>
              <a:gs pos="100000">
                <a:schemeClr val="accent6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773976023912345"/>
          <y val="0.08812035750433157"/>
          <w val="0.9406034924700922"/>
          <h val="0.6795170603674541"/>
        </manualLayout>
      </layout>
      <barChart>
        <barDir val="col"/>
        <grouping val="clustered"/>
        <varyColors val="0"/>
        <ser>
          <idx val="1"/>
          <order val="0"/>
          <tx>
            <strRef>
              <f>'Reliability Eng Dashboard'!$C$69</f>
              <strCache>
                <ptCount val="1"/>
                <pt idx="0">
                  <v>Sum of Reliability %</v>
                </pt>
              </strCache>
            </strRef>
          </tx>
          <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'Reliability Eng Dashboard'!$A$70:$A$100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Dashboard'!$C$70:$C$100</f>
              <numCache>
                <formatCode>0%</formatCode>
                <ptCount val="3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28832639"/>
        <axId val="1528839359"/>
      </barChart>
      <lineChart>
        <grouping val="standard"/>
        <varyColors val="0"/>
        <ser>
          <idx val="2"/>
          <order val="2"/>
          <tx>
            <strRef>
              <f>'Reliability Eng Dashboard'!$B$69</f>
              <strCache>
                <ptCount val="1"/>
                <pt idx="0">
                  <v>Sum of Target Reliability %</v>
                </pt>
              </strCache>
            </strRef>
          </tx>
          <spPr>
            <a:ln w="3492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'Reliability Eng Dashboard'!$A$70:$A$100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Dashboard'!$B$70:$B$100</f>
              <numCache>
                <formatCode>0%</formatCode>
                <ptCount val="30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0.99</v>
                </pt>
                <pt idx="6">
                  <v>0.99</v>
                </pt>
                <pt idx="7">
                  <v>0.99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  <pt idx="12">
                  <v>0.85</v>
                </pt>
                <pt idx="13">
                  <v>0.85</v>
                </pt>
                <pt idx="14">
                  <v>0.99</v>
                </pt>
                <pt idx="15">
                  <v>0.99</v>
                </pt>
                <pt idx="16">
                  <v>0.99</v>
                </pt>
                <pt idx="17">
                  <v>0.99</v>
                </pt>
                <pt idx="18">
                  <v>0.99</v>
                </pt>
                <pt idx="19">
                  <v>0.85</v>
                </pt>
                <pt idx="20">
                  <v>0.85</v>
                </pt>
                <pt idx="21">
                  <v>0.85</v>
                </pt>
                <pt idx="22">
                  <v>0.85</v>
                </pt>
                <pt idx="23">
                  <v>0.85</v>
                </pt>
                <pt idx="24">
                  <v>0.85</v>
                </pt>
                <pt idx="25">
                  <v>0.85</v>
                </pt>
                <pt idx="26">
                  <v>0.85</v>
                </pt>
                <pt idx="27">
                  <v>0.85</v>
                </pt>
                <pt idx="28">
                  <v>0.85</v>
                </pt>
                <pt idx="29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28832639"/>
        <axId val="1528839359"/>
      </lineChart>
      <catAx>
        <axId val="15288326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8839359"/>
        <crosses val="autoZero"/>
        <auto val="1"/>
        <lblAlgn val="ctr"/>
        <lblOffset val="100"/>
        <noMultiLvlLbl val="0"/>
      </catAx>
      <valAx>
        <axId val="15288393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883263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20521485553047"/>
          <y val="0.01381560846560846"/>
          <w val="0.1794785488849582"/>
          <h val="0.105469179894179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5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Dashboard!PivotTable5</name>
    <fmtId val="6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Mill Equipment Availability Chart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  <a:sp3d/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974571428571429"/>
          <y val="0.1369686507936508"/>
          <w val="0.944014126984127"/>
          <h val="0.6193294973544974"/>
        </manualLayout>
      </layout>
      <barChart>
        <barDir val="col"/>
        <grouping val="clustered"/>
        <varyColors val="0"/>
        <ser>
          <idx val="1"/>
          <order val="0"/>
          <tx>
            <strRef>
              <f>'Reliability Eng Dashboard'!$C$103</f>
              <strCache>
                <ptCount val="1"/>
                <pt idx="0">
                  <v>Sum of Availability %</v>
                </pt>
              </strCache>
            </strRef>
          </tx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spPr>
          <invertIfNegative val="0"/>
          <cat>
            <strRef>
              <f>'Reliability Eng Dashboard'!$A$104:$A$134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Dashboard'!$C$104:$C$134</f>
              <numCache>
                <formatCode>0%</formatCode>
                <ptCount val="3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23087999"/>
        <axId val="1123084639"/>
      </barChart>
      <lineChart>
        <grouping val="standard"/>
        <varyColors val="0"/>
        <ser>
          <idx val="2"/>
          <order val="2"/>
          <tx>
            <strRef>
              <f>'Reliability Eng Dashboard'!$B$103</f>
              <strCache>
                <ptCount val="1"/>
                <pt idx="0">
                  <v>Sum of Target Availability %</v>
                </pt>
              </strCache>
            </strRef>
          </tx>
          <spPr>
            <a:ln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'Reliability Eng Dashboard'!$A$104:$A$134</f>
              <strCache>
                <ptCount val="30"/>
                <pt idx="0">
                  <v>Autostacker 1</v>
                </pt>
                <pt idx="1">
                  <v>Bandsaw 1 - Romeo</v>
                </pt>
                <pt idx="2">
                  <v>Bandsaw 2 - Juliet</v>
                </pt>
                <pt idx="3">
                  <v>Bandsaw 3 - Teletwin</v>
                </pt>
                <pt idx="4">
                  <v>Board Edger 1 - EWD</v>
                </pt>
                <pt idx="5">
                  <v>Boiler 1 - 12TpH</v>
                </pt>
                <pt idx="6">
                  <v>Boiler 2 - 10TpH</v>
                </pt>
                <pt idx="7">
                  <v>Boiler 3 - 10TpH</v>
                </pt>
                <pt idx="8">
                  <v>Chipper 1 - Bandline</v>
                </pt>
                <pt idx="9">
                  <v>Chipper 2 - Frameline</v>
                </pt>
                <pt idx="10">
                  <v>Chipper 3 - Drymill</v>
                </pt>
                <pt idx="11">
                  <v>Gangsaw 1 - Multirip 240</v>
                </pt>
                <pt idx="12">
                  <v>Gangsaw 2 - DAMR</v>
                </pt>
                <pt idx="13">
                  <v>Jointer 1 - Finger Jointer</v>
                </pt>
                <pt idx="14">
                  <v>Kiln 1 - Bollman 1</v>
                </pt>
                <pt idx="15">
                  <v>Kiln 2 - Bollman 2</v>
                </pt>
                <pt idx="16">
                  <v>Kiln 3 - Winsor 2</v>
                </pt>
                <pt idx="17">
                  <v>Kiln 4 - Winsor 1</v>
                </pt>
                <pt idx="18">
                  <v>Kiln 5 - TFD 1</v>
                </pt>
                <pt idx="19">
                  <v>Optimizing Cross Cutter 1 - Paul</v>
                </pt>
                <pt idx="20">
                  <v>Planer 1 - Rex 1</v>
                </pt>
                <pt idx="21">
                  <v>Planer 2 - Rex 2</v>
                </pt>
                <pt idx="22">
                  <v>Plank Grader-Stacker 1 - Odden</v>
                </pt>
                <pt idx="23">
                  <v>Ring Debarker 1 - VK800</v>
                </pt>
                <pt idx="24">
                  <v>Roundtable 1</v>
                </pt>
                <pt idx="25">
                  <v>Scalper 1 - Rotor</v>
                </pt>
                <pt idx="26">
                  <v>Shaker 1 - Two Screen</v>
                </pt>
                <pt idx="27">
                  <v>Shaker 2 - One screen</v>
                </pt>
                <pt idx="28">
                  <v>Trim Table 1 - Green chain Trimdeck</v>
                </pt>
                <pt idx="29">
                  <v>Trim Table 2 - Sky Trimmer</v>
                </pt>
              </strCache>
            </strRef>
          </cat>
          <val>
            <numRef>
              <f>'Reliability Eng Dashboard'!$B$104:$B$134</f>
              <numCache>
                <formatCode>0%</formatCode>
                <ptCount val="30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0.99</v>
                </pt>
                <pt idx="6">
                  <v>0.99</v>
                </pt>
                <pt idx="7">
                  <v>0.99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  <pt idx="12">
                  <v>0.85</v>
                </pt>
                <pt idx="13">
                  <v>0.85</v>
                </pt>
                <pt idx="14">
                  <v>0.99</v>
                </pt>
                <pt idx="15">
                  <v>0.99</v>
                </pt>
                <pt idx="16">
                  <v>0.99</v>
                </pt>
                <pt idx="17">
                  <v>0.99</v>
                </pt>
                <pt idx="18">
                  <v>0.99</v>
                </pt>
                <pt idx="19">
                  <v>0.85</v>
                </pt>
                <pt idx="20">
                  <v>0.85</v>
                </pt>
                <pt idx="21">
                  <v>0.85</v>
                </pt>
                <pt idx="22">
                  <v>0.85</v>
                </pt>
                <pt idx="23">
                  <v>0.85</v>
                </pt>
                <pt idx="24">
                  <v>0.85</v>
                </pt>
                <pt idx="25">
                  <v>0.85</v>
                </pt>
                <pt idx="26">
                  <v>0.85</v>
                </pt>
                <pt idx="27">
                  <v>0.85</v>
                </pt>
                <pt idx="28">
                  <v>0.85</v>
                </pt>
                <pt idx="29">
                  <v>0.85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23087999"/>
        <axId val="1123084639"/>
      </lineChart>
      <catAx>
        <axId val="11230879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23084639"/>
        <crosses val="autoZero"/>
        <auto val="1"/>
        <lblAlgn val="ctr"/>
        <lblOffset val="100"/>
        <noMultiLvlLbl val="0"/>
      </catAx>
      <valAx>
        <axId val="11230846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23087999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79942380952381"/>
          <y val="0.008189814814814823"/>
          <w val="0.1200576190476191"/>
          <h val="0.0932956349206349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Dashboard!PivotTable6</name>
    <fmtId val="3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Downtime Hours per equipment</a:t>
            </a:r>
          </a:p>
        </rich>
      </tx>
      <layout>
        <manualLayout>
          <xMode val="edge"/>
          <yMode val="edge"/>
          <wMode val="factor"/>
          <hMode val="factor"/>
          <x val="0.4513492781494799"/>
          <y val="0.0110185185185185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noFill/>
          <a:ln w="22225" cap="rnd" cmpd="sng" algn="ctr">
            <a:solidFill>
              <a:schemeClr val="accent1"/>
            </a:solidFill>
            <a:prstDash val="solid"/>
            <a:miter lim="800000"/>
          </a:ln>
        </spPr>
        <marker>
          <symbol val="circle"/>
          <size val="4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noFill/>
          <a:ln w="22225" cap="rnd" cmpd="sng" algn="ctr">
            <a:solidFill>
              <a:schemeClr val="accent1"/>
            </a:solidFill>
            <a:prstDash val="solid"/>
            <a:miter lim="800000"/>
          </a:ln>
        </spPr>
        <marker>
          <symbol val="circle"/>
          <size val="4"/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ln w="22225" cap="rnd">
            <a:solidFill>
              <a:schemeClr val="accent1"/>
            </a:solidFill>
            <a:prstDash val="solid"/>
          </a:ln>
        </spPr>
        <marker>
          <symbol val="circle"/>
          <size val="4"/>
          <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ln w="22225" cap="rnd">
            <a:solidFill>
              <a:schemeClr val="accent1"/>
            </a:solidFill>
            <a:prstDash val="solid"/>
          </a:ln>
        </spPr>
        <marker>
          <symbol val="circle"/>
          <size val="4"/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3636432001094307"/>
          <y val="0.08493386243386243"/>
          <w val="0.952859704050849"/>
          <h val="0.6911059523809524"/>
        </manualLayout>
      </layout>
      <lineChart>
        <grouping val="stacked"/>
        <varyColors val="0"/>
        <ser>
          <idx val="0"/>
          <order val="0"/>
          <tx>
            <strRef>
              <f>'Reliability Eng Dashboard'!$B$138</f>
              <strCache>
                <ptCount val="1"/>
                <pt idx="0">
                  <v>Sum of Maintenance Downtime Hours</v>
                </pt>
              </strCache>
            </strRef>
          </tx>
          <spPr>
            <a:ln w="22225" cap="rnd">
              <a:solidFill>
                <a:schemeClr val="accent1"/>
              </a:solidFill>
              <a:prstDash val="solid"/>
            </a:ln>
          </spPr>
          <marker>
            <symbol val="circle"/>
            <size val="4"/>
            <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'Reliability Eng Dashboard'!$A$139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Dashboard'!$B$139</f>
              <numCache>
                <formatCode>0.00</formatCode>
                <ptCount val="1"/>
              </numCache>
            </numRef>
          </val>
          <smooth val="0"/>
        </ser>
        <ser>
          <idx val="1"/>
          <order val="1"/>
          <tx>
            <strRef>
              <f>'Reliability Eng Dashboard'!$C$138</f>
              <strCache>
                <ptCount val="1"/>
                <pt idx="0">
                  <v>Sum of Production Downtime Hours</v>
                </pt>
              </strCache>
            </strRef>
          </tx>
          <spPr>
            <a:ln w="22225" cap="rnd">
              <a:solidFill>
                <a:schemeClr val="accent2"/>
              </a:solidFill>
              <a:prstDash val="solid"/>
            </a:ln>
          </spPr>
          <marker>
            <symbol val="circle"/>
            <size val="4"/>
            <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'Reliability Eng Dashboard'!$A$139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Dashboard'!$C$139</f>
              <numCache>
                <formatCode>0.00</formatCode>
                <ptCount val="1"/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647468335"/>
        <axId val="1647474575"/>
      </lineChart>
      <catAx>
        <axId val="1647468335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7474575"/>
        <crosses val="autoZero"/>
        <auto val="1"/>
        <lblAlgn val="ctr"/>
        <lblOffset val="100"/>
        <noMultiLvlLbl val="0"/>
      </catAx>
      <valAx>
        <axId val="1647474575"/>
        <scaling>
          <orientation val="minMax"/>
        </scaling>
        <delete val="0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7468335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163260840885598"/>
          <y val="0.007370767195767155"/>
          <w val="0.1836738888888889"/>
          <h val="0.11681415343915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pivotSource>
    <name>[Equipment_availability_template.xlsx]Reliability Eng Dashboard!PivotTable7</name>
    <fmtId val="5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ZA"/>
              <a:t>Equipment</a:t>
            </a:r>
            <a:r>
              <a:rPr lang="en-ZA" baseline="0"/>
              <a:t xml:space="preserve"> Failure vs Repair time</a:t>
            </a:r>
            <a:endParaRPr lang="en-ZA"/>
          </a:p>
        </rich>
      </tx>
      <layout>
        <manualLayout>
          <xMode val="edge"/>
          <yMode val="edge"/>
          <wMode val="factor"/>
          <hMode val="factor"/>
          <x val="0.3793349272419745"/>
          <y val="0.012698412698412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ZA"/>
        </a:p>
      </txPr>
    </title>
    <pivotFmts>
      <pivotFmt>
        <idx val="0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ln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prstDash val="solid"/>
              <a:round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2714384454590173"/>
          <y val="0.1328612433862434"/>
          <w val="0.9632506267162496"/>
          <h val="0.6431785714285714"/>
        </manualLayout>
      </layout>
      <lineChart>
        <grouping val="stacked"/>
        <varyColors val="0"/>
        <ser>
          <idx val="0"/>
          <order val="0"/>
          <tx>
            <strRef>
              <f>'Reliability Eng Dashboard'!$B$164</f>
              <strCache>
                <ptCount val="1"/>
                <pt idx="0">
                  <v>Count of Maintenance Downtime Hours</v>
                </pt>
              </strCache>
            </strRef>
          </tx>
          <spPr>
            <a:ln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'Reliability Eng Dashboard'!$A$165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Dashboard'!$B$165</f>
              <numCache>
                <formatCode>General</formatCode>
                <ptCount val="1"/>
              </numCache>
            </numRef>
          </val>
          <smooth val="0"/>
        </ser>
        <ser>
          <idx val="1"/>
          <order val="1"/>
          <tx>
            <strRef>
              <f>'Reliability Eng Dashboard'!$C$164</f>
              <strCache>
                <ptCount val="1"/>
                <pt idx="0">
                  <v>Sum of Maintenance Downtime Hours2</v>
                </pt>
              </strCache>
            </strRef>
          </tx>
          <spPr>
            <a:ln w="349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prstDash val="solid"/>
                <a:round/>
              </a:ln>
            </spPr>
          </marker>
          <cat>
            <strRef>
              <f>'Reliability Eng Dashboard'!$A$165</f>
              <strCache>
                <ptCount val="1"/>
                <pt idx="0">
                  <v>Grand Total</v>
                </pt>
              </strCache>
            </strRef>
          </cat>
          <val>
            <numRef>
              <f>'Reliability Eng Dashboard'!$C$165</f>
              <numCache>
                <formatCode>0.00</formatCode>
                <ptCount val="1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9563151"/>
        <axId val="1009564111"/>
      </lineChart>
      <catAx>
        <axId val="1009563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9564111"/>
        <crosses val="autoZero"/>
        <auto val="1"/>
        <lblAlgn val="ctr"/>
        <lblOffset val="100"/>
        <noMultiLvlLbl val="0"/>
      </catAx>
      <valAx>
        <axId val="10095641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9563151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443079660650999"/>
          <y val="0.004456216931216888"/>
          <w val="0.1556920339349001"/>
          <h val="0.138221296296296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Raymond Van Niekerk</author>
  </authors>
  <commentList>
    <comment ref="G1" authorId="0" shapeId="0">
      <text>
        <t>Raymond Van Niekerk:
Total number of failures or breakdowns</t>
      </text>
    </comment>
    <comment ref="I1" authorId="0" shapeId="0">
      <text>
        <t>Raymond Van Niekerk:
Total Maintenance Downtime/Number of Repairs</t>
      </text>
    </comment>
    <comment ref="J1" authorId="0" shapeId="0">
      <text>
        <t>Raymond Van Niekerk:
MTBF = Total Operating Time/Number of Failures</t>
      </text>
    </comment>
    <comment ref="K1" authorId="0" shapeId="0">
      <text>
        <t>Raymond Van Niekerk:
Number of Failures (Breakdowns) per production day in the Month.</t>
      </text>
    </comment>
    <comment ref="M1" authorId="0" shapeId="0">
      <text>
        <t>Raymond Van Niekerk:
The probability that the equipment will fail during a specific time interval</t>
      </text>
    </comment>
    <comment ref="R1" authorId="0" shapeId="0">
      <text>
        <t>Raymond Van Niekerk:
The percentage of scheduled time an asset is operational.</t>
      </text>
    </comment>
    <comment ref="S1" authorId="0" shapeId="0">
      <text>
        <t xml:space="preserve">Raymond Van Niekerk:
(Production downtime - Actual repair time)/Contract response time
</t>
      </text>
    </comment>
    <comment ref="E2" authorId="0" shapeId="0">
      <text>
        <t>Raymond Van Niekerk:
Includes PPH, but excludes weekends</t>
      </text>
    </comment>
    <comment ref="E3" authorId="0" shapeId="0">
      <text>
        <t>Raymond Van Niekerk:
Includes PPH, but excludes weekends</t>
      </text>
    </comment>
    <comment ref="E4" authorId="0" shapeId="0">
      <text>
        <t>Raymond Van Niekerk:
Includes PPH, but excludes weekends</t>
      </text>
    </comment>
    <comment ref="E5" authorId="0" shapeId="0">
      <text>
        <t xml:space="preserve">Raymond Van Niekerk:
Includes PPH, but excludes weekends
</t>
      </text>
    </comment>
    <comment ref="E6" authorId="0" shapeId="0">
      <text>
        <t>Raymond Van Niekerk:
Includes PPH, but excludes weekends</t>
      </text>
    </comment>
    <comment ref="E7" authorId="0" shapeId="0">
      <text>
        <t>Raymond Van Niekerk:
Includes PPH, but excludes weekends</t>
      </text>
    </comment>
    <comment ref="E8" authorId="0" shapeId="0">
      <text>
        <t>Raymond Van Niekerk:
Includes PPH, but excludes weekends</t>
      </text>
    </comment>
    <comment ref="E9" authorId="0" shapeId="0">
      <text>
        <t>Raymond Van Niekerk:
Includes PPH, but excludes weekends</t>
      </text>
    </comment>
    <comment ref="E10" authorId="0" shapeId="0">
      <text>
        <t>Raymond Van Niekerk:
Includes PPH, but excludes weekends</t>
      </text>
    </comment>
    <comment ref="E11" authorId="0" shapeId="0">
      <text>
        <t>Raymond Van Niekerk:
Includes PPH, but excludes weekends</t>
      </text>
    </comment>
    <comment ref="E12" authorId="0" shapeId="0">
      <text>
        <t>Raymond Van Niekerk:
Includes PPH, but excludes weekends</t>
      </text>
    </comment>
    <comment ref="E13" authorId="0" shapeId="0">
      <text>
        <t>Raymond Van Niekerk:
Includes PPH, but excludes weekends</t>
      </text>
    </comment>
    <comment ref="E14" authorId="0" shapeId="0">
      <text>
        <t>Raymond Van Niekerk:
Includes PPH, but excludes weekends</t>
      </text>
    </comment>
    <comment ref="E15" authorId="0" shapeId="0">
      <text>
        <t>Raymond Van Niekerk:
Includes PPH, but excludes weekends</t>
      </text>
    </comment>
    <comment ref="E16" authorId="0" shapeId="0">
      <text>
        <t>Raymond Van Niekerk:
Includes PPH, but excludes weekends</t>
      </text>
    </comment>
    <comment ref="E17" authorId="0" shapeId="0">
      <text>
        <t>Raymond Van Niekerk:
Includes PPH, but excludes weekends</t>
      </text>
    </comment>
    <comment ref="E26" authorId="0" shapeId="0">
      <text>
        <t>Raymond Van Niekerk:
Includes PPH, but excludes weekends</t>
      </text>
    </comment>
    <comment ref="E27" authorId="0" shapeId="0">
      <text>
        <t>Raymond Van Niekerk:
Includes PPH, but excludes weekends</t>
      </text>
    </comment>
    <comment ref="E28" authorId="0" shapeId="0">
      <text>
        <t>Raymond Van Niekerk:
Includes PPH, but excludes weekends</t>
      </text>
    </comment>
    <comment ref="E29" authorId="0" shapeId="0">
      <text>
        <t>Raymond Van Niekerk:
Includes PPH, but excludes weekends</t>
      </text>
    </comment>
    <comment ref="E30" authorId="0" shapeId="0">
      <text>
        <t>Raymond Van Niekerk:
Includes PPH, but excludes weekends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1043247</colOff>
      <row>0</row>
      <rowOff>7620</rowOff>
    </from>
    <to>
      <col>18</col>
      <colOff>308247</colOff>
      <row>49</row>
      <rowOff>100020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18</col>
      <colOff>342900</colOff>
      <row>0</row>
      <rowOff>5715</rowOff>
    </from>
    <to>
      <col>41</col>
      <colOff>468960</colOff>
      <row>49</row>
      <rowOff>98115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0</row>
      <rowOff>0</rowOff>
    </from>
    <to>
      <col>7</col>
      <colOff>1442143</colOff>
      <row>49</row>
      <rowOff>92400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10886</colOff>
      <row>0</row>
      <rowOff>1359</rowOff>
    </from>
    <to>
      <col>9</col>
      <colOff>144566</colOff>
      <row>49</row>
      <rowOff>93759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125730</colOff>
      <row>0</row>
      <rowOff>30480</rowOff>
    </from>
    <to>
      <col>35</col>
      <colOff>46050</colOff>
      <row>49</row>
      <rowOff>122880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34</col>
      <colOff>487134</colOff>
      <row>0</row>
      <rowOff>30480</rowOff>
    </from>
    <to>
      <col>60</col>
      <colOff>407454</colOff>
      <row>49</row>
      <rowOff>122880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60</col>
      <colOff>384810</colOff>
      <row>0</row>
      <rowOff>55245</rowOff>
    </from>
    <to>
      <col>88</col>
      <colOff>358470</colOff>
      <row>49</row>
      <rowOff>147645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Raymond Van Niekerk" refreshedDate="46169.44686782407" createdVersion="8" refreshedVersion="8" minRefreshableVersion="3" recordCount="1999" r:id="rId1">
  <cacheSource type="worksheet">
    <worksheetSource name="tblDowntime"/>
  </cacheSource>
  <cacheFields count="17">
    <cacheField name="Date" uniqueList="1" numFmtId="14" sqlType="0" hierarchy="0" level="0" databaseField="1">
      <sharedItems count="0" containsBlank="1" containsNonDate="0" containsString="0"/>
    </cacheField>
    <cacheField name="Production Department" uniqueList="1" numFmtId="0" sqlType="0" hierarchy="0" level="0" databaseField="1">
      <sharedItems count="4" containsBlank="1">
        <s v=""/>
        <s v="Wetmill" u="1"/>
        <s v="Drymill" u="1"/>
        <m u="1"/>
      </sharedItems>
    </cacheField>
    <cacheField name="Equipment ID" uniqueList="1" numFmtId="0" sqlType="0" hierarchy="0" level="0" databaseField="1">
      <sharedItems count="0" containsBlank="1" containsNonDate="0" containsString="0"/>
    </cacheField>
    <cacheField name="Equipment Name" uniqueList="1" numFmtId="0" sqlType="0" hierarchy="0" level="0" databaseField="1">
      <sharedItems count="22" containsBlank="1">
        <s v=""/>
        <s v="Bandsaw 3 - Teletwin" u="1"/>
        <s v="Trim Table 2 - Sky Trimmer" u="1"/>
        <s v="Gangsaw 2 - DAMR" u="1"/>
        <s v="Bandsaw 2 - Juliet" u="1"/>
        <s v="Autostacker 1" u="1"/>
        <s v="Ring Debarker 1 - VK800" u="1"/>
        <s v="Chipper 3 - Drymill" u="1"/>
        <s v="Plank Grader-Stacker 1 - Odden" u="1"/>
        <s v="Jointer 1 - Finger Jointer" u="1"/>
        <s v="Planer 1 - Rex 1" u="1"/>
        <s v="Optimizing Cross Cutter 1 - Paul" u="1"/>
        <s v="Shaker 1 - Two Screen" u="1"/>
        <s v="Gangsaw 1 - Multirip 240" u="1"/>
        <s v="Chipper 1 - Bandline" u="1"/>
        <s v="Roundtable 1" u="1"/>
        <s v="Trim Table 1 - Green chain Trimdeck" u="1"/>
        <s v="Board Edger 1 - EWD" u="1"/>
        <s v="Chipper 2 - Frameline" u="1"/>
        <s v="Planer 2 - Rex 2" u="1"/>
        <s v="Bandsaw 1 - Romeo" u="1"/>
        <m u="1"/>
      </sharedItems>
    </cacheField>
    <cacheField name="Failure Description" uniqueList="1" numFmtId="0" sqlType="0" hierarchy="0" level="0" databaseField="1">
      <sharedItems count="0" containsBlank="1" containsNonDate="0" containsString="0"/>
    </cacheField>
    <cacheField name="Downtime Start" uniqueList="1" numFmtId="164" sqlType="0" hierarchy="0" level="0" databaseField="1">
      <sharedItems count="0" containsBlank="1" containsNonDate="0" containsString="0"/>
    </cacheField>
    <cacheField name="Downtime End" uniqueList="1" numFmtId="164" sqlType="0" hierarchy="0" level="0" databaseField="1">
      <sharedItems count="0" containsBlank="1" containsNonDate="0" containsString="0"/>
    </cacheField>
    <cacheField name="Downtime Hours" uniqueList="1" numFmtId="2" sqlType="0" hierarchy="0" level="0" databaseField="1">
      <sharedItems count="0"/>
    </cacheField>
    <cacheField name="Failure Type" uniqueList="1" numFmtId="0" sqlType="0" hierarchy="0" level="0" databaseField="1">
      <sharedItems count="5" containsBlank="1" containsNonDate="0">
        <m/>
        <s v="Electrical" u="1"/>
        <s v="Sawshop" u="1"/>
        <s v="Mechanical" u="1"/>
        <s v="Production" u="1"/>
      </sharedItems>
    </cacheField>
    <cacheField name="Maintenance Downtime Hours" uniqueList="1" numFmtId="2" sqlType="0" hierarchy="0" level="0" databaseField="1">
      <sharedItems count="0"/>
    </cacheField>
    <cacheField name="Failed Component" uniqueList="1" numFmtId="0" sqlType="0" hierarchy="0" level="0" databaseField="1">
      <sharedItems count="48" containsBlank="1" containsNonDate="0">
        <m/>
        <s v="Chain - Conveyor" u="1"/>
        <s v="Blade - Band" u="1"/>
        <s v="Chain - Drive" u="1"/>
        <s v="Guide Blocks - Blade" u="1"/>
        <s v="Scraper - Conveyor" u="1"/>
        <s v="Motor" u="1"/>
        <s v="Sensor" u="1"/>
        <s v="Programming - VSD" u="1"/>
        <s v="Cylinder - Pneumatic" u="1"/>
        <s v="Bearing" u="1"/>
        <s v="Cable - Electrical" u="1"/>
        <s v="Belt - Conveyor" u="1"/>
        <s v="Blade - Circular" u="1"/>
        <s v="Structural" u="1"/>
        <s v="Valve" u="1"/>
        <s v="AVR" u="1"/>
        <s v="Programming" u="1"/>
        <s v="Hydraulic" u="1"/>
        <s v="Switch" u="1"/>
        <s v="Solenoid" u="1"/>
        <s v="Sprocket" u="1"/>
        <s v="Overload switch" u="1"/>
        <s v="Strapper" u="1"/>
        <s v="Piping - Pneumatic" u="1"/>
        <s v="Spacers - Blade" u="1"/>
        <s v="J-bar" u="1"/>
        <s v="Encoder" u="1"/>
        <s v="Table - Guide" u="1"/>
        <s v="Cable - Positioning" u="1"/>
        <s v="Shaft - Drive" u="1"/>
        <s v="Press - Hydraulic" u="1"/>
        <s v="Pump" u="1"/>
        <s v="Kicker" u="1"/>
        <s v="Belt - Drive" u="1"/>
        <s v="Table - Conveyor" u="1"/>
        <s v="Cable - Pull" u="1"/>
        <s v="Gearbox" u="1"/>
        <s v="Spring" u="1"/>
        <s v="Senor" u="1"/>
        <s v="Press - Pneumatic" u="1"/>
        <s v="Contact - Electrical" u="1"/>
        <s v="Guards" u="1"/>
        <s v="Blade - Planer" u="1"/>
        <s v="Strapper 2" u="1"/>
        <s v="Cylinder - Hydraulic" u="1"/>
        <s v="Engine oil" u="1"/>
        <s v="Spike - Tipping" u="1"/>
      </sharedItems>
    </cacheField>
    <cacheField name="Failure mode" uniqueList="1" numFmtId="0" sqlType="0" hierarchy="0" level="0" databaseField="1">
      <sharedItems count="0" containsBlank="1" containsNonDate="0" containsString="0"/>
    </cacheField>
    <cacheField name="Equipment ID (Maint Down)" uniqueList="1" numFmtId="0" sqlType="0" hierarchy="0" level="0" databaseField="1">
      <sharedItems count="0"/>
    </cacheField>
    <cacheField name="Production Downtime Hours" uniqueList="1" numFmtId="2" sqlType="0" hierarchy="0" level="0" databaseField="1">
      <sharedItems count="0"/>
    </cacheField>
    <cacheField name="Equipment ID (Prod Down)" uniqueList="1" numFmtId="0" sqlType="0" hierarchy="0" level="0" databaseField="1">
      <sharedItems count="0"/>
    </cacheField>
    <cacheField name="Repair Time" uniqueList="1" numFmtId="0" sqlType="0" hierarchy="0" level="0" databaseField="1">
      <sharedItems count="0" containsBlank="1" containsNonDate="0" containsString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Raymond Van Niekerk" refreshedDate="46182.61912696759" createdVersion="8" refreshedVersion="8" minRefreshableVersion="3" recordCount="9" r:id="rId1">
  <cacheSource type="worksheet">
    <worksheetSource ref="A38:E47" sheet="Reliability KPIs"/>
  </cacheSource>
  <cacheFields count="5">
    <cacheField name="Production line" uniqueList="1" numFmtId="0" sqlType="0" hierarchy="0" level="0" databaseField="1">
      <sharedItems count="9">
        <s v="Boilers"/>
        <s v="Debarker"/>
        <s v="Frameline"/>
        <s v="Recovery line"/>
        <s v="Bandline"/>
        <s v="AutoStacker"/>
        <s v="Kilns"/>
        <s v="Wetmill Primary"/>
        <s v="Drymil Primary"/>
      </sharedItems>
    </cacheField>
    <cacheField name="Availability Target" uniqueList="1" numFmtId="9" sqlType="0" hierarchy="0" level="0" databaseField="1">
      <sharedItems count="0" containsNumber="1" containsSemiMixedTypes="0" containsString="0" minValue="0.85" maxValue="0.99"/>
    </cacheField>
    <cacheField name="Availability Actual" uniqueList="1" numFmtId="9" sqlType="0" hierarchy="0" level="0" databaseField="1">
      <sharedItems count="0" containsInteger="1" containsNumber="1" containsSemiMixedTypes="0" containsString="0" minValue="1" maxValue="1"/>
    </cacheField>
    <cacheField name="Utilization Target" uniqueList="1" numFmtId="0" sqlType="0" hierarchy="0" level="0" databaseField="1">
      <sharedItems count="0" containsBlank="1" containsNumber="1" containsString="0" minValue="0.75" maxValue="0.75"/>
    </cacheField>
    <cacheField name="Utilization Actual" uniqueList="1" numFmtId="0" sqlType="0" hierarchy="0" level="0" databaseField="1">
      <sharedItems count="0" containsBlank="1" containsInteger="1" containsNumber="1" containsString="0" minValue="1" maxValue="1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Raymond Van Niekerk" refreshedDate="46169.44653819445" createdVersion="8" refreshedVersion="8" minRefreshableVersion="3" recordCount="30" r:id="rId1">
  <cacheSource type="worksheet">
    <worksheetSource ref="A1:L31" sheet="Reliability KPIs"/>
  </cacheSource>
  <cacheFields count="12">
    <cacheField name="Production Department" uniqueList="1" numFmtId="0" sqlType="0" hierarchy="0" level="0" databaseField="1">
      <sharedItems count="3">
        <s v="Wetmill"/>
        <s v="Boilers &amp; Kilns"/>
        <s v="Drymill"/>
      </sharedItems>
    </cacheField>
    <cacheField name="Equipment ID" uniqueList="1" numFmtId="0" sqlType="0" hierarchy="0" level="0" databaseField="1">
      <sharedItems count="0"/>
    </cacheField>
    <cacheField name="Equipment Name" uniqueList="1" numFmtId="0" sqlType="0" hierarchy="0" level="0" databaseField="1">
      <sharedItems count="30">
        <s v="Ring Debarker 1 - VK800"/>
        <s v="Bandsaw 1 - Romeo"/>
        <s v="Bandsaw 2 - Juliet"/>
        <s v="Bandsaw 3 - Teletwin"/>
        <s v="Board Edger 1 - EWD"/>
        <s v="Gangsaw 1 - Multirip 240"/>
        <s v="Gangsaw 2 - DAMR"/>
        <s v="Trim Table 1 - Green chain Trimdeck"/>
        <s v="Trim Table 2 - Sky Trimmer"/>
        <s v="Roundtable 1"/>
        <s v="Autostacker 1"/>
        <s v="Chipper 1 - Bandline"/>
        <s v="Chipper 2 - Frameline"/>
        <s v="Shaker 1 - Two Screen"/>
        <s v="Shaker 2 - One screen"/>
        <s v="Scalper 1 - Rotor"/>
        <s v="Kiln 1 - Bollman 1"/>
        <s v="Kiln 2 - Bollman 2"/>
        <s v="Kiln 3 - Winsor 2"/>
        <s v="Kiln 4 - Winsor 1"/>
        <s v="Kiln 5 - TFD 1"/>
        <s v="Plank Grader-Stacker 1 - Odden"/>
        <s v="Optimizing Cross Cutter 1 - Paul"/>
        <s v="Planer 1 - Rex 1"/>
        <s v="Planer 2 - Rex 2"/>
        <s v="Jointer 1 - Finger Jointer"/>
        <s v="Chipper 3 - Drymill"/>
        <s v="Boiler 1 - 12TpH"/>
        <s v="Boiler 2 - 10TpH"/>
        <s v="Boiler 3 - 10TpH"/>
      </sharedItems>
    </cacheField>
    <cacheField name="Total Month Failure Count" uniqueList="1" numFmtId="2" sqlType="0" hierarchy="0" level="0" databaseField="1">
      <sharedItems count="0" containsInteger="1" containsNumber="1" containsSemiMixedTypes="0" containsString="0" minValue="0" maxValue="0"/>
    </cacheField>
    <cacheField name="Total month Downtime (hrs)" uniqueList="1" numFmtId="2" sqlType="0" hierarchy="0" level="0" databaseField="1">
      <sharedItems count="0" containsInteger="1" containsNumber="1" containsSemiMixedTypes="0" containsString="0" minValue="0" maxValue="0"/>
    </cacheField>
    <cacheField name="Planned Runtime (hrs/month)" uniqueList="1" numFmtId="0" sqlType="0" hierarchy="0" level="0" databaseField="1">
      <sharedItems count="0" containsInteger="1" containsNumber="1" containsSemiMixedTypes="0" containsString="0" minValue="207" maxValue="552"/>
    </cacheField>
    <cacheField name="MTBF (hrs)" uniqueList="1" numFmtId="2" sqlType="0" hierarchy="0" level="0" databaseField="1">
      <sharedItems count="0" containsInteger="1" containsNumber="1" containsSemiMixedTypes="0" containsString="0" minValue="207" maxValue="552"/>
    </cacheField>
    <cacheField name="MTTR (hrs)" uniqueList="1" numFmtId="2" sqlType="0" hierarchy="0" level="0" databaseField="1">
      <sharedItems count="0" containsInteger="1" containsNumber="1" containsSemiMixedTypes="0" containsString="0" minValue="0" maxValue="0"/>
    </cacheField>
    <cacheField name="Target Reliability %" uniqueList="1" numFmtId="9" sqlType="0" hierarchy="0" level="0" databaseField="1">
      <sharedItems count="0" containsNumber="1" containsSemiMixedTypes="0" containsString="0" minValue="0.85" maxValue="0.99"/>
    </cacheField>
    <cacheField name="Reliability %" uniqueList="1" numFmtId="9" sqlType="0" hierarchy="0" level="0" databaseField="1">
      <sharedItems count="0" containsInteger="1" containsNumber="1" containsSemiMixedTypes="0" containsString="0" minValue="1" maxValue="1"/>
    </cacheField>
    <cacheField name="Target Availability %" uniqueList="1" numFmtId="9" sqlType="0" hierarchy="0" level="0" databaseField="1">
      <sharedItems count="0" containsNumber="1" containsSemiMixedTypes="0" containsString="0" minValue="0.85" maxValue="0.99"/>
    </cacheField>
    <cacheField name="Availability %" uniqueList="1" numFmtId="9" sqlType="0" hierarchy="0" level="0" databaseField="1">
      <sharedItems count="0" containsInteger="1" containsNumber="1" containsSemiMixedTypes="0" containsString="0" minValue="1" maxValue="1"/>
    </cacheField>
  </cacheFields>
</pivotCacheDefinition>
</file>

<file path=xl/pivotCache/pivotCacheRecords1.xml><?xml version="1.0" encoding="utf-8"?>
<pivotCacheRecords xmlns="http://schemas.openxmlformats.org/spreadsheetml/2006/main" count="1999"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  <r>
    <m/>
    <x v="0"/>
    <m/>
    <x v="0"/>
    <m/>
    <m/>
    <m/>
    <s v=""/>
    <x v="0"/>
    <s v=""/>
    <x v="0"/>
    <m/>
    <s v=""/>
    <s v=""/>
    <s v=""/>
    <m/>
    <m/>
  </r>
</pivotCacheRecords>
</file>

<file path=xl/pivotCache/pivotCacheRecords2.xml><?xml version="1.0" encoding="utf-8"?>
<pivotCacheRecords xmlns="http://schemas.openxmlformats.org/spreadsheetml/2006/main" count="9">
  <r>
    <x v="0"/>
    <n v="0.99"/>
    <n v="1"/>
    <m/>
    <m/>
  </r>
  <r>
    <x v="1"/>
    <n v="0.85"/>
    <n v="1"/>
    <m/>
    <m/>
  </r>
  <r>
    <x v="2"/>
    <n v="0.9"/>
    <n v="1"/>
    <m/>
    <m/>
  </r>
  <r>
    <x v="3"/>
    <n v="0.9"/>
    <n v="1"/>
    <m/>
    <m/>
  </r>
  <r>
    <x v="4"/>
    <n v="0.9"/>
    <n v="1"/>
    <m/>
    <m/>
  </r>
  <r>
    <x v="5"/>
    <n v="0.85"/>
    <n v="1"/>
    <m/>
    <m/>
  </r>
  <r>
    <x v="6"/>
    <n v="0.99"/>
    <n v="1"/>
    <m/>
    <m/>
  </r>
  <r>
    <x v="7"/>
    <n v="0.85"/>
    <n v="1"/>
    <n v="0.75"/>
    <n v="1"/>
  </r>
  <r>
    <x v="8"/>
    <n v="0.85"/>
    <n v="1"/>
    <n v="0.75"/>
    <n v="1"/>
  </r>
</pivotCacheRecords>
</file>

<file path=xl/pivotCache/pivotCacheRecords3.xml><?xml version="1.0" encoding="utf-8"?>
<pivotCacheRecords xmlns="http://schemas.openxmlformats.org/spreadsheetml/2006/main" count="30">
  <r>
    <x v="0"/>
    <s v="RDB-001 - DE-005"/>
    <x v="0"/>
    <n v="0"/>
    <n v="0"/>
    <n v="414"/>
    <n v="414"/>
    <n v="0"/>
    <n v="0.85"/>
    <n v="1"/>
    <n v="0.85"/>
    <n v="1"/>
  </r>
  <r>
    <x v="0"/>
    <s v="BDS-001 - BE-004"/>
    <x v="1"/>
    <n v="0"/>
    <n v="0"/>
    <n v="414"/>
    <n v="414"/>
    <n v="0"/>
    <n v="0.85"/>
    <n v="1"/>
    <n v="0.85"/>
    <n v="1"/>
  </r>
  <r>
    <x v="0"/>
    <s v="BDS-002 - BE-007"/>
    <x v="2"/>
    <n v="0"/>
    <n v="0"/>
    <n v="414"/>
    <n v="414"/>
    <n v="0"/>
    <n v="0.85"/>
    <n v="1"/>
    <n v="0.85"/>
    <n v="1"/>
  </r>
  <r>
    <x v="0"/>
    <s v="BDS-003 - FE-003"/>
    <x v="3"/>
    <n v="0"/>
    <n v="0"/>
    <n v="207"/>
    <n v="207"/>
    <n v="0"/>
    <n v="0.85"/>
    <n v="1"/>
    <n v="0.85"/>
    <n v="1"/>
  </r>
  <r>
    <x v="0"/>
    <s v="BKO-001 - RE-007"/>
    <x v="4"/>
    <n v="0"/>
    <n v="0"/>
    <n v="414"/>
    <n v="414"/>
    <n v="0"/>
    <n v="0.85"/>
    <n v="1"/>
    <n v="0.85"/>
    <n v="1"/>
  </r>
  <r>
    <x v="0"/>
    <s v="GNS-001 - BE-008"/>
    <x v="5"/>
    <n v="0"/>
    <n v="0"/>
    <n v="414"/>
    <n v="414"/>
    <n v="0"/>
    <n v="0.85"/>
    <n v="1"/>
    <n v="0.85"/>
    <n v="1"/>
  </r>
  <r>
    <x v="0"/>
    <s v="GNS-002 - FE-010"/>
    <x v="6"/>
    <n v="0"/>
    <n v="0"/>
    <n v="207"/>
    <n v="207"/>
    <n v="0"/>
    <n v="0.85"/>
    <n v="1"/>
    <n v="0.85"/>
    <n v="1"/>
  </r>
  <r>
    <x v="0"/>
    <s v="TMT-001 - ME-002"/>
    <x v="7"/>
    <n v="0"/>
    <n v="0"/>
    <n v="414"/>
    <n v="414"/>
    <n v="0"/>
    <n v="0.85"/>
    <n v="1"/>
    <n v="0.85"/>
    <n v="1"/>
  </r>
  <r>
    <x v="0"/>
    <s v="TMT-002 - FE-022"/>
    <x v="8"/>
    <n v="0"/>
    <n v="0"/>
    <n v="207"/>
    <n v="207"/>
    <n v="0"/>
    <n v="0.85"/>
    <n v="1"/>
    <n v="0.85"/>
    <n v="1"/>
  </r>
  <r>
    <x v="0"/>
    <s v="RDT-001 - ME-006"/>
    <x v="9"/>
    <n v="0"/>
    <n v="0"/>
    <n v="414"/>
    <n v="414"/>
    <n v="0"/>
    <n v="0.85"/>
    <n v="1"/>
    <n v="0.85"/>
    <n v="1"/>
  </r>
  <r>
    <x v="0"/>
    <s v="STR-001 - ME-007"/>
    <x v="10"/>
    <n v="0"/>
    <n v="0"/>
    <n v="414"/>
    <n v="414"/>
    <n v="0"/>
    <n v="0.85"/>
    <n v="1"/>
    <n v="0.85"/>
    <n v="1"/>
  </r>
  <r>
    <x v="0"/>
    <s v="CPR-001 - BE-018"/>
    <x v="11"/>
    <n v="0"/>
    <n v="0"/>
    <n v="414"/>
    <n v="414"/>
    <n v="0"/>
    <n v="0.85"/>
    <n v="1"/>
    <n v="0.85"/>
    <n v="1"/>
  </r>
  <r>
    <x v="0"/>
    <s v="CPR-002 - FE-020"/>
    <x v="12"/>
    <n v="0"/>
    <n v="0"/>
    <n v="414"/>
    <n v="414"/>
    <n v="0"/>
    <n v="0.85"/>
    <n v="1"/>
    <n v="0.85"/>
    <n v="1"/>
  </r>
  <r>
    <x v="0"/>
    <s v="SKR-001 - BE-020"/>
    <x v="13"/>
    <n v="0"/>
    <n v="0"/>
    <n v="414"/>
    <n v="414"/>
    <n v="0"/>
    <n v="0.85"/>
    <n v="1"/>
    <n v="0.85"/>
    <n v="1"/>
  </r>
  <r>
    <x v="0"/>
    <s v="SKR-002 - FE-021"/>
    <x v="14"/>
    <n v="0"/>
    <n v="0"/>
    <n v="414"/>
    <n v="414"/>
    <n v="0"/>
    <n v="0.85"/>
    <n v="1"/>
    <n v="0.85"/>
    <n v="1"/>
  </r>
  <r>
    <x v="0"/>
    <s v="SLR-001 - FE-019"/>
    <x v="15"/>
    <n v="0"/>
    <n v="0"/>
    <n v="414"/>
    <n v="414"/>
    <n v="0"/>
    <n v="0.85"/>
    <n v="1"/>
    <n v="0.85"/>
    <n v="1"/>
  </r>
  <r>
    <x v="1"/>
    <s v="KLN-001 - KE-003"/>
    <x v="16"/>
    <n v="0"/>
    <n v="0"/>
    <n v="552"/>
    <n v="552"/>
    <n v="0"/>
    <n v="0.99"/>
    <n v="1"/>
    <n v="0.99"/>
    <n v="1"/>
  </r>
  <r>
    <x v="1"/>
    <s v="KLN-002 - KE-004"/>
    <x v="17"/>
    <n v="0"/>
    <n v="0"/>
    <n v="552"/>
    <n v="552"/>
    <n v="0"/>
    <n v="0.99"/>
    <n v="1"/>
    <n v="0.99"/>
    <n v="1"/>
  </r>
  <r>
    <x v="1"/>
    <s v="KLN-003 - KE-002"/>
    <x v="18"/>
    <n v="0"/>
    <n v="0"/>
    <n v="552"/>
    <n v="552"/>
    <n v="0"/>
    <n v="0.99"/>
    <n v="1"/>
    <n v="0.99"/>
    <n v="1"/>
  </r>
  <r>
    <x v="1"/>
    <s v="KLN-004 - KE-001"/>
    <x v="19"/>
    <n v="0"/>
    <n v="0"/>
    <n v="552"/>
    <n v="552"/>
    <n v="0"/>
    <n v="0.99"/>
    <n v="1"/>
    <n v="0.99"/>
    <n v="1"/>
  </r>
  <r>
    <x v="1"/>
    <s v="KLN-005 - KE-005"/>
    <x v="20"/>
    <n v="0"/>
    <n v="0"/>
    <n v="552"/>
    <n v="552"/>
    <n v="0"/>
    <n v="0.99"/>
    <n v="1"/>
    <n v="0.99"/>
    <n v="1"/>
  </r>
  <r>
    <x v="2"/>
    <s v="PGS-001 - DE-001"/>
    <x v="21"/>
    <n v="0"/>
    <n v="0"/>
    <n v="207"/>
    <n v="207"/>
    <n v="0"/>
    <n v="0.85"/>
    <n v="1"/>
    <n v="0.85"/>
    <n v="1"/>
  </r>
  <r>
    <x v="2"/>
    <s v="OXC-001 - DE-101"/>
    <x v="22"/>
    <n v="0"/>
    <n v="0"/>
    <n v="414"/>
    <n v="414"/>
    <n v="0"/>
    <n v="0.85"/>
    <n v="1"/>
    <n v="0.85"/>
    <n v="1"/>
  </r>
  <r>
    <x v="2"/>
    <s v="PLR-001 - DE-001"/>
    <x v="23"/>
    <n v="0"/>
    <n v="0"/>
    <n v="414"/>
    <n v="414"/>
    <n v="0"/>
    <n v="0.85"/>
    <n v="1"/>
    <n v="0.85"/>
    <n v="1"/>
  </r>
  <r>
    <x v="2"/>
    <s v="PLR-002 - DE-002"/>
    <x v="24"/>
    <n v="0"/>
    <n v="0"/>
    <n v="207"/>
    <n v="207"/>
    <n v="0"/>
    <n v="0.85"/>
    <n v="1"/>
    <n v="0.85"/>
    <n v="1"/>
  </r>
  <r>
    <x v="2"/>
    <s v="JTR-001 - DE-102"/>
    <x v="25"/>
    <n v="0"/>
    <n v="0"/>
    <n v="207"/>
    <n v="207"/>
    <n v="0"/>
    <n v="0.85"/>
    <n v="1"/>
    <n v="0.85"/>
    <n v="1"/>
  </r>
  <r>
    <x v="2"/>
    <s v="CPR-003 - DE-002"/>
    <x v="26"/>
    <n v="0"/>
    <n v="0"/>
    <n v="414"/>
    <n v="414"/>
    <n v="0"/>
    <n v="0.85"/>
    <n v="1"/>
    <n v="0.85"/>
    <n v="1"/>
  </r>
  <r>
    <x v="1"/>
    <s v="BLR-001"/>
    <x v="27"/>
    <n v="0"/>
    <n v="0"/>
    <n v="552"/>
    <n v="552"/>
    <n v="0"/>
    <n v="0.99"/>
    <n v="1"/>
    <n v="0.99"/>
    <n v="1"/>
  </r>
  <r>
    <x v="1"/>
    <s v="BLR-002"/>
    <x v="28"/>
    <n v="0"/>
    <n v="0"/>
    <n v="552"/>
    <n v="552"/>
    <n v="0"/>
    <n v="0.99"/>
    <n v="1"/>
    <n v="0.99"/>
    <n v="1"/>
  </r>
  <r>
    <x v="1"/>
    <s v="BLR-003"/>
    <x v="29"/>
    <n v="0"/>
    <n v="0"/>
    <n v="552"/>
    <n v="552"/>
    <n v="0"/>
    <n v="0.99"/>
    <n v="1"/>
    <n v="0.99"/>
    <n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8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69:B70" firstHeaderRow="1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h="1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m="1" x="1"/>
        <item t="data" sd="1" m="1" x="3"/>
        <item t="data" sd="1" m="1" x="4"/>
        <item t="data" sd="1" m="1" x="2"/>
        <item t="data" h="1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1">
    <i t="grand" r="0" i="0">
      <x v="0"/>
    </i>
  </rowItems>
  <colItems count="1">
    <i t="data" r="0" i="0"/>
  </colItems>
  <pageFields count="1">
    <pageField fld="1" hier="-1"/>
  </pageFields>
  <dataFields count="1">
    <dataField name="Count of Downtime Hours" fld="7" subtotal="count" showDataAs="normal" baseField="8" baseItem="0"/>
  </dataFields>
  <chartFormats count="6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0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78:B79" firstHeaderRow="1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h="1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m="1" x="1"/>
        <item t="data" sd="1" m="1" x="3"/>
        <item t="data" sd="1" m="1" x="4"/>
        <item t="data" sd="1" m="1" x="2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1">
    <i t="grand" r="0" i="0">
      <x v="0"/>
    </i>
  </rowItems>
  <colItems count="1">
    <i t="data" r="0" i="0"/>
  </colItems>
  <pageFields count="1">
    <pageField fld="1" hier="-1"/>
  </pageFields>
  <dataFields count="1">
    <dataField name="Count of Maintenance Downtime Hours" fld="9" subtotal="count" showDataAs="normal" baseField="0" baseItem="0"/>
  </dataFields>
  <chartFormats count="6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3"/>
          </reference>
        </references>
      </pivotArea>
    </chartFormat>
    <chartFormat chart="0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A84:C94" firstHeaderRow="0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5"/>
        <item t="data" sd="1" x="4"/>
        <item t="data" sd="1" x="0"/>
        <item t="data" sd="1" x="1"/>
        <item t="data" sd="1" x="8"/>
        <item t="data" sd="1" x="2"/>
        <item t="data" sd="1" x="6"/>
        <item t="data" sd="1" x="3"/>
        <item t="data" sd="1" x="7"/>
        <item t="default" sd="1"/>
      </items>
    </pivotField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Availability Target" fld="1" subtotal="sum" showDataAs="normal" baseField="0" baseItem="0" numFmtId="9"/>
    <dataField name="Sum of Availability Actual" fld="2" subtotal="sum" showDataAs="normal" baseField="0" baseItem="0" numFmtId="9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138:C139" firstHeaderRow="0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h="1" sd="1" m="1" x="21"/>
        <item t="data" h="1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1" hier="-1"/>
  </pageFields>
  <dataFields count="2">
    <dataField name="Sum of Maintenance Downtime Hours" fld="9" subtotal="sum" showDataAs="normal" baseField="3" baseItem="0"/>
    <dataField name="Sum of Production Downtime Hours" fld="13" subtotal="sum" showDataAs="normal" baseField="3" baseItem="0"/>
  </dataFields>
  <formats count="2">
    <format action="formatting" dxfId="34">
      <pivotArea type="normal" dataOnly="1" outline="1" collapsedLevelsAreSubtotals="1" fieldPosition="0">
        <references count="1">
          <reference field="3"/>
        </references>
      </pivotArea>
    </format>
    <format action="formatting" dxfId="33">
      <pivotArea type="normal" dataOnly="1" grandRow="1" outline="0" collapsedLevelsAreSubtotals="1" fieldPosition="0"/>
    </format>
  </formats>
  <chartFormats count="2"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7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A164:C165" firstHeaderRow="0" firstDataRow="1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m="1" x="2"/>
        <item t="data" sd="1" m="1" x="1"/>
        <item t="data" sd="1" m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h="1" sd="1" m="1" x="21"/>
        <item t="data" h="1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1" hier="-1"/>
  </pageFields>
  <dataFields count="2">
    <dataField name="Count of Maintenance Downtime Hours" fld="9" subtotal="count" showDataAs="normal" baseField="0" baseItem="0"/>
    <dataField name="Sum of Maintenance Downtime Hours2" fld="9" subtotal="sum" showDataAs="normal" baseField="3" baseItem="0"/>
  </dataFields>
  <formats count="2">
    <format action="formatting" dxfId="32">
      <pivotArea type="normal" dataOnly="1" outline="1" collapsedLevelsAreSubtotals="1" fieldPosition="0">
        <references count="2">
          <reference field="4294967294" selected="0">
            <x v="1"/>
          </reference>
          <reference field="3"/>
        </references>
      </pivotArea>
    </format>
    <format action="formatting" dxfId="31">
      <pivotArea field="3" type="normal" dataOnly="1" grandRow="1" outline="0" collapsedLevelsAreSubtotals="1" axis="axisRow" fieldPosition="0">
        <references count="1">
          <reference field="4294967294" selected="0">
            <x v="1"/>
          </reference>
        </references>
      </pivotArea>
    </format>
  </formats>
  <chartFormats count="2">
    <chartFormat chart="5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69:C100" firstHeaderRow="0" firstDataRow="1" firstDataCol="1" rowPageCount="1" colPageCount="1"/>
  <pivotFields count="12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x="10"/>
        <item t="data" sd="1" x="1"/>
        <item t="data" sd="1" x="2"/>
        <item t="data" sd="1" x="3"/>
        <item t="data" sd="1" x="4"/>
        <item t="data" sd="1" x="27"/>
        <item t="data" sd="1" x="28"/>
        <item t="data" sd="1" x="29"/>
        <item t="data" sd="1" x="11"/>
        <item t="data" sd="1" x="12"/>
        <item t="data" sd="1" x="26"/>
        <item t="data" sd="1" x="5"/>
        <item t="data" sd="1" x="6"/>
        <item t="data" sd="1" x="25"/>
        <item t="data" sd="1" x="16"/>
        <item t="data" sd="1" x="17"/>
        <item t="data" sd="1" x="18"/>
        <item t="data" sd="1" x="19"/>
        <item t="data" sd="1" x="20"/>
        <item t="data" sd="1" x="22"/>
        <item t="data" sd="1" x="23"/>
        <item t="data" sd="1" x="24"/>
        <item t="data" sd="1" x="21"/>
        <item t="data" sd="1" x="0"/>
        <item t="data" sd="1" x="9"/>
        <item t="data" sd="1" x="15"/>
        <item t="data" sd="1" x="13"/>
        <item t="data" sd="1" x="14"/>
        <item t="data" sd="1" x="7"/>
        <item t="data" sd="1" x="8"/>
        <item t="default" sd="1"/>
      </items>
    </pivotField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-1"/>
  </pageFields>
  <dataFields count="2">
    <dataField name="Sum of Target Reliability %" fld="8" subtotal="sum" showDataAs="normal" baseField="0" baseItem="0" numFmtId="9"/>
    <dataField name="Sum of Reliability %" fld="9" subtotal="sum" showDataAs="normal" baseField="0" baseItem="0" numFmtId="9"/>
  </dataFields>
  <chartFormats count="2">
    <chartFormat chart="10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1" fieldListSortAscending="0" mdxSubqueries="0" applyNumberFormats="0" applyBorderFormats="0" applyFontFormats="0" applyPatternFormats="0" applyAlignmentFormats="0" applyWidthHeightFormats="1" r:id="rId1">
  <location ref="A103:C134" firstHeaderRow="0" firstDataRow="1" firstDataCol="1" rowPageCount="1" colPageCount="1"/>
  <pivotFields count="12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x="10"/>
        <item t="data" sd="1" x="1"/>
        <item t="data" sd="1" x="2"/>
        <item t="data" sd="1" x="3"/>
        <item t="data" sd="1" x="4"/>
        <item t="data" sd="1" x="27"/>
        <item t="data" sd="1" x="28"/>
        <item t="data" sd="1" x="29"/>
        <item t="data" sd="1" x="11"/>
        <item t="data" sd="1" x="12"/>
        <item t="data" sd="1" x="26"/>
        <item t="data" sd="1" x="5"/>
        <item t="data" sd="1" x="6"/>
        <item t="data" sd="1" x="25"/>
        <item t="data" sd="1" x="16"/>
        <item t="data" sd="1" x="17"/>
        <item t="data" sd="1" x="18"/>
        <item t="data" sd="1" x="19"/>
        <item t="data" sd="1" x="20"/>
        <item t="data" sd="1" x="22"/>
        <item t="data" sd="1" x="23"/>
        <item t="data" sd="1" x="24"/>
        <item t="data" sd="1" x="21"/>
        <item t="data" sd="1" x="0"/>
        <item t="data" sd="1" x="9"/>
        <item t="data" sd="1" x="15"/>
        <item t="data" sd="1" x="13"/>
        <item t="data" sd="1" x="14"/>
        <item t="data" sd="1" x="7"/>
        <item t="data" sd="1" x="8"/>
        <item t="default" sd="1"/>
      </items>
    </pivotField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  <pivotField dataField="1" showDropDowns="1" compact="1" numFmtId="9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3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-1"/>
  </pageFields>
  <dataFields count="2">
    <dataField name="Sum of Target Availability %" fld="10" subtotal="sum" showDataAs="normal" baseField="0" baseItem="0" numFmtId="9"/>
    <dataField name="Sum of Availability %" fld="11" subtotal="sum" showDataAs="normal" baseField="0" baseItem="0" numFmtId="9"/>
  </dataFields>
  <chartFormats count="2"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5" firstHeaderRow="1" firstDataRow="2" firstDataCol="1" rowPageCount="1" colPageCount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x="0"/>
        <item t="data" sd="1" m="1" x="5"/>
        <item t="data" sd="1" m="1" x="20"/>
        <item t="data" sd="1" m="1" x="4"/>
        <item t="data" sd="1" m="1" x="1"/>
        <item t="data" sd="1" m="1" x="17"/>
        <item t="data" sd="1" m="1" x="14"/>
        <item t="data" sd="1" m="1" x="18"/>
        <item t="data" sd="1" m="1" x="7"/>
        <item t="data" sd="1" m="1" x="13"/>
        <item t="data" sd="1" m="1" x="3"/>
        <item t="data" sd="1" m="1" x="9"/>
        <item t="data" sd="1" m="1" x="11"/>
        <item t="data" sd="1" m="1" x="10"/>
        <item t="data" sd="1" m="1" x="8"/>
        <item t="data" sd="1" m="1" x="6"/>
        <item t="data" sd="1" m="1" x="15"/>
        <item t="data" sd="1" m="1" x="12"/>
        <item t="data" sd="1" m="1" x="16"/>
        <item t="data" sd="1" m="1" x="2"/>
        <item t="data" sd="1" m="1" x="21"/>
        <item t="data" sd="1" m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m="1" x="1"/>
        <item t="data" sd="1" m="1" x="3"/>
        <item t="data" h="1" sd="1" m="1" x="4"/>
        <item t="data" sd="1" m="1" x="2"/>
        <item t="data" h="1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49">
        <item t="data" sd="1" m="1" x="16"/>
        <item t="data" sd="1" m="1" x="10"/>
        <item t="data" sd="1" m="1" x="12"/>
        <item t="data" sd="1" m="1" x="34"/>
        <item t="data" sd="1" m="1" x="2"/>
        <item t="data" sd="1" m="1" x="13"/>
        <item t="data" sd="1" m="1" x="11"/>
        <item t="data" sd="1" m="1" x="29"/>
        <item t="data" sd="1" m="1" x="36"/>
        <item t="data" sd="1" m="1" x="1"/>
        <item t="data" sd="1" m="1" x="3"/>
        <item t="data" sd="1" m="1" x="41"/>
        <item t="data" sd="1" m="1" x="9"/>
        <item t="data" sd="1" m="1" x="27"/>
        <item t="data" sd="1" m="1" x="37"/>
        <item t="data" sd="1" m="1" x="42"/>
        <item t="data" sd="1" m="1" x="4"/>
        <item t="data" sd="1" m="1" x="18"/>
        <item t="data" sd="1" m="1" x="26"/>
        <item t="data" sd="1" m="1" x="33"/>
        <item t="data" sd="1" m="1" x="6"/>
        <item t="data" sd="1" m="1" x="22"/>
        <item t="data" sd="1" m="1" x="24"/>
        <item t="data" sd="1" m="1" x="31"/>
        <item t="data" sd="1" m="1" x="40"/>
        <item t="data" sd="1" m="1" x="17"/>
        <item t="data" sd="1" m="1" x="8"/>
        <item t="data" sd="1" m="1" x="32"/>
        <item t="data" sd="1" m="1" x="5"/>
        <item t="data" sd="1" m="1" x="39"/>
        <item t="data" sd="1" m="1" x="7"/>
        <item t="data" sd="1" m="1" x="30"/>
        <item t="data" sd="1" m="1" x="20"/>
        <item t="data" sd="1" m="1" x="25"/>
        <item t="data" sd="1" m="1" x="47"/>
        <item t="data" sd="1" m="1" x="38"/>
        <item t="data" sd="1" m="1" x="21"/>
        <item t="data" sd="1" m="1" x="23"/>
        <item t="data" sd="1" m="1" x="14"/>
        <item t="data" sd="1" m="1" x="19"/>
        <item t="data" sd="1" m="1" x="35"/>
        <item t="data" sd="1" m="1" x="28"/>
        <item t="data" sd="1" m="1" x="15"/>
        <item t="data" sd="1" x="0"/>
        <item t="data" sd="1" m="1" x="43"/>
        <item t="data" sd="1" m="1" x="44"/>
        <item t="data" sd="1" m="1" x="45"/>
        <item t="data" sd="1" m="1" x="4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">
    <i t="grand" r="0" i="0">
      <x v="0"/>
    </i>
  </rowItems>
  <colFields count="1">
    <field x="10"/>
  </colFields>
  <colItems count="1">
    <i t="grand" r="0" i="0">
      <x v="0"/>
    </i>
  </colItems>
  <pageFields count="1">
    <pageField fld="8" hier="-1"/>
  </pageFields>
  <dataFields count="1">
    <dataField name="Count of Failed Component" fld="10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owntime" displayName="tblDowntime" ref="A1:Q2000" headerRowCount="1" totalsRowShown="0" headerRowDxfId="30" headerRowBorderDxfId="29" tableBorderDxfId="28">
  <autoFilter ref="A1:Q2000"/>
  <sortState ref="A2:Q2000">
    <sortCondition ref="A1:A2000"/>
  </sortState>
  <tableColumns count="17">
    <tableColumn id="1" name="Date" dataDxfId="27"/>
    <tableColumn id="2" name="Production Department">
      <calculatedColumnFormula array="1">_xlfn.XLOOKUP(C2,INDIRECT("tblEquipment[Equipment ID]"),INDIRECT("tblEquipment[Production Department]"),"")</calculatedColumnFormula>
    </tableColumn>
    <tableColumn id="3" name="Equipment ID" dataDxfId="26"/>
    <tableColumn id="4" name="Equipment Name">
      <calculatedColumnFormula array="1">_xlfn.XLOOKUP(C2,INDIRECT("tblEquipment[Equipment ID]"),INDIRECT("tblEquipment[Equipment Name]"),"")</calculatedColumnFormula>
    </tableColumn>
    <tableColumn id="5" name="Failure Description" dataDxfId="25"/>
    <tableColumn id="6" name="Downtime Start" dataDxfId="24"/>
    <tableColumn id="7" name="Downtime End" dataDxfId="23"/>
    <tableColumn id="8" name="Downtime Hours" dataDxfId="22">
      <calculatedColumnFormula>IF(OR(F2=0,G2=0),"",(G2-F2)*24)</calculatedColumnFormula>
    </tableColumn>
    <tableColumn id="9" name="Failure Type" dataDxfId="21"/>
    <tableColumn id="10" name="Maintenance Downtime Hours" dataDxfId="20">
      <calculatedColumnFormula>IF(OR(tblDowntime[[#This Row],[Failure Type]]="Sawshop",tblDowntime[[#This Row],[Failure Type]]="Electrical",tblDowntime[[#This Row],[Failure Type]]="Mechanical"),tblDowntime[[#This Row],[Downtime Hours]],"")</calculatedColumnFormula>
    </tableColumn>
    <tableColumn id="16" name="Failed Component" dataDxfId="19"/>
    <tableColumn id="17" name="Failure mode" dataDxfId="18"/>
    <tableColumn id="11" name="Equipment ID (Maint Down)">
      <calculatedColumnFormula>IF(tblDowntime[[#This Row],[Maintenance Downtime Hours]]="","",tblDowntime[[#This Row],[Equipment ID]])</calculatedColumnFormula>
    </tableColumn>
    <tableColumn id="12" name="Production Downtime Hours" dataDxfId="17">
      <calculatedColumnFormula>IF(tblDowntime[[#This Row],[Failure Type]]="Production",tblDowntime[[#This Row],[Downtime Hours]],"")</calculatedColumnFormula>
    </tableColumn>
    <tableColumn id="13" name="Equipment ID (Prod Down)">
      <calculatedColumnFormula>IF(tblDowntime[[#This Row],[Production Downtime Hours]]="","",tblDowntime[[#This Row],[Equipment ID]])</calculatedColumnFormula>
    </tableColumn>
    <tableColumn id="14" name="Repair Time" dataDxfId="16"/>
    <tableColumn id="15" name="Comment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quipment" displayName="tblEquipment" ref="A1:H36" headerRowCount="1" totalsRowShown="0">
  <autoFilter ref="A1:H36"/>
  <tableColumns count="8">
    <tableColumn id="1" name="Equipment ID" dataDxfId="14"/>
    <tableColumn id="5" name="Production Department" dataDxfId="13"/>
    <tableColumn id="2" name="Equipment Name" dataDxfId="12"/>
    <tableColumn id="3" name="Area" dataDxfId="11"/>
    <tableColumn id="4" name="Criticality"/>
    <tableColumn id="6" name="Planned Runtime (hrs/day)"/>
    <tableColumn id="7" name="Planned working day in the month" dataDxfId="10"/>
    <tableColumn id="18" name="Planned Runtime (hrs/month)" dataDxfId="9">
      <calculatedColumnFormula>SUM(tblEquipment[[#This Row],[Planned Runtime (hrs/day)]]*tblEquipment[[#This Row],[Planned working day in the month]])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Relationship Type="http://schemas.openxmlformats.org/officeDocument/2006/relationships/pivotTable" Target="/xl/pivotTables/pivotTable2.xml" Id="rId3" /><Relationship Type="http://schemas.openxmlformats.org/officeDocument/2006/relationships/pivotTable" Target="/xl/pivotTables/pivotTable3.xml" Id="rId4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4.xml" Id="rId2" /><Relationship Type="http://schemas.openxmlformats.org/officeDocument/2006/relationships/pivotTable" Target="/xl/pivotTables/pivotTable5.xml" Id="rId3" /><Relationship Type="http://schemas.openxmlformats.org/officeDocument/2006/relationships/pivotTable" Target="/xl/pivotTables/pivotTable6.xml" Id="rId4" /><Relationship Type="http://schemas.openxmlformats.org/officeDocument/2006/relationships/pivotTable" Target="/xl/pivotTables/pivotTable7.xml" Id="rId5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19" sqref="G19"/>
    </sheetView>
  </sheetViews>
  <sheetFormatPr baseColWidth="8" defaultRowHeight="1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S17" sqref="S17"/>
    </sheetView>
  </sheetViews>
  <sheetFormatPr baseColWidth="8" defaultRowHeight="12"/>
  <cols>
    <col width="8.28515625" bestFit="1" customWidth="1" min="1" max="1"/>
    <col width="20.42578125" bestFit="1" customWidth="1" min="2" max="2"/>
    <col width="21.140625" bestFit="1" customWidth="1" min="3" max="3"/>
    <col width="21.140625" customWidth="1" min="4" max="4"/>
    <col width="35.7109375" bestFit="1" customWidth="1" min="5" max="5"/>
    <col width="18" bestFit="1" customWidth="1" min="6" max="6"/>
    <col width="31.42578125" bestFit="1" customWidth="1" min="7" max="7"/>
    <col width="31.7109375" bestFit="1" customWidth="1" min="8" max="8"/>
    <col width="35.28515625" bestFit="1" customWidth="1" min="9" max="9"/>
    <col width="38.7109375" bestFit="1" customWidth="1" min="10" max="10"/>
    <col width="29.28515625" bestFit="1" customWidth="1" min="11" max="11"/>
    <col width="24.28515625" bestFit="1" customWidth="1" min="12" max="12"/>
    <col width="25.28515625" bestFit="1" customWidth="1" min="13" max="13"/>
    <col width="24.28515625" bestFit="1" customWidth="1" min="14" max="14"/>
    <col width="14.28515625" bestFit="1" customWidth="1" min="15" max="15"/>
    <col width="15.85546875" bestFit="1" customWidth="1" min="16" max="16"/>
    <col width="15.28515625" bestFit="1" customWidth="1" min="17" max="17"/>
    <col width="16.5703125" bestFit="1" customWidth="1" min="18" max="18"/>
    <col width="19.42578125" bestFit="1" customWidth="1" min="19" max="19"/>
  </cols>
  <sheetData>
    <row r="1">
      <c r="A1" t="inlineStr">
        <is>
          <t>Location</t>
        </is>
      </c>
      <c r="B1" t="inlineStr">
        <is>
          <t>Equipment no</t>
        </is>
      </c>
      <c r="C1" t="inlineStr">
        <is>
          <t>Daily Operational hours</t>
        </is>
      </c>
      <c r="D1" t="inlineStr">
        <is>
          <t>Production days in Month</t>
        </is>
      </c>
      <c r="E1" t="inlineStr">
        <is>
          <t>Standard operating minutes in the Month</t>
        </is>
      </c>
      <c r="F1" t="inlineStr">
        <is>
          <t>%Target availability</t>
        </is>
      </c>
      <c r="G1" t="inlineStr">
        <is>
          <t>Primary Failure Count in the Month</t>
        </is>
      </c>
      <c r="H1" t="inlineStr">
        <is>
          <t>Total Maintenance Downtime (min)</t>
        </is>
      </c>
      <c r="I1" t="inlineStr">
        <is>
          <t>Mean Time Time Repair (min) - MTTR</t>
        </is>
      </c>
      <c r="J1" t="inlineStr">
        <is>
          <t>Mean Time Between Failure (hours) - MTBF</t>
        </is>
      </c>
      <c r="K1" t="inlineStr">
        <is>
          <t>Monthly Failure rate (per day)(λ)</t>
        </is>
      </c>
      <c r="L1" t="inlineStr">
        <is>
          <t>Equipment Reliability - R(t)</t>
        </is>
      </c>
      <c r="M1" t="inlineStr">
        <is>
          <t>Probability of failure per day</t>
        </is>
      </c>
      <c r="N1" t="inlineStr">
        <is>
          <t>Response-in Contract Time</t>
        </is>
      </c>
      <c r="O1" t="inlineStr">
        <is>
          <t>Calls in 20 days</t>
        </is>
      </c>
      <c r="P1" t="inlineStr">
        <is>
          <t>Last Failure Date</t>
        </is>
      </c>
      <c r="Q1" t="inlineStr">
        <is>
          <t>First Failure date</t>
        </is>
      </c>
      <c r="R1" t="inlineStr">
        <is>
          <t>Actual Availability</t>
        </is>
      </c>
      <c r="S1" t="inlineStr">
        <is>
          <t>Response Conformity</t>
        </is>
      </c>
    </row>
    <row r="2">
      <c r="B2" t="inlineStr">
        <is>
          <t>Debarker</t>
        </is>
      </c>
      <c r="C2" t="n">
        <v>18</v>
      </c>
      <c r="D2" t="n">
        <v>20</v>
      </c>
      <c r="E2">
        <f>SUM((C2*D2)*60)</f>
        <v/>
      </c>
      <c r="F2" s="2" t="n">
        <v>0.95</v>
      </c>
      <c r="G2" t="n">
        <v>42</v>
      </c>
      <c r="H2" t="n">
        <v>3104</v>
      </c>
      <c r="I2" s="1">
        <f>SUM(H2/G2)</f>
        <v/>
      </c>
      <c r="J2" s="1">
        <f>IF(G2=0,"No failures",(C2/G2))</f>
        <v/>
      </c>
      <c r="K2" s="1">
        <f>SUM((1/J2))</f>
        <v/>
      </c>
      <c r="L2" s="1" t="n"/>
      <c r="M2" s="1">
        <f>SUM(E2/G2)</f>
        <v/>
      </c>
      <c r="R2" s="2">
        <f>IF(OR(J2="",I2=""),"",SUM(J2/(J2+(I2/(C2*60)))))</f>
        <v/>
      </c>
    </row>
    <row r="3">
      <c r="B3" t="inlineStr">
        <is>
          <t>Romeo</t>
        </is>
      </c>
      <c r="C3" t="n">
        <v>18</v>
      </c>
      <c r="D3" t="n">
        <v>20</v>
      </c>
      <c r="E3">
        <f>SUM((C3*D3)*60)</f>
        <v/>
      </c>
      <c r="F3" s="2" t="n">
        <v>0.95</v>
      </c>
      <c r="G3" t="n">
        <v>218</v>
      </c>
      <c r="I3" s="1">
        <f>SUM(H3/G3)</f>
        <v/>
      </c>
      <c r="J3" s="1">
        <f>IF(G3=0,"No failures",(C3/G3))</f>
        <v/>
      </c>
      <c r="K3" s="1">
        <f>SUM((1/J3))</f>
        <v/>
      </c>
      <c r="L3" s="1" t="n"/>
      <c r="M3" s="1">
        <f>SUM(E3/G3)</f>
        <v/>
      </c>
      <c r="R3" s="2">
        <f>IF(OR(J3="",I3=""),"",SUM(J3/(J3+(I3/(C3*60)))))</f>
        <v/>
      </c>
    </row>
    <row r="4">
      <c r="B4" t="inlineStr">
        <is>
          <t>Juliet</t>
        </is>
      </c>
      <c r="C4" t="n">
        <v>18</v>
      </c>
      <c r="D4" t="n">
        <v>20</v>
      </c>
      <c r="E4">
        <f>SUM((C4*D4)*60)</f>
        <v/>
      </c>
      <c r="F4" s="2" t="n">
        <v>0.95</v>
      </c>
      <c r="G4" t="n">
        <v>170</v>
      </c>
      <c r="I4" s="1">
        <f>SUM(H4/G4)</f>
        <v/>
      </c>
      <c r="J4" s="1">
        <f>IF(G4=0,"No failures",(C4/G4))</f>
        <v/>
      </c>
      <c r="K4" s="1">
        <f>SUM((1/J4))</f>
        <v/>
      </c>
      <c r="L4" s="1" t="n"/>
      <c r="M4" s="1">
        <f>SUM(E4/G4)</f>
        <v/>
      </c>
      <c r="R4" s="2">
        <f>IF(OR(J4="",I4=""),"",SUM(J4/(J4+(I4/(C4*60)))))</f>
        <v/>
      </c>
    </row>
    <row r="5">
      <c r="B5" t="inlineStr">
        <is>
          <t>B/L Multirip</t>
        </is>
      </c>
      <c r="C5" t="n">
        <v>18</v>
      </c>
      <c r="D5" t="n">
        <v>20</v>
      </c>
      <c r="E5">
        <f>SUM((C5*D5)*60)</f>
        <v/>
      </c>
      <c r="F5" s="2" t="n">
        <v>0.95</v>
      </c>
      <c r="G5" t="n">
        <v>26</v>
      </c>
      <c r="I5" s="1">
        <f>SUM(H5/G5)</f>
        <v/>
      </c>
      <c r="J5" s="1">
        <f>IF(G5=0,"No failures",(C5/G5))</f>
        <v/>
      </c>
      <c r="K5" s="1">
        <f>SUM((1/J5))</f>
        <v/>
      </c>
      <c r="L5" s="1" t="n"/>
      <c r="M5" s="1">
        <f>SUM(E5/G5)</f>
        <v/>
      </c>
      <c r="R5" s="2">
        <f>IF(OR(J5="",I5=""),"",SUM(J5/(J5+(I5/(C5*60)))))</f>
        <v/>
      </c>
    </row>
    <row r="6">
      <c r="B6" t="inlineStr">
        <is>
          <t>Teletwin</t>
        </is>
      </c>
      <c r="C6" t="n">
        <v>9</v>
      </c>
      <c r="D6" t="n">
        <v>20</v>
      </c>
      <c r="E6">
        <f>SUM((C6*D6)*60)</f>
        <v/>
      </c>
      <c r="F6" s="2" t="n">
        <v>0.95</v>
      </c>
      <c r="G6" t="n">
        <v>160</v>
      </c>
      <c r="I6" s="1">
        <f>SUM(H6/G6)</f>
        <v/>
      </c>
      <c r="J6" s="1">
        <f>IF(G6=0,"No failures",(C6/G6))</f>
        <v/>
      </c>
      <c r="K6" s="1">
        <f>SUM((1/J6))</f>
        <v/>
      </c>
      <c r="L6" s="1" t="n"/>
      <c r="M6" s="1">
        <f>SUM(E6/G6)</f>
        <v/>
      </c>
      <c r="R6" s="2">
        <f>IF(OR(J6="",I6=""),"",SUM(J6/(J6+(I6/(C6*60)))))</f>
        <v/>
      </c>
    </row>
    <row r="7">
      <c r="B7" t="inlineStr">
        <is>
          <t>F/L Multirip (DAMR)</t>
        </is>
      </c>
      <c r="C7" t="n">
        <v>9</v>
      </c>
      <c r="D7" t="n">
        <v>20</v>
      </c>
      <c r="E7">
        <f>SUM((C7*D7)*60)</f>
        <v/>
      </c>
      <c r="F7" s="2" t="n">
        <v>0.95</v>
      </c>
      <c r="G7" t="n">
        <v>28</v>
      </c>
      <c r="I7" s="1">
        <f>SUM(H7/G7)</f>
        <v/>
      </c>
      <c r="J7" s="1">
        <f>IF(G7=0,"No failures",(C7/G7))</f>
        <v/>
      </c>
      <c r="K7" s="1">
        <f>SUM((1/J7))</f>
        <v/>
      </c>
      <c r="L7" s="1" t="n"/>
      <c r="M7" s="1">
        <f>SUM(E7/G7)</f>
        <v/>
      </c>
      <c r="R7" s="2">
        <f>IF(OR(J7="",I7=""),"",SUM(J7/(J7+(I7/(C7*60)))))</f>
        <v/>
      </c>
    </row>
    <row r="8">
      <c r="B8" t="inlineStr">
        <is>
          <t>EWD</t>
        </is>
      </c>
      <c r="C8" t="n">
        <v>18</v>
      </c>
      <c r="D8" t="n">
        <v>20</v>
      </c>
      <c r="E8">
        <f>SUM((C8*D8)*60)</f>
        <v/>
      </c>
      <c r="F8" s="2" t="n">
        <v>0.95</v>
      </c>
      <c r="G8" t="n">
        <v>76</v>
      </c>
      <c r="I8" s="1">
        <f>SUM(H8/G8)</f>
        <v/>
      </c>
      <c r="J8" s="1">
        <f>IF(G8=0,"No failures",(C8/G8))</f>
        <v/>
      </c>
      <c r="K8" s="1">
        <f>SUM((1/J8))</f>
        <v/>
      </c>
      <c r="L8" s="1" t="n"/>
      <c r="M8" s="1">
        <f>SUM(E8/G8)</f>
        <v/>
      </c>
      <c r="R8" s="2">
        <f>IF(OR(J8="",I8=""),"",SUM(J8/(J8+(I8/(C8*60)))))</f>
        <v/>
      </c>
    </row>
    <row r="9">
      <c r="B9" t="inlineStr">
        <is>
          <t>Sky Trimmer</t>
        </is>
      </c>
      <c r="C9" t="n">
        <v>9</v>
      </c>
      <c r="D9" t="n">
        <v>20</v>
      </c>
      <c r="E9">
        <f>SUM((C9*D9)*60)</f>
        <v/>
      </c>
      <c r="F9" s="2" t="n">
        <v>0.95</v>
      </c>
      <c r="G9" t="n">
        <v>29</v>
      </c>
      <c r="I9" s="1">
        <f>SUM(H9/G9)</f>
        <v/>
      </c>
      <c r="J9" s="1">
        <f>IF(G9=0,"No failures",(C9/G9))</f>
        <v/>
      </c>
      <c r="K9" s="1">
        <f>SUM((1/J9))</f>
        <v/>
      </c>
      <c r="L9" s="1" t="n"/>
      <c r="M9" s="1">
        <f>SUM(E9/G9)</f>
        <v/>
      </c>
      <c r="R9" s="2">
        <f>IF(OR(J9="",I9=""),"",SUM(J9/(J9+(I9/(C9*60)))))</f>
        <v/>
      </c>
    </row>
    <row r="10">
      <c r="B10" t="inlineStr">
        <is>
          <t>Green Chain Trimdeck</t>
        </is>
      </c>
      <c r="C10" t="n">
        <v>18</v>
      </c>
      <c r="D10" t="n">
        <v>20</v>
      </c>
      <c r="E10">
        <f>SUM((C10*D10)*60)</f>
        <v/>
      </c>
      <c r="F10" s="2" t="n">
        <v>0.95</v>
      </c>
      <c r="G10" t="n">
        <v>34</v>
      </c>
      <c r="I10" s="1">
        <f>SUM(H10/G10)</f>
        <v/>
      </c>
      <c r="J10" s="1">
        <f>IF(G10=0,"No failures",(C10/G10))</f>
        <v/>
      </c>
      <c r="K10" s="1">
        <f>SUM((1/J10))</f>
        <v/>
      </c>
      <c r="L10" s="1" t="n"/>
      <c r="M10" s="1">
        <f>SUM(E10/G10)</f>
        <v/>
      </c>
      <c r="R10" s="2">
        <f>IF(OR(J10="",I10=""),"",SUM(J10/(J10+(I10/(C10*60)))))</f>
        <v/>
      </c>
    </row>
    <row r="11">
      <c r="B11" t="inlineStr">
        <is>
          <t>Roundtable</t>
        </is>
      </c>
      <c r="C11" t="n">
        <v>18</v>
      </c>
      <c r="D11" t="n">
        <v>20</v>
      </c>
      <c r="E11">
        <f>SUM((C11*D11)*60)</f>
        <v/>
      </c>
      <c r="F11" s="2" t="n">
        <v>0.95</v>
      </c>
      <c r="G11" t="n">
        <v>11</v>
      </c>
      <c r="I11" s="1">
        <f>SUM(H11/G11)</f>
        <v/>
      </c>
      <c r="J11" s="1">
        <f>IF(G11=0,"No failures",(C11/G11))</f>
        <v/>
      </c>
      <c r="K11" s="1">
        <f>SUM((1/J11))</f>
        <v/>
      </c>
      <c r="L11" s="1" t="n"/>
      <c r="M11" s="1">
        <f>SUM(E11/G11)</f>
        <v/>
      </c>
      <c r="R11" s="2">
        <f>IF(OR(J11="",I11=""),"",SUM(J11/(J11+(I11/(C11*60)))))</f>
        <v/>
      </c>
    </row>
    <row r="12">
      <c r="B12" t="inlineStr">
        <is>
          <t>Autostacker</t>
        </is>
      </c>
      <c r="C12" t="n">
        <v>18</v>
      </c>
      <c r="D12" t="n">
        <v>20</v>
      </c>
      <c r="E12">
        <f>SUM((C12*D12)*60)</f>
        <v/>
      </c>
      <c r="F12" s="2" t="n">
        <v>0.95</v>
      </c>
      <c r="G12" t="n">
        <v>76</v>
      </c>
      <c r="H12" t="n">
        <v>1220</v>
      </c>
      <c r="I12" s="1">
        <f>SUM(H12/G12)</f>
        <v/>
      </c>
      <c r="J12" s="1">
        <f>IF(G12=0,"No failures",(C12/G12))</f>
        <v/>
      </c>
      <c r="K12" s="1">
        <f>SUM((1/J12))</f>
        <v/>
      </c>
      <c r="L12" s="1" t="n"/>
      <c r="M12" s="1">
        <f>SUM(E12/G12)</f>
        <v/>
      </c>
      <c r="R12" s="2">
        <f>IF(OR(J12="",I12=""),"",SUM(J12/(J12+(I12/(C12*60)))))</f>
        <v/>
      </c>
    </row>
    <row r="13">
      <c r="B13" t="inlineStr">
        <is>
          <t>B/L Chipper</t>
        </is>
      </c>
      <c r="C13" t="n">
        <v>18</v>
      </c>
      <c r="D13" t="n">
        <v>20</v>
      </c>
      <c r="E13">
        <f>SUM((C13*D13)*60)</f>
        <v/>
      </c>
      <c r="F13" s="2" t="n">
        <v>0.95</v>
      </c>
      <c r="G13" t="n">
        <v>22</v>
      </c>
      <c r="J13" s="1">
        <f>IF(K13=0,"No failures",1/K13)</f>
        <v/>
      </c>
      <c r="K13" s="1">
        <f>SUM((G13/E13)*(1080/1))</f>
        <v/>
      </c>
      <c r="L13" s="1" t="n"/>
      <c r="M13" s="1">
        <f>SUM((1/J13)*K13)</f>
        <v/>
      </c>
      <c r="R13" s="2">
        <f>IF(OR(J13="",I13=""),"",SUM(J13/(J13+(I13/(C13*60)))))</f>
        <v/>
      </c>
    </row>
    <row r="14">
      <c r="B14" t="inlineStr">
        <is>
          <t>B/L Shaker</t>
        </is>
      </c>
      <c r="C14" t="n">
        <v>18</v>
      </c>
      <c r="D14" t="n">
        <v>20</v>
      </c>
      <c r="E14">
        <f>SUM((C14*D14)*60)</f>
        <v/>
      </c>
      <c r="F14" s="2" t="n">
        <v>0.95</v>
      </c>
      <c r="G14" t="n">
        <v>4</v>
      </c>
      <c r="I14" t="n">
        <v>22</v>
      </c>
      <c r="J14" s="1">
        <f>IF(K14=0,"No failures",1/K14)</f>
        <v/>
      </c>
      <c r="K14" s="1">
        <f>SUM((G14/E14)*(1080/1))</f>
        <v/>
      </c>
      <c r="L14" s="1" t="n"/>
      <c r="M14" s="1">
        <f>SUM((1/J14)*K14)</f>
        <v/>
      </c>
      <c r="R14" s="2">
        <f>IF(OR(J14="",I14=""),"",SUM(J14/(J14+(I14/(C14*60)))))</f>
        <v/>
      </c>
    </row>
    <row r="15">
      <c r="B15" t="inlineStr">
        <is>
          <t>F/L Scalper</t>
        </is>
      </c>
      <c r="C15" t="n">
        <v>18</v>
      </c>
      <c r="D15" t="n">
        <v>20</v>
      </c>
      <c r="E15">
        <f>SUM((C15*D15)*60)</f>
        <v/>
      </c>
      <c r="F15" s="2" t="n">
        <v>0.95</v>
      </c>
      <c r="G15" t="n">
        <v>0</v>
      </c>
      <c r="I15" t="n">
        <v>0</v>
      </c>
      <c r="J15" s="1">
        <f>IF(K15=0,"No failures",1/K15)</f>
        <v/>
      </c>
      <c r="K15" s="1">
        <f>SUM((G15/E15)*(1080/1))</f>
        <v/>
      </c>
      <c r="L15" s="1" t="n"/>
      <c r="M15" s="1">
        <f>SUM((1/J15)*K15)</f>
        <v/>
      </c>
      <c r="R15" s="2">
        <f>IF(OR(J15="",I15=""),"",SUM(J15/(J15+(I15/(C15*60)))))</f>
        <v/>
      </c>
    </row>
    <row r="16">
      <c r="B16" t="inlineStr">
        <is>
          <t>F/L Chipper</t>
        </is>
      </c>
      <c r="C16" t="n">
        <v>18</v>
      </c>
      <c r="D16" t="n">
        <v>20</v>
      </c>
      <c r="E16">
        <f>SUM((C16*D16)*60)</f>
        <v/>
      </c>
      <c r="F16" s="2" t="n">
        <v>0.95</v>
      </c>
      <c r="G16" t="n">
        <v>5</v>
      </c>
      <c r="I16" t="n">
        <v>19</v>
      </c>
      <c r="J16" s="1">
        <f>IF(K16=0,"No failures",1/K16)</f>
        <v/>
      </c>
      <c r="K16" s="1">
        <f>SUM((G16/E16)*(1080/1))</f>
        <v/>
      </c>
      <c r="L16" s="1" t="n"/>
      <c r="M16" s="1">
        <f>SUM((1/J16)*K16)</f>
        <v/>
      </c>
      <c r="R16" s="2">
        <f>IF(OR(J16="",I16=""),"",SUM(J16/(J16+(I16/(C16*60)))))</f>
        <v/>
      </c>
    </row>
    <row r="17">
      <c r="B17" t="inlineStr">
        <is>
          <t>F/L Shaker</t>
        </is>
      </c>
      <c r="C17" t="n">
        <v>18</v>
      </c>
      <c r="D17" t="n">
        <v>20</v>
      </c>
      <c r="E17">
        <f>SUM((C17*D17)*60)</f>
        <v/>
      </c>
      <c r="F17" s="2" t="n">
        <v>0.95</v>
      </c>
      <c r="G17" t="n">
        <v>0</v>
      </c>
      <c r="I17" t="n">
        <v>0</v>
      </c>
      <c r="J17" s="1">
        <f>IF(K17=0,"No failures",1/K17)</f>
        <v/>
      </c>
      <c r="K17" s="1">
        <f>SUM((G17/E17)*(1080/1))</f>
        <v/>
      </c>
      <c r="L17" s="1" t="n"/>
      <c r="M17" s="1">
        <f>SUM((1/J17)*K17)</f>
        <v/>
      </c>
      <c r="R17" s="2">
        <f>IF(OR(J17="",I17=""),"",SUM(J17/(J17+(I17/(C17*60)))))</f>
        <v/>
      </c>
    </row>
    <row r="18">
      <c r="B18" t="inlineStr">
        <is>
          <t>Boiler 1</t>
        </is>
      </c>
      <c r="C18" t="n">
        <v>24</v>
      </c>
      <c r="D18" t="n">
        <v>20</v>
      </c>
      <c r="E18">
        <f>SUM((C18*D18)*60)</f>
        <v/>
      </c>
      <c r="F18" s="2" t="n">
        <v>0.95</v>
      </c>
      <c r="G18" t="n">
        <v>0</v>
      </c>
      <c r="I18" t="n">
        <v>0</v>
      </c>
      <c r="J18" s="1">
        <f>IF(K18=0,"No failures",1/K18)</f>
        <v/>
      </c>
      <c r="K18" s="1">
        <f>SUM((G18/E18)*(1440/1))</f>
        <v/>
      </c>
      <c r="L18" s="1" t="n"/>
      <c r="M18" s="1">
        <f>SUM((1/J18)*K18)</f>
        <v/>
      </c>
      <c r="R18" s="2">
        <f>IF(OR(J18="",I18=""),"",SUM(J18/(J18+(I18/(C18*60)))))</f>
        <v/>
      </c>
    </row>
    <row r="19">
      <c r="B19" t="inlineStr">
        <is>
          <t>Boiler 2</t>
        </is>
      </c>
      <c r="C19" t="n">
        <v>24</v>
      </c>
      <c r="D19" t="n">
        <v>20</v>
      </c>
      <c r="E19">
        <f>SUM((C19*D19)*60)</f>
        <v/>
      </c>
      <c r="F19" s="2" t="n">
        <v>0.95</v>
      </c>
      <c r="G19" t="n">
        <v>3</v>
      </c>
      <c r="I19" t="n">
        <v>1388</v>
      </c>
      <c r="J19" s="1">
        <f>IF(K19=0,"No failures",1/K19)</f>
        <v/>
      </c>
      <c r="K19" s="1">
        <f>SUM((G19/E19)*(1440/1))</f>
        <v/>
      </c>
      <c r="L19" s="1" t="n"/>
      <c r="M19" s="1">
        <f>SUM((1/J19)*K19)</f>
        <v/>
      </c>
      <c r="R19" s="2">
        <f>IF(OR(J19="",I19=""),"",SUM(J19/(J19+(I19/(C19*60)))))</f>
        <v/>
      </c>
    </row>
    <row r="20">
      <c r="B20" t="inlineStr">
        <is>
          <t>Boiler 3</t>
        </is>
      </c>
      <c r="C20" t="n">
        <v>24</v>
      </c>
      <c r="D20" t="n">
        <v>20</v>
      </c>
      <c r="E20">
        <f>SUM((C20*D20)*60)</f>
        <v/>
      </c>
      <c r="F20" s="2" t="n">
        <v>0.95</v>
      </c>
      <c r="G20" t="n">
        <v>1</v>
      </c>
      <c r="I20" t="n">
        <v>7200</v>
      </c>
      <c r="J20" s="1">
        <f>IF(K20=0,"No failures",1/K20)</f>
        <v/>
      </c>
      <c r="K20" s="1">
        <f>SUM((G20/E20)*(1440/1))</f>
        <v/>
      </c>
      <c r="L20" s="1" t="n"/>
      <c r="M20" s="1">
        <f>SUM((1/J20)*K20)</f>
        <v/>
      </c>
      <c r="R20" s="2">
        <f>IF(OR(J20="",I20=""),"",SUM(J20/(J20+(I20/(C20*60)))))</f>
        <v/>
      </c>
    </row>
    <row r="21">
      <c r="B21" t="inlineStr">
        <is>
          <t>Bollman 1</t>
        </is>
      </c>
      <c r="C21" t="n">
        <v>24</v>
      </c>
      <c r="D21" t="n">
        <v>20</v>
      </c>
      <c r="E21">
        <f>SUM((C21*D21)*60)</f>
        <v/>
      </c>
      <c r="F21" s="2" t="n">
        <v>0.95</v>
      </c>
      <c r="G21" t="n">
        <v>0</v>
      </c>
      <c r="I21" t="n">
        <v>0</v>
      </c>
      <c r="J21" s="1">
        <f>IF(K21=0,"No failures",1/K21)</f>
        <v/>
      </c>
      <c r="K21" s="1">
        <f>SUM((G21/E21)*(1440/1))</f>
        <v/>
      </c>
      <c r="L21" s="1" t="n"/>
      <c r="M21" s="1">
        <f>SUM((1/J21)*K21)</f>
        <v/>
      </c>
      <c r="R21" s="2">
        <f>IF(OR(J21="",I21=""),"",SUM(J21/(J21+(I21/(C21*60)))))</f>
        <v/>
      </c>
    </row>
    <row r="22">
      <c r="B22" t="inlineStr">
        <is>
          <t>Bollman 2</t>
        </is>
      </c>
      <c r="C22" t="n">
        <v>24</v>
      </c>
      <c r="D22" t="n">
        <v>20</v>
      </c>
      <c r="E22">
        <f>SUM((C22*D22)*60)</f>
        <v/>
      </c>
      <c r="F22" s="2" t="n">
        <v>0.95</v>
      </c>
      <c r="G22" t="n">
        <v>0</v>
      </c>
      <c r="I22" t="n">
        <v>0</v>
      </c>
      <c r="J22" s="1">
        <f>IF(K22=0,"No failures",1/K22)</f>
        <v/>
      </c>
      <c r="K22" s="1">
        <f>SUM((G22/E22)*(1440/1))</f>
        <v/>
      </c>
      <c r="L22" s="1" t="n"/>
      <c r="M22" s="1">
        <f>SUM((1/J22)*K22)</f>
        <v/>
      </c>
      <c r="R22" s="2">
        <f>IF(OR(J22="",I22=""),"",SUM(J22/(J22+(I22/(C22*60)))))</f>
        <v/>
      </c>
    </row>
    <row r="23">
      <c r="B23" t="inlineStr">
        <is>
          <t>Winsor 1</t>
        </is>
      </c>
      <c r="C23" t="n">
        <v>24</v>
      </c>
      <c r="D23" t="n">
        <v>20</v>
      </c>
      <c r="E23">
        <f>SUM((C23*D23)*60)</f>
        <v/>
      </c>
      <c r="F23" s="2" t="n">
        <v>0.95</v>
      </c>
      <c r="G23" t="n">
        <v>0</v>
      </c>
      <c r="I23" t="n">
        <v>0</v>
      </c>
      <c r="J23" s="1">
        <f>IF(K23=0,"No failures",1/K23)</f>
        <v/>
      </c>
      <c r="K23" s="1">
        <f>SUM((G23/E23)*(1440/1))</f>
        <v/>
      </c>
      <c r="L23" s="1" t="n"/>
      <c r="M23" s="1">
        <f>SUM((1/J23)*K23)</f>
        <v/>
      </c>
      <c r="R23" s="2">
        <f>IF(OR(J23="",I23=""),"",SUM(J23/(J23+(I23/(C23*60)))))</f>
        <v/>
      </c>
    </row>
    <row r="24">
      <c r="B24" t="inlineStr">
        <is>
          <t>Winsor 2</t>
        </is>
      </c>
      <c r="C24" t="n">
        <v>24</v>
      </c>
      <c r="D24" t="n">
        <v>20</v>
      </c>
      <c r="E24">
        <f>SUM((C24*D24)*60)</f>
        <v/>
      </c>
      <c r="F24" s="2" t="n">
        <v>0.95</v>
      </c>
      <c r="G24" t="n">
        <v>0</v>
      </c>
      <c r="I24" t="n">
        <v>0</v>
      </c>
      <c r="J24" s="1">
        <f>IF(K24=0,"No failures",1/K24)</f>
        <v/>
      </c>
      <c r="K24" s="1">
        <f>SUM((G24/E24)*(1440/1))</f>
        <v/>
      </c>
      <c r="L24" s="1" t="n"/>
      <c r="M24" s="1">
        <f>SUM((1/J24)*K24)</f>
        <v/>
      </c>
      <c r="R24" s="2">
        <f>IF(OR(J24="",I24=""),"",SUM(J24/(J24+(I24/(C24*60)))))</f>
        <v/>
      </c>
    </row>
    <row r="25">
      <c r="B25" t="inlineStr">
        <is>
          <t>TFD</t>
        </is>
      </c>
      <c r="C25" t="n">
        <v>24</v>
      </c>
      <c r="D25" t="n">
        <v>20</v>
      </c>
      <c r="E25">
        <f>SUM((C25*D25)*60)</f>
        <v/>
      </c>
      <c r="F25" s="2" t="n">
        <v>0.95</v>
      </c>
      <c r="G25" t="n">
        <v>0</v>
      </c>
      <c r="I25" t="n">
        <v>0</v>
      </c>
      <c r="J25" s="1">
        <f>IF(K25=0,"No failures",1/K25)</f>
        <v/>
      </c>
      <c r="K25" s="1">
        <f>SUM((G25/E25)*(1440/1))</f>
        <v/>
      </c>
      <c r="L25" s="1" t="n"/>
      <c r="M25" s="1">
        <f>SUM((1/J25)*K25)</f>
        <v/>
      </c>
      <c r="R25" s="2">
        <f>IF(OR(J25="",I25=""),"",SUM(J25/(J25+(I25/(C25*60)))))</f>
        <v/>
      </c>
    </row>
    <row r="26">
      <c r="B26" t="inlineStr">
        <is>
          <t>Odden</t>
        </is>
      </c>
      <c r="C26" t="n">
        <v>9</v>
      </c>
      <c r="D26" t="n">
        <v>20</v>
      </c>
      <c r="E26">
        <f>SUM((C26*D26)*60)</f>
        <v/>
      </c>
      <c r="F26" s="2" t="n">
        <v>0.95</v>
      </c>
      <c r="G26" t="n">
        <v>66</v>
      </c>
      <c r="I26" t="n">
        <v>43</v>
      </c>
      <c r="J26" s="1">
        <f>IF(K26=0,"No failures",1/K26)</f>
        <v/>
      </c>
      <c r="K26" s="1">
        <f>SUM((G26/E26)*(540/1))</f>
        <v/>
      </c>
      <c r="L26" s="1" t="n"/>
      <c r="M26" s="1">
        <f>SUM((1/J26)*K26)</f>
        <v/>
      </c>
      <c r="R26" s="2">
        <f>IF(OR(J26="",I26=""),"",SUM(J26/(J26+(I26/(C26*60)))))</f>
        <v/>
      </c>
    </row>
    <row r="27">
      <c r="B27" t="inlineStr">
        <is>
          <t>Rex 1</t>
        </is>
      </c>
      <c r="C27" t="n">
        <v>18</v>
      </c>
      <c r="D27" t="n">
        <v>20</v>
      </c>
      <c r="E27">
        <f>SUM((C27*D27)*60)</f>
        <v/>
      </c>
      <c r="F27" s="2" t="n">
        <v>0.95</v>
      </c>
      <c r="G27" t="n">
        <v>52</v>
      </c>
      <c r="I27" t="n">
        <v>89</v>
      </c>
      <c r="J27" s="1">
        <f>IF(K27=0,"No failures",1/K27)</f>
        <v/>
      </c>
      <c r="K27" s="1">
        <f>SUM((G27/E27)*(1080/1))</f>
        <v/>
      </c>
      <c r="L27" s="1" t="n"/>
      <c r="M27" s="1">
        <f>SUM((1/J27)*K27)</f>
        <v/>
      </c>
      <c r="R27" s="2">
        <f>IF(OR(J27="",I27=""),"",SUM(J27/(J27+(I27/(C27*60)))))</f>
        <v/>
      </c>
    </row>
    <row r="28">
      <c r="B28" t="inlineStr">
        <is>
          <t>Rex 2</t>
        </is>
      </c>
      <c r="C28" t="n">
        <v>18</v>
      </c>
      <c r="D28" t="n">
        <v>20</v>
      </c>
      <c r="E28">
        <f>SUM((C28*D28)*60)</f>
        <v/>
      </c>
      <c r="F28" s="2" t="n">
        <v>0.95</v>
      </c>
      <c r="G28" t="n">
        <v>52</v>
      </c>
      <c r="I28" t="n">
        <v>89</v>
      </c>
      <c r="J28" s="1">
        <f>IF(K28=0,"No failures",1/K28)</f>
        <v/>
      </c>
      <c r="K28" s="1">
        <f>SUM((G28/E28)*(1080/1))</f>
        <v/>
      </c>
      <c r="L28" s="1" t="n"/>
      <c r="M28" s="1">
        <f>SUM((1/J28)*K28)</f>
        <v/>
      </c>
      <c r="R28" s="2">
        <f>IF(OR(J28="",I28=""),"",SUM(J28/(J28+(I28/(C28*60)))))</f>
        <v/>
      </c>
    </row>
    <row r="29">
      <c r="B29" t="inlineStr">
        <is>
          <t>Paul</t>
        </is>
      </c>
      <c r="C29" t="n">
        <v>18</v>
      </c>
      <c r="D29" t="n">
        <v>20</v>
      </c>
      <c r="E29">
        <f>SUM((C29*D29)*60)</f>
        <v/>
      </c>
      <c r="F29" s="2" t="n">
        <v>0.95</v>
      </c>
      <c r="G29" t="n">
        <v>23</v>
      </c>
      <c r="I29" t="n">
        <v>71</v>
      </c>
      <c r="J29" s="1">
        <f>IF(K29=0,"No failures",1/K29)</f>
        <v/>
      </c>
      <c r="K29" s="1">
        <f>SUM((G29/E29)*(1080/1))</f>
        <v/>
      </c>
      <c r="L29" s="1" t="n"/>
      <c r="M29" s="1">
        <f>SUM((1/J29)*K29)</f>
        <v/>
      </c>
      <c r="R29" s="2">
        <f>IF(OR(J29="",I29=""),"",SUM(J29/(J29+(I29/(C29*60)))))</f>
        <v/>
      </c>
    </row>
    <row r="30">
      <c r="B30" t="inlineStr">
        <is>
          <t>Finger Jointer</t>
        </is>
      </c>
      <c r="C30" t="n">
        <v>9</v>
      </c>
      <c r="D30" t="n">
        <v>20</v>
      </c>
      <c r="E30">
        <f>SUM((C30*D30)*60)</f>
        <v/>
      </c>
      <c r="F30" s="2" t="n">
        <v>0.95</v>
      </c>
      <c r="G30" t="n">
        <v>24</v>
      </c>
      <c r="I30" t="n">
        <v>191</v>
      </c>
      <c r="J30" s="1">
        <f>IF(K30=0,"No failures",1/K30)</f>
        <v/>
      </c>
      <c r="K30" s="1">
        <f>SUM((G30/E30)*(540/1))</f>
        <v/>
      </c>
      <c r="L30" s="1" t="n"/>
      <c r="M30" s="1">
        <f>SUM((1/J30)*K30)</f>
        <v/>
      </c>
      <c r="R30" s="2">
        <f>IF(OR(J30="",I30=""),"",SUM(J30/(J30+(I30/(C30*60)))))</f>
        <v/>
      </c>
    </row>
    <row r="31">
      <c r="R31" s="1" t="n"/>
    </row>
    <row r="35">
      <c r="I35">
        <f>EXP(1)</f>
        <v/>
      </c>
    </row>
  </sheetData>
  <conditionalFormatting sqref="R2:R30">
    <cfRule type="cellIs" priority="1" operator="greaterThan" dxfId="0">
      <formula>$F$3</formula>
    </cfRule>
    <cfRule type="cellIs" priority="2" operator="lessThanOrEqual" dxfId="3">
      <formula>$F$3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7:C94"/>
  <sheetViews>
    <sheetView topLeftCell="A16" zoomScale="40" zoomScaleNormal="40" workbookViewId="0">
      <selection activeCell="H67" sqref="H67"/>
    </sheetView>
  </sheetViews>
  <sheetFormatPr baseColWidth="8" defaultRowHeight="12"/>
  <cols>
    <col width="15.42578125" bestFit="1" customWidth="1" min="1" max="1"/>
    <col width="25.7109375" bestFit="1" customWidth="1" min="2" max="2"/>
    <col width="25.5703125" bestFit="1" customWidth="1" min="3" max="3"/>
    <col width="30.5703125" bestFit="1" customWidth="1" min="4" max="4"/>
    <col width="40.5703125" bestFit="1" customWidth="1" min="5" max="5"/>
    <col width="30.5703125" bestFit="1" customWidth="1" min="6" max="6"/>
    <col width="40.5703125" bestFit="1" customWidth="1" min="7" max="7"/>
    <col width="38.7109375" bestFit="1" customWidth="1" min="8" max="8"/>
    <col width="48.7109375" bestFit="1" customWidth="1" min="9" max="9"/>
    <col width="15.5703125" bestFit="1" customWidth="1" min="10" max="10"/>
    <col width="18.42578125" bestFit="1" customWidth="1" min="11" max="16"/>
    <col width="17" bestFit="1" customWidth="1" min="17" max="17"/>
    <col width="18.42578125" bestFit="1" customWidth="1" min="18" max="21"/>
    <col width="3.7109375" bestFit="1" customWidth="1" min="22" max="22"/>
    <col width="15.5703125" bestFit="1" customWidth="1" min="23" max="23"/>
    <col width="8.85546875" bestFit="1" customWidth="1" min="24" max="24"/>
    <col width="15.5703125" bestFit="1" customWidth="1" min="25" max="25"/>
    <col width="12.140625" bestFit="1" customWidth="1" min="26" max="26"/>
    <col width="19.140625" bestFit="1" customWidth="1" min="27" max="27"/>
    <col width="17.7109375" bestFit="1" customWidth="1" min="28" max="28"/>
  </cols>
  <sheetData>
    <row r="67">
      <c r="A67" s="7" t="inlineStr">
        <is>
          <t>Production Department</t>
        </is>
      </c>
      <c r="B67" t="inlineStr">
        <is>
          <t>(Multiple Items)</t>
        </is>
      </c>
    </row>
    <row r="69">
      <c r="A69" s="7" t="inlineStr">
        <is>
          <t>Row Labels</t>
        </is>
      </c>
      <c r="B69" t="inlineStr">
        <is>
          <t>Count of Downtime Hours</t>
        </is>
      </c>
    </row>
    <row r="70">
      <c r="A70" s="8" t="inlineStr">
        <is>
          <t>Grand Total</t>
        </is>
      </c>
    </row>
    <row r="76">
      <c r="A76" s="7" t="inlineStr">
        <is>
          <t>Production Department</t>
        </is>
      </c>
      <c r="B76" t="inlineStr">
        <is>
          <t>(Multiple Items)</t>
        </is>
      </c>
    </row>
    <row r="78">
      <c r="A78" s="7" t="inlineStr">
        <is>
          <t>Row Labels</t>
        </is>
      </c>
      <c r="B78" t="inlineStr">
        <is>
          <t>Count of Maintenance Downtime Hours</t>
        </is>
      </c>
    </row>
    <row r="79">
      <c r="A79" s="8" t="inlineStr">
        <is>
          <t>Grand Total</t>
        </is>
      </c>
    </row>
    <row r="84">
      <c r="A84" s="7" t="inlineStr">
        <is>
          <t>Row Labels</t>
        </is>
      </c>
      <c r="B84" t="inlineStr">
        <is>
          <t>Sum of Availability Target</t>
        </is>
      </c>
      <c r="C84" t="inlineStr">
        <is>
          <t>Sum of Availability Actual</t>
        </is>
      </c>
    </row>
    <row r="85">
      <c r="A85" s="8" t="inlineStr">
        <is>
          <t>AutoStacker</t>
        </is>
      </c>
      <c r="B85" s="9" t="n">
        <v>0.85</v>
      </c>
      <c r="C85" s="9" t="n">
        <v>1</v>
      </c>
    </row>
    <row r="86">
      <c r="A86" s="8" t="inlineStr">
        <is>
          <t>Bandline</t>
        </is>
      </c>
      <c r="B86" s="9" t="n">
        <v>0.9</v>
      </c>
      <c r="C86" s="9" t="n">
        <v>1</v>
      </c>
    </row>
    <row r="87">
      <c r="A87" s="8" t="inlineStr">
        <is>
          <t>Boilers</t>
        </is>
      </c>
      <c r="B87" s="9" t="n">
        <v>0.99</v>
      </c>
      <c r="C87" s="9" t="n">
        <v>1</v>
      </c>
    </row>
    <row r="88">
      <c r="A88" s="8" t="inlineStr">
        <is>
          <t>Debarker</t>
        </is>
      </c>
      <c r="B88" s="9" t="n">
        <v>0.85</v>
      </c>
      <c r="C88" s="9" t="n">
        <v>1</v>
      </c>
    </row>
    <row r="89">
      <c r="A89" s="8" t="inlineStr">
        <is>
          <t>Drymil Primary</t>
        </is>
      </c>
      <c r="B89" s="9" t="n">
        <v>0.85</v>
      </c>
      <c r="C89" s="9" t="n">
        <v>1</v>
      </c>
    </row>
    <row r="90">
      <c r="A90" s="8" t="inlineStr">
        <is>
          <t>Frameline</t>
        </is>
      </c>
      <c r="B90" s="9" t="n">
        <v>0.9</v>
      </c>
      <c r="C90" s="9" t="n">
        <v>1</v>
      </c>
    </row>
    <row r="91">
      <c r="A91" s="8" t="inlineStr">
        <is>
          <t>Kilns</t>
        </is>
      </c>
      <c r="B91" s="9" t="n">
        <v>0.99</v>
      </c>
      <c r="C91" s="9" t="n">
        <v>1</v>
      </c>
    </row>
    <row r="92">
      <c r="A92" s="8" t="inlineStr">
        <is>
          <t>Recovery line</t>
        </is>
      </c>
      <c r="B92" s="9" t="n">
        <v>0.9</v>
      </c>
      <c r="C92" s="9" t="n">
        <v>1</v>
      </c>
    </row>
    <row r="93">
      <c r="A93" s="8" t="inlineStr">
        <is>
          <t>Wetmill Primary</t>
        </is>
      </c>
      <c r="B93" s="9" t="n">
        <v>0.85</v>
      </c>
      <c r="C93" s="9" t="n">
        <v>1</v>
      </c>
    </row>
    <row r="94">
      <c r="A94" s="8" t="inlineStr">
        <is>
          <t>Grand Total</t>
        </is>
      </c>
      <c r="B94" s="9" t="n">
        <v>8.080000000000002</v>
      </c>
      <c r="C94" s="9" t="n">
        <v>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7:C165"/>
  <sheetViews>
    <sheetView topLeftCell="A4" zoomScale="25" zoomScaleNormal="25" workbookViewId="0">
      <selection activeCell="A164" sqref="A164"/>
    </sheetView>
  </sheetViews>
  <sheetFormatPr baseColWidth="8" defaultRowHeight="12"/>
  <cols>
    <col width="31" bestFit="1" customWidth="1" min="1" max="1"/>
    <col width="65.85546875" bestFit="1" customWidth="1" min="2" max="2"/>
    <col width="62.42578125" bestFit="1" customWidth="1" min="3" max="3"/>
  </cols>
  <sheetData>
    <row r="67">
      <c r="A67" s="7" t="inlineStr">
        <is>
          <t>Production Department</t>
        </is>
      </c>
      <c r="B67" t="inlineStr">
        <is>
          <t>(All)</t>
        </is>
      </c>
    </row>
    <row r="69">
      <c r="A69" s="7" t="inlineStr">
        <is>
          <t>Row Labels</t>
        </is>
      </c>
      <c r="B69" t="inlineStr">
        <is>
          <t>Sum of Target Reliability %</t>
        </is>
      </c>
      <c r="C69" t="inlineStr">
        <is>
          <t>Sum of Reliability %</t>
        </is>
      </c>
    </row>
    <row r="70">
      <c r="A70" s="8" t="inlineStr">
        <is>
          <t>Autostacker 1</t>
        </is>
      </c>
      <c r="B70" s="9" t="n">
        <v>0.85</v>
      </c>
      <c r="C70" s="9" t="n">
        <v>1</v>
      </c>
    </row>
    <row r="71">
      <c r="A71" s="8" t="inlineStr">
        <is>
          <t>Bandsaw 1 - Romeo</t>
        </is>
      </c>
      <c r="B71" s="9" t="n">
        <v>0.85</v>
      </c>
      <c r="C71" s="9" t="n">
        <v>1</v>
      </c>
    </row>
    <row r="72">
      <c r="A72" s="8" t="inlineStr">
        <is>
          <t>Bandsaw 2 - Juliet</t>
        </is>
      </c>
      <c r="B72" s="9" t="n">
        <v>0.85</v>
      </c>
      <c r="C72" s="9" t="n">
        <v>1</v>
      </c>
    </row>
    <row r="73">
      <c r="A73" s="8" t="inlineStr">
        <is>
          <t>Bandsaw 3 - Teletwin</t>
        </is>
      </c>
      <c r="B73" s="9" t="n">
        <v>0.85</v>
      </c>
      <c r="C73" s="9" t="n">
        <v>1</v>
      </c>
    </row>
    <row r="74">
      <c r="A74" s="8" t="inlineStr">
        <is>
          <t>Board Edger 1 - EWD</t>
        </is>
      </c>
      <c r="B74" s="9" t="n">
        <v>0.85</v>
      </c>
      <c r="C74" s="9" t="n">
        <v>1</v>
      </c>
    </row>
    <row r="75">
      <c r="A75" s="8" t="inlineStr">
        <is>
          <t>Boiler 1 - 12TpH</t>
        </is>
      </c>
      <c r="B75" s="9" t="n">
        <v>0.99</v>
      </c>
      <c r="C75" s="9" t="n">
        <v>1</v>
      </c>
    </row>
    <row r="76">
      <c r="A76" s="8" t="inlineStr">
        <is>
          <t>Boiler 2 - 10TpH</t>
        </is>
      </c>
      <c r="B76" s="9" t="n">
        <v>0.99</v>
      </c>
      <c r="C76" s="9" t="n">
        <v>1</v>
      </c>
    </row>
    <row r="77">
      <c r="A77" s="8" t="inlineStr">
        <is>
          <t>Boiler 3 - 10TpH</t>
        </is>
      </c>
      <c r="B77" s="9" t="n">
        <v>0.99</v>
      </c>
      <c r="C77" s="9" t="n">
        <v>1</v>
      </c>
    </row>
    <row r="78">
      <c r="A78" s="8" t="inlineStr">
        <is>
          <t>Chipper 1 - Bandline</t>
        </is>
      </c>
      <c r="B78" s="9" t="n">
        <v>0.85</v>
      </c>
      <c r="C78" s="9" t="n">
        <v>1</v>
      </c>
    </row>
    <row r="79">
      <c r="A79" s="8" t="inlineStr">
        <is>
          <t>Chipper 2 - Frameline</t>
        </is>
      </c>
      <c r="B79" s="9" t="n">
        <v>0.85</v>
      </c>
      <c r="C79" s="9" t="n">
        <v>1</v>
      </c>
    </row>
    <row r="80">
      <c r="A80" s="8" t="inlineStr">
        <is>
          <t>Chipper 3 - Drymill</t>
        </is>
      </c>
      <c r="B80" s="9" t="n">
        <v>0.85</v>
      </c>
      <c r="C80" s="9" t="n">
        <v>1</v>
      </c>
    </row>
    <row r="81">
      <c r="A81" s="8" t="inlineStr">
        <is>
          <t>Gangsaw 1 - Multirip 240</t>
        </is>
      </c>
      <c r="B81" s="9" t="n">
        <v>0.85</v>
      </c>
      <c r="C81" s="9" t="n">
        <v>1</v>
      </c>
    </row>
    <row r="82">
      <c r="A82" s="8" t="inlineStr">
        <is>
          <t>Gangsaw 2 - DAMR</t>
        </is>
      </c>
      <c r="B82" s="9" t="n">
        <v>0.85</v>
      </c>
      <c r="C82" s="9" t="n">
        <v>1</v>
      </c>
    </row>
    <row r="83">
      <c r="A83" s="8" t="inlineStr">
        <is>
          <t>Jointer 1 - Finger Jointer</t>
        </is>
      </c>
      <c r="B83" s="9" t="n">
        <v>0.85</v>
      </c>
      <c r="C83" s="9" t="n">
        <v>1</v>
      </c>
    </row>
    <row r="84">
      <c r="A84" s="8" t="inlineStr">
        <is>
          <t>Kiln 1 - Bollman 1</t>
        </is>
      </c>
      <c r="B84" s="9" t="n">
        <v>0.99</v>
      </c>
      <c r="C84" s="9" t="n">
        <v>1</v>
      </c>
    </row>
    <row r="85">
      <c r="A85" s="8" t="inlineStr">
        <is>
          <t>Kiln 2 - Bollman 2</t>
        </is>
      </c>
      <c r="B85" s="9" t="n">
        <v>0.99</v>
      </c>
      <c r="C85" s="9" t="n">
        <v>1</v>
      </c>
    </row>
    <row r="86">
      <c r="A86" s="8" t="inlineStr">
        <is>
          <t>Kiln 3 - Winsor 2</t>
        </is>
      </c>
      <c r="B86" s="9" t="n">
        <v>0.99</v>
      </c>
      <c r="C86" s="9" t="n">
        <v>1</v>
      </c>
    </row>
    <row r="87">
      <c r="A87" s="8" t="inlineStr">
        <is>
          <t>Kiln 4 - Winsor 1</t>
        </is>
      </c>
      <c r="B87" s="9" t="n">
        <v>0.99</v>
      </c>
      <c r="C87" s="9" t="n">
        <v>1</v>
      </c>
    </row>
    <row r="88">
      <c r="A88" s="8" t="inlineStr">
        <is>
          <t>Kiln 5 - TFD 1</t>
        </is>
      </c>
      <c r="B88" s="9" t="n">
        <v>0.99</v>
      </c>
      <c r="C88" s="9" t="n">
        <v>1</v>
      </c>
    </row>
    <row r="89">
      <c r="A89" s="8" t="inlineStr">
        <is>
          <t>Optimizing Cross Cutter 1 - Paul</t>
        </is>
      </c>
      <c r="B89" s="9" t="n">
        <v>0.85</v>
      </c>
      <c r="C89" s="9" t="n">
        <v>1</v>
      </c>
    </row>
    <row r="90">
      <c r="A90" s="8" t="inlineStr">
        <is>
          <t>Planer 1 - Rex 1</t>
        </is>
      </c>
      <c r="B90" s="9" t="n">
        <v>0.85</v>
      </c>
      <c r="C90" s="9" t="n">
        <v>1</v>
      </c>
    </row>
    <row r="91">
      <c r="A91" s="8" t="inlineStr">
        <is>
          <t>Planer 2 - Rex 2</t>
        </is>
      </c>
      <c r="B91" s="9" t="n">
        <v>0.85</v>
      </c>
      <c r="C91" s="9" t="n">
        <v>1</v>
      </c>
    </row>
    <row r="92">
      <c r="A92" s="8" t="inlineStr">
        <is>
          <t>Plank Grader-Stacker 1 - Odden</t>
        </is>
      </c>
      <c r="B92" s="9" t="n">
        <v>0.85</v>
      </c>
      <c r="C92" s="9" t="n">
        <v>1</v>
      </c>
    </row>
    <row r="93">
      <c r="A93" s="8" t="inlineStr">
        <is>
          <t>Ring Debarker 1 - VK800</t>
        </is>
      </c>
      <c r="B93" s="9" t="n">
        <v>0.85</v>
      </c>
      <c r="C93" s="9" t="n">
        <v>1</v>
      </c>
    </row>
    <row r="94">
      <c r="A94" s="8" t="inlineStr">
        <is>
          <t>Roundtable 1</t>
        </is>
      </c>
      <c r="B94" s="9" t="n">
        <v>0.85</v>
      </c>
      <c r="C94" s="9" t="n">
        <v>1</v>
      </c>
    </row>
    <row r="95">
      <c r="A95" s="8" t="inlineStr">
        <is>
          <t>Scalper 1 - Rotor</t>
        </is>
      </c>
      <c r="B95" s="9" t="n">
        <v>0.85</v>
      </c>
      <c r="C95" s="9" t="n">
        <v>1</v>
      </c>
    </row>
    <row r="96">
      <c r="A96" s="8" t="inlineStr">
        <is>
          <t>Shaker 1 - Two Screen</t>
        </is>
      </c>
      <c r="B96" s="9" t="n">
        <v>0.85</v>
      </c>
      <c r="C96" s="9" t="n">
        <v>1</v>
      </c>
    </row>
    <row r="97">
      <c r="A97" s="8" t="inlineStr">
        <is>
          <t>Shaker 2 - One screen</t>
        </is>
      </c>
      <c r="B97" s="9" t="n">
        <v>0.85</v>
      </c>
      <c r="C97" s="9" t="n">
        <v>1</v>
      </c>
    </row>
    <row r="98">
      <c r="A98" s="8" t="inlineStr">
        <is>
          <t>Trim Table 1 - Green chain Trimdeck</t>
        </is>
      </c>
      <c r="B98" s="9" t="n">
        <v>0.85</v>
      </c>
      <c r="C98" s="9" t="n">
        <v>1</v>
      </c>
    </row>
    <row r="99">
      <c r="A99" s="8" t="inlineStr">
        <is>
          <t>Trim Table 2 - Sky Trimmer</t>
        </is>
      </c>
      <c r="B99" s="9" t="n">
        <v>0.85</v>
      </c>
      <c r="C99" s="9" t="n">
        <v>1</v>
      </c>
    </row>
    <row r="100">
      <c r="A100" s="8" t="inlineStr">
        <is>
          <t>Grand Total</t>
        </is>
      </c>
      <c r="B100" s="9" t="n">
        <v>26.62000000000001</v>
      </c>
      <c r="C100" s="9" t="n">
        <v>30</v>
      </c>
    </row>
    <row r="101">
      <c r="A101" s="7" t="inlineStr">
        <is>
          <t>Production Department</t>
        </is>
      </c>
      <c r="B101" t="inlineStr">
        <is>
          <t>(All)</t>
        </is>
      </c>
    </row>
    <row r="103">
      <c r="A103" s="7" t="inlineStr">
        <is>
          <t>Row Labels</t>
        </is>
      </c>
      <c r="B103" t="inlineStr">
        <is>
          <t>Sum of Target Availability %</t>
        </is>
      </c>
      <c r="C103" t="inlineStr">
        <is>
          <t>Sum of Availability %</t>
        </is>
      </c>
    </row>
    <row r="104">
      <c r="A104" s="8" t="inlineStr">
        <is>
          <t>Autostacker 1</t>
        </is>
      </c>
      <c r="B104" s="9" t="n">
        <v>0.85</v>
      </c>
      <c r="C104" s="9" t="n">
        <v>1</v>
      </c>
    </row>
    <row r="105">
      <c r="A105" s="8" t="inlineStr">
        <is>
          <t>Bandsaw 1 - Romeo</t>
        </is>
      </c>
      <c r="B105" s="9" t="n">
        <v>0.85</v>
      </c>
      <c r="C105" s="9" t="n">
        <v>1</v>
      </c>
    </row>
    <row r="106">
      <c r="A106" s="8" t="inlineStr">
        <is>
          <t>Bandsaw 2 - Juliet</t>
        </is>
      </c>
      <c r="B106" s="9" t="n">
        <v>0.85</v>
      </c>
      <c r="C106" s="9" t="n">
        <v>1</v>
      </c>
    </row>
    <row r="107">
      <c r="A107" s="8" t="inlineStr">
        <is>
          <t>Bandsaw 3 - Teletwin</t>
        </is>
      </c>
      <c r="B107" s="9" t="n">
        <v>0.85</v>
      </c>
      <c r="C107" s="9" t="n">
        <v>1</v>
      </c>
    </row>
    <row r="108">
      <c r="A108" s="8" t="inlineStr">
        <is>
          <t>Board Edger 1 - EWD</t>
        </is>
      </c>
      <c r="B108" s="9" t="n">
        <v>0.85</v>
      </c>
      <c r="C108" s="9" t="n">
        <v>1</v>
      </c>
    </row>
    <row r="109">
      <c r="A109" s="8" t="inlineStr">
        <is>
          <t>Boiler 1 - 12TpH</t>
        </is>
      </c>
      <c r="B109" s="9" t="n">
        <v>0.99</v>
      </c>
      <c r="C109" s="9" t="n">
        <v>1</v>
      </c>
    </row>
    <row r="110">
      <c r="A110" s="8" t="inlineStr">
        <is>
          <t>Boiler 2 - 10TpH</t>
        </is>
      </c>
      <c r="B110" s="9" t="n">
        <v>0.99</v>
      </c>
      <c r="C110" s="9" t="n">
        <v>1</v>
      </c>
    </row>
    <row r="111">
      <c r="A111" s="8" t="inlineStr">
        <is>
          <t>Boiler 3 - 10TpH</t>
        </is>
      </c>
      <c r="B111" s="9" t="n">
        <v>0.99</v>
      </c>
      <c r="C111" s="9" t="n">
        <v>1</v>
      </c>
    </row>
    <row r="112">
      <c r="A112" s="8" t="inlineStr">
        <is>
          <t>Chipper 1 - Bandline</t>
        </is>
      </c>
      <c r="B112" s="9" t="n">
        <v>0.85</v>
      </c>
      <c r="C112" s="9" t="n">
        <v>1</v>
      </c>
    </row>
    <row r="113">
      <c r="A113" s="8" t="inlineStr">
        <is>
          <t>Chipper 2 - Frameline</t>
        </is>
      </c>
      <c r="B113" s="9" t="n">
        <v>0.85</v>
      </c>
      <c r="C113" s="9" t="n">
        <v>1</v>
      </c>
    </row>
    <row r="114">
      <c r="A114" s="8" t="inlineStr">
        <is>
          <t>Chipper 3 - Drymill</t>
        </is>
      </c>
      <c r="B114" s="9" t="n">
        <v>0.85</v>
      </c>
      <c r="C114" s="9" t="n">
        <v>1</v>
      </c>
    </row>
    <row r="115">
      <c r="A115" s="8" t="inlineStr">
        <is>
          <t>Gangsaw 1 - Multirip 240</t>
        </is>
      </c>
      <c r="B115" s="9" t="n">
        <v>0.85</v>
      </c>
      <c r="C115" s="9" t="n">
        <v>1</v>
      </c>
    </row>
    <row r="116">
      <c r="A116" s="8" t="inlineStr">
        <is>
          <t>Gangsaw 2 - DAMR</t>
        </is>
      </c>
      <c r="B116" s="9" t="n">
        <v>0.85</v>
      </c>
      <c r="C116" s="9" t="n">
        <v>1</v>
      </c>
    </row>
    <row r="117">
      <c r="A117" s="8" t="inlineStr">
        <is>
          <t>Jointer 1 - Finger Jointer</t>
        </is>
      </c>
      <c r="B117" s="9" t="n">
        <v>0.85</v>
      </c>
      <c r="C117" s="9" t="n">
        <v>1</v>
      </c>
    </row>
    <row r="118">
      <c r="A118" s="8" t="inlineStr">
        <is>
          <t>Kiln 1 - Bollman 1</t>
        </is>
      </c>
      <c r="B118" s="9" t="n">
        <v>0.99</v>
      </c>
      <c r="C118" s="9" t="n">
        <v>1</v>
      </c>
    </row>
    <row r="119">
      <c r="A119" s="8" t="inlineStr">
        <is>
          <t>Kiln 2 - Bollman 2</t>
        </is>
      </c>
      <c r="B119" s="9" t="n">
        <v>0.99</v>
      </c>
      <c r="C119" s="9" t="n">
        <v>1</v>
      </c>
    </row>
    <row r="120">
      <c r="A120" s="8" t="inlineStr">
        <is>
          <t>Kiln 3 - Winsor 2</t>
        </is>
      </c>
      <c r="B120" s="9" t="n">
        <v>0.99</v>
      </c>
      <c r="C120" s="9" t="n">
        <v>1</v>
      </c>
    </row>
    <row r="121">
      <c r="A121" s="8" t="inlineStr">
        <is>
          <t>Kiln 4 - Winsor 1</t>
        </is>
      </c>
      <c r="B121" s="9" t="n">
        <v>0.99</v>
      </c>
      <c r="C121" s="9" t="n">
        <v>1</v>
      </c>
    </row>
    <row r="122">
      <c r="A122" s="8" t="inlineStr">
        <is>
          <t>Kiln 5 - TFD 1</t>
        </is>
      </c>
      <c r="B122" s="9" t="n">
        <v>0.99</v>
      </c>
      <c r="C122" s="9" t="n">
        <v>1</v>
      </c>
    </row>
    <row r="123">
      <c r="A123" s="8" t="inlineStr">
        <is>
          <t>Optimizing Cross Cutter 1 - Paul</t>
        </is>
      </c>
      <c r="B123" s="9" t="n">
        <v>0.85</v>
      </c>
      <c r="C123" s="9" t="n">
        <v>1</v>
      </c>
    </row>
    <row r="124">
      <c r="A124" s="8" t="inlineStr">
        <is>
          <t>Planer 1 - Rex 1</t>
        </is>
      </c>
      <c r="B124" s="9" t="n">
        <v>0.85</v>
      </c>
      <c r="C124" s="9" t="n">
        <v>1</v>
      </c>
    </row>
    <row r="125">
      <c r="A125" s="8" t="inlineStr">
        <is>
          <t>Planer 2 - Rex 2</t>
        </is>
      </c>
      <c r="B125" s="9" t="n">
        <v>0.85</v>
      </c>
      <c r="C125" s="9" t="n">
        <v>1</v>
      </c>
    </row>
    <row r="126">
      <c r="A126" s="8" t="inlineStr">
        <is>
          <t>Plank Grader-Stacker 1 - Odden</t>
        </is>
      </c>
      <c r="B126" s="9" t="n">
        <v>0.85</v>
      </c>
      <c r="C126" s="9" t="n">
        <v>1</v>
      </c>
    </row>
    <row r="127">
      <c r="A127" s="8" t="inlineStr">
        <is>
          <t>Ring Debarker 1 - VK800</t>
        </is>
      </c>
      <c r="B127" s="9" t="n">
        <v>0.85</v>
      </c>
      <c r="C127" s="9" t="n">
        <v>1</v>
      </c>
    </row>
    <row r="128">
      <c r="A128" s="8" t="inlineStr">
        <is>
          <t>Roundtable 1</t>
        </is>
      </c>
      <c r="B128" s="9" t="n">
        <v>0.85</v>
      </c>
      <c r="C128" s="9" t="n">
        <v>1</v>
      </c>
    </row>
    <row r="129">
      <c r="A129" s="8" t="inlineStr">
        <is>
          <t>Scalper 1 - Rotor</t>
        </is>
      </c>
      <c r="B129" s="9" t="n">
        <v>0.85</v>
      </c>
      <c r="C129" s="9" t="n">
        <v>1</v>
      </c>
    </row>
    <row r="130">
      <c r="A130" s="8" t="inlineStr">
        <is>
          <t>Shaker 1 - Two Screen</t>
        </is>
      </c>
      <c r="B130" s="9" t="n">
        <v>0.85</v>
      </c>
      <c r="C130" s="9" t="n">
        <v>1</v>
      </c>
    </row>
    <row r="131">
      <c r="A131" s="8" t="inlineStr">
        <is>
          <t>Shaker 2 - One screen</t>
        </is>
      </c>
      <c r="B131" s="9" t="n">
        <v>0.85</v>
      </c>
      <c r="C131" s="9" t="n">
        <v>1</v>
      </c>
    </row>
    <row r="132">
      <c r="A132" s="8" t="inlineStr">
        <is>
          <t>Trim Table 1 - Green chain Trimdeck</t>
        </is>
      </c>
      <c r="B132" s="9" t="n">
        <v>0.85</v>
      </c>
      <c r="C132" s="9" t="n">
        <v>1</v>
      </c>
    </row>
    <row r="133">
      <c r="A133" s="8" t="inlineStr">
        <is>
          <t>Trim Table 2 - Sky Trimmer</t>
        </is>
      </c>
      <c r="B133" s="9" t="n">
        <v>0.85</v>
      </c>
      <c r="C133" s="9" t="n">
        <v>1</v>
      </c>
    </row>
    <row r="134">
      <c r="A134" s="8" t="inlineStr">
        <is>
          <t>Grand Total</t>
        </is>
      </c>
      <c r="B134" s="9" t="n">
        <v>26.62000000000001</v>
      </c>
      <c r="C134" s="9" t="n">
        <v>30</v>
      </c>
    </row>
    <row r="136">
      <c r="A136" s="7" t="inlineStr">
        <is>
          <t>Production Department</t>
        </is>
      </c>
      <c r="B136" t="inlineStr">
        <is>
          <t>(Multiple Items)</t>
        </is>
      </c>
    </row>
    <row r="138">
      <c r="A138" s="7" t="inlineStr">
        <is>
          <t>Row Labels</t>
        </is>
      </c>
      <c r="B138" t="inlineStr">
        <is>
          <t>Sum of Maintenance Downtime Hours</t>
        </is>
      </c>
      <c r="C138" t="inlineStr">
        <is>
          <t>Sum of Production Downtime Hours</t>
        </is>
      </c>
    </row>
    <row r="139">
      <c r="A139" s="8" t="inlineStr">
        <is>
          <t>Grand Total</t>
        </is>
      </c>
      <c r="B139" s="1" t="n"/>
      <c r="C139" s="1" t="n"/>
    </row>
    <row r="162">
      <c r="A162" s="7" t="inlineStr">
        <is>
          <t>Production Department</t>
        </is>
      </c>
      <c r="B162" t="inlineStr">
        <is>
          <t>(Multiple Items)</t>
        </is>
      </c>
    </row>
    <row r="164">
      <c r="A164" s="7" t="inlineStr">
        <is>
          <t>Row Labels</t>
        </is>
      </c>
      <c r="B164" t="inlineStr">
        <is>
          <t>Count of Maintenance Downtime Hours</t>
        </is>
      </c>
      <c r="C164" t="inlineStr">
        <is>
          <t>Sum of Maintenance Downtime Hours2</t>
        </is>
      </c>
    </row>
    <row r="165">
      <c r="A165" s="8" t="inlineStr">
        <is>
          <t>Grand Total</t>
        </is>
      </c>
      <c r="C165" s="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tabSelected="1" topLeftCell="A2" zoomScale="70" zoomScaleNormal="70" workbookViewId="0">
      <selection activeCell="A38" sqref="A38:E47"/>
    </sheetView>
  </sheetViews>
  <sheetFormatPr baseColWidth="8" defaultRowHeight="12"/>
  <cols>
    <col width="19.28515625" bestFit="1" customWidth="1" min="1" max="1"/>
    <col width="27.85546875" bestFit="1" customWidth="1" min="2" max="2"/>
    <col width="41.7109375" bestFit="1" customWidth="1" min="3" max="3"/>
    <col width="23.5703125" bestFit="1" customWidth="1" min="4" max="4"/>
    <col width="19.28515625" bestFit="1" customWidth="1" style="1" min="5" max="5"/>
    <col width="26.140625" bestFit="1" customWidth="1" min="6" max="6"/>
    <col width="11.28515625" bestFit="1" customWidth="1" min="7" max="7"/>
    <col width="11.42578125" bestFit="1" customWidth="1" min="8" max="8"/>
    <col width="18" bestFit="1" customWidth="1" min="9" max="9"/>
    <col width="11.5703125" bestFit="1" customWidth="1" min="10" max="10"/>
    <col width="19.140625" bestFit="1" customWidth="1" min="11" max="11"/>
    <col width="12.7109375" bestFit="1" customWidth="1" min="12" max="12"/>
    <col width="17.28515625" bestFit="1" customWidth="1" min="14" max="14"/>
    <col width="24.85546875" bestFit="1" customWidth="1" min="15" max="15"/>
    <col width="41.7109375" bestFit="1" customWidth="1" min="16" max="16"/>
    <col width="14" bestFit="1" customWidth="1" min="17" max="18"/>
    <col width="13.5703125" bestFit="1" customWidth="1" min="19" max="19"/>
    <col width="10" customWidth="1" min="20" max="20"/>
    <col width="8.28515625" bestFit="1" customWidth="1" min="21" max="21"/>
  </cols>
  <sheetData>
    <row r="1" ht="36" customFormat="1" customHeight="1" s="12">
      <c r="A1" s="77" t="inlineStr">
        <is>
          <t>Production Department</t>
        </is>
      </c>
      <c r="B1" s="77" t="inlineStr">
        <is>
          <t>Equipment ID</t>
        </is>
      </c>
      <c r="C1" s="77" t="inlineStr">
        <is>
          <t>Equipment Name</t>
        </is>
      </c>
      <c r="D1" s="77" t="inlineStr">
        <is>
          <t>Total Month Failure Count</t>
        </is>
      </c>
      <c r="E1" s="77" t="inlineStr">
        <is>
          <t>Total month Downtime (hrs)</t>
        </is>
      </c>
      <c r="F1" s="77" t="inlineStr">
        <is>
          <t>Planned Runtime (hrs/month)</t>
        </is>
      </c>
      <c r="G1" s="77" t="inlineStr">
        <is>
          <t>MTBF (hrs)</t>
        </is>
      </c>
      <c r="H1" s="77" t="inlineStr">
        <is>
          <t>MTTR (hrs)</t>
        </is>
      </c>
      <c r="I1" s="77" t="inlineStr">
        <is>
          <t>Target Reliability %</t>
        </is>
      </c>
      <c r="J1" s="77" t="inlineStr">
        <is>
          <t>Reliability %</t>
        </is>
      </c>
      <c r="K1" s="77" t="inlineStr">
        <is>
          <t>Target Availability %</t>
        </is>
      </c>
      <c r="L1" s="77" t="inlineStr">
        <is>
          <t>Availability %</t>
        </is>
      </c>
      <c r="N1" s="77" t="inlineStr">
        <is>
          <t>Production Department</t>
        </is>
      </c>
      <c r="O1" s="77" t="inlineStr">
        <is>
          <t>Equipment ID</t>
        </is>
      </c>
      <c r="P1" s="77" t="inlineStr">
        <is>
          <t>Equipment Name</t>
        </is>
      </c>
      <c r="Q1" s="77" t="inlineStr">
        <is>
          <t>Total Month Interruption Count</t>
        </is>
      </c>
      <c r="R1" s="77" t="inlineStr">
        <is>
          <t>Total month Interruptions (hrs)</t>
        </is>
      </c>
      <c r="S1" s="77" t="inlineStr">
        <is>
          <t>Planned Runtime (hrs/month)</t>
        </is>
      </c>
      <c r="T1" s="77" t="inlineStr">
        <is>
          <t>MTBI (hrs)</t>
        </is>
      </c>
      <c r="U1" s="77" t="inlineStr">
        <is>
          <t>MTTS (hrs)</t>
        </is>
      </c>
      <c r="V1" s="77" t="inlineStr">
        <is>
          <t>Target Utilization %</t>
        </is>
      </c>
      <c r="W1" s="77" t="inlineStr">
        <is>
          <t>Utilization %</t>
        </is>
      </c>
    </row>
    <row r="2">
      <c r="A2" s="78">
        <f t="array" ref="A2:A36">INDIRECT("tblEquipment[Production Department]")</f>
        <v/>
      </c>
      <c r="B2" s="78">
        <f t="array" ref="B2:B36">INDIRECT("tblEquipment[Equipment ID]")</f>
        <v/>
      </c>
      <c r="C2" s="78">
        <f t="array" ref="C2:C36">INDIRECT("tblEquipment[Equipment Name]")</f>
        <v/>
      </c>
      <c r="D2" s="79">
        <f>COUNTIF(INDIRECT("tblDowntime[Equipment ID (Maint Down)]"),B2)</f>
        <v/>
      </c>
      <c r="E2" s="79">
        <f>SUMIF(INDIRECT("tblDowntime[Equipment ID]"),B2,INDIRECT("tblDowntime[Maintenance Downtime Hours]"))</f>
        <v/>
      </c>
      <c r="F2" s="78">
        <f t="array" ref="F2">_xlfn.XLOOKUP(B2,INDIRECT("tblEquipment[Equipment ID]"),INDIRECT("tblEquipment[Planned Runtime (hrs/month)]"))</f>
        <v/>
      </c>
      <c r="G2" s="79">
        <f>IF(D2=0,F2,(F2-E2)/D2)</f>
        <v/>
      </c>
      <c r="H2" s="79">
        <f>IF(D2=0,0,E2/D2)</f>
        <v/>
      </c>
      <c r="I2" s="80" t="n">
        <v>0.85</v>
      </c>
      <c r="J2" s="81">
        <f>IF((G2+H2)=0,0,(G2/(G2+H2)))</f>
        <v/>
      </c>
      <c r="K2" s="81" t="n">
        <v>0.85</v>
      </c>
      <c r="L2" s="81">
        <f>IF(F2=0,0,(F2-E2)/F2)</f>
        <v/>
      </c>
      <c r="N2" s="78">
        <f t="array" ref="N2:N36">INDIRECT("tblEquipment[Production Department]")</f>
        <v/>
      </c>
      <c r="O2" s="78">
        <f t="array" ref="O2:O36">INDIRECT("tblEquipment[Equipment ID]")</f>
        <v/>
      </c>
      <c r="P2" s="78">
        <f t="array" ref="P2:P36">INDIRECT("tblEquipment[Equipment Name]")</f>
        <v/>
      </c>
      <c r="Q2" s="78">
        <f>COUNTIF(INDIRECT("tblDowntime[Equipment ID (Prod Down)]"),O2)</f>
        <v/>
      </c>
      <c r="R2" s="79">
        <f>SUMIF(INDIRECT("tblDowntime[Equipment ID]"),B2,INDIRECT("tblDowntime[Production Downtime Hours]"))</f>
        <v/>
      </c>
      <c r="S2" s="79">
        <f>SUM(F2-E2)</f>
        <v/>
      </c>
      <c r="T2" s="79">
        <f>IF(Q2=0,S2,(S2-R2)/Q2)</f>
        <v/>
      </c>
      <c r="U2" s="79">
        <f>IF(Q2=0,0,R2/Q2)</f>
        <v/>
      </c>
      <c r="V2" s="81">
        <f>IF(S2=0,0,(S2-(0.2*E2))/S2)</f>
        <v/>
      </c>
      <c r="W2" s="81">
        <f>IF(S2=0,0,(S2-R2)/S2)</f>
        <v/>
      </c>
    </row>
    <row r="3">
      <c r="A3" s="78">
        <f/>
        <v/>
      </c>
      <c r="B3" s="78">
        <f/>
        <v/>
      </c>
      <c r="C3" s="78">
        <f/>
        <v/>
      </c>
      <c r="D3" s="79">
        <f>COUNTIF(INDIRECT("tblDowntime[Equipment ID (Maint Down)]"),B3)</f>
        <v/>
      </c>
      <c r="E3" s="79">
        <f>SUMIF(INDIRECT("tblDowntime[Equipment ID]"),B3,INDIRECT("tblDowntime[Maintenance Downtime Hours]"))</f>
        <v/>
      </c>
      <c r="F3" s="78">
        <f t="array" ref="F3">_xlfn.XLOOKUP(B3,INDIRECT("tblEquipment[Equipment ID]"),INDIRECT("tblEquipment[Planned Runtime (hrs/month)]"))</f>
        <v/>
      </c>
      <c r="G3" s="79">
        <f>IF(D3=0,F3,(F3-E3)/D3)</f>
        <v/>
      </c>
      <c r="H3" s="79">
        <f>IF(D3=0,0,E3/D3)</f>
        <v/>
      </c>
      <c r="I3" s="80" t="n">
        <v>0.85</v>
      </c>
      <c r="J3" s="81">
        <f>IF((G3+H3)=0,0,(G3/(G3+H3)))</f>
        <v/>
      </c>
      <c r="K3" s="81" t="n">
        <v>0.85</v>
      </c>
      <c r="L3" s="81">
        <f>IF(F3=0,0,(F3-E3)/F3)</f>
        <v/>
      </c>
      <c r="N3" s="78">
        <f/>
        <v/>
      </c>
      <c r="O3" s="78">
        <f/>
        <v/>
      </c>
      <c r="P3" s="78">
        <f/>
        <v/>
      </c>
      <c r="Q3" s="78">
        <f>COUNTIF(INDIRECT("tblDowntime[Equipment ID (Prod Down)]"),O3)</f>
        <v/>
      </c>
      <c r="R3" s="79">
        <f>SUMIF(INDIRECT("tblDowntime[Equipment ID]"),B3,INDIRECT("tblDowntime[Production Downtime Hours]"))</f>
        <v/>
      </c>
      <c r="S3" s="79">
        <f>SUM(F3-E3)</f>
        <v/>
      </c>
      <c r="T3" s="79">
        <f>IF(Q3=0,S3,(S3-R3)/Q3)</f>
        <v/>
      </c>
      <c r="U3" s="79">
        <f>IF(Q3=0,0,R3/Q3)</f>
        <v/>
      </c>
      <c r="V3" s="81">
        <f>IF(S3=0,0,(S3-(0.2*E3))/S3)</f>
        <v/>
      </c>
      <c r="W3" s="81">
        <f>IF(S3=0,0,(S3-R3)/S3)</f>
        <v/>
      </c>
    </row>
    <row r="4">
      <c r="A4" s="78">
        <f/>
        <v/>
      </c>
      <c r="B4" s="78">
        <f/>
        <v/>
      </c>
      <c r="C4" s="78">
        <f/>
        <v/>
      </c>
      <c r="D4" s="79">
        <f>COUNTIF(INDIRECT("tblDowntime[Equipment ID (Maint Down)]"),B4)</f>
        <v/>
      </c>
      <c r="E4" s="79">
        <f>SUMIF(INDIRECT("tblDowntime[Equipment ID]"),B4,INDIRECT("tblDowntime[Maintenance Downtime Hours]"))</f>
        <v/>
      </c>
      <c r="F4" s="78">
        <f t="array" ref="F4">_xlfn.XLOOKUP(B4,INDIRECT("tblEquipment[Equipment ID]"),INDIRECT("tblEquipment[Planned Runtime (hrs/month)]"))</f>
        <v/>
      </c>
      <c r="G4" s="79">
        <f>IF(D4=0,F4,(F4-E4)/D4)</f>
        <v/>
      </c>
      <c r="H4" s="79">
        <f>IF(D4=0,0,E4/D4)</f>
        <v/>
      </c>
      <c r="I4" s="80" t="n">
        <v>0.85</v>
      </c>
      <c r="J4" s="81">
        <f>IF((G4+H4)=0,0,(G4/(G4+H4)))</f>
        <v/>
      </c>
      <c r="K4" s="81" t="n">
        <v>0.85</v>
      </c>
      <c r="L4" s="81">
        <f>IF(F4=0,0,(F4-E4)/F4)</f>
        <v/>
      </c>
      <c r="N4" s="78">
        <f/>
        <v/>
      </c>
      <c r="O4" s="78">
        <f/>
        <v/>
      </c>
      <c r="P4" s="78">
        <f/>
        <v/>
      </c>
      <c r="Q4" s="78">
        <f>COUNTIF(INDIRECT("tblDowntime[Equipment ID (Prod Down)]"),O4)</f>
        <v/>
      </c>
      <c r="R4" s="79">
        <f>SUMIF(INDIRECT("tblDowntime[Equipment ID]"),B4,INDIRECT("tblDowntime[Production Downtime Hours]"))</f>
        <v/>
      </c>
      <c r="S4" s="79">
        <f>SUM(F4-E4)</f>
        <v/>
      </c>
      <c r="T4" s="79">
        <f>IF(Q4=0,S4,(S4-R4)/Q4)</f>
        <v/>
      </c>
      <c r="U4" s="79">
        <f>IF(Q4=0,0,R4/Q4)</f>
        <v/>
      </c>
      <c r="V4" s="81">
        <f>IF(S4=0,0,(S4-(0.2*E4))/S4)</f>
        <v/>
      </c>
      <c r="W4" s="81">
        <f>IF(S4=0,0,(S4-R4)/S4)</f>
        <v/>
      </c>
    </row>
    <row r="5">
      <c r="A5" s="78">
        <f/>
        <v/>
      </c>
      <c r="B5" s="78">
        <f/>
        <v/>
      </c>
      <c r="C5" s="78">
        <f/>
        <v/>
      </c>
      <c r="D5" s="79">
        <f>COUNTIF(INDIRECT("tblDowntime[Equipment ID (Maint Down)]"),B5)</f>
        <v/>
      </c>
      <c r="E5" s="79">
        <f>SUMIF(INDIRECT("tblDowntime[Equipment ID]"),B5,INDIRECT("tblDowntime[Maintenance Downtime Hours]"))</f>
        <v/>
      </c>
      <c r="F5" s="78">
        <f t="array" ref="F5">_xlfn.XLOOKUP(B5,INDIRECT("tblEquipment[Equipment ID]"),INDIRECT("tblEquipment[Planned Runtime (hrs/month)]"))</f>
        <v/>
      </c>
      <c r="G5" s="79">
        <f>IF(D5=0,F5,(F5-E5)/D5)</f>
        <v/>
      </c>
      <c r="H5" s="79">
        <f>IF(D5=0,0,E5/D5)</f>
        <v/>
      </c>
      <c r="I5" s="80" t="n">
        <v>0.85</v>
      </c>
      <c r="J5" s="81">
        <f>IF((G5+H5)=0,0,(G5/(G5+H5)))</f>
        <v/>
      </c>
      <c r="K5" s="81" t="n">
        <v>0.85</v>
      </c>
      <c r="L5" s="81">
        <f>IF(F5=0,0,(F5-E5)/F5)</f>
        <v/>
      </c>
      <c r="N5" s="78">
        <f/>
        <v/>
      </c>
      <c r="O5" s="78">
        <f/>
        <v/>
      </c>
      <c r="P5" s="78">
        <f/>
        <v/>
      </c>
      <c r="Q5" s="78">
        <f>COUNTIF(INDIRECT("tblDowntime[Equipment ID (Prod Down)]"),O5)</f>
        <v/>
      </c>
      <c r="R5" s="79">
        <f>SUMIF(INDIRECT("tblDowntime[Equipment ID]"),B5,INDIRECT("tblDowntime[Production Downtime Hours]"))</f>
        <v/>
      </c>
      <c r="S5" s="79">
        <f>SUM(F5-E5)</f>
        <v/>
      </c>
      <c r="T5" s="79">
        <f>IF(Q5=0,S5,(S5-R5)/Q5)</f>
        <v/>
      </c>
      <c r="U5" s="79">
        <f>IF(Q5=0,0,R5/Q5)</f>
        <v/>
      </c>
      <c r="V5" s="81">
        <f>IF(S5=0,0,(S5-(0.2*E5))/S5)</f>
        <v/>
      </c>
      <c r="W5" s="81">
        <f>IF(S5=0,0,(S5-R5)/S5)</f>
        <v/>
      </c>
    </row>
    <row r="6">
      <c r="A6" s="78">
        <f/>
        <v/>
      </c>
      <c r="B6" s="78">
        <f/>
        <v/>
      </c>
      <c r="C6" s="78">
        <f/>
        <v/>
      </c>
      <c r="D6" s="79">
        <f>COUNTIF(INDIRECT("tblDowntime[Equipment ID (Maint Down)]"),B6)</f>
        <v/>
      </c>
      <c r="E6" s="79">
        <f>SUMIF(INDIRECT("tblDowntime[Equipment ID]"),B6,INDIRECT("tblDowntime[Maintenance Downtime Hours]"))</f>
        <v/>
      </c>
      <c r="F6" s="78">
        <f t="array" ref="F6">_xlfn.XLOOKUP(B6,INDIRECT("tblEquipment[Equipment ID]"),INDIRECT("tblEquipment[Planned Runtime (hrs/month)]"))</f>
        <v/>
      </c>
      <c r="G6" s="79">
        <f>IF(D6=0,F6,(F6-E6)/D6)</f>
        <v/>
      </c>
      <c r="H6" s="79">
        <f>IF(D6=0,0,E6/D6)</f>
        <v/>
      </c>
      <c r="I6" s="80" t="n">
        <v>0.85</v>
      </c>
      <c r="J6" s="81">
        <f>IF((G6+H6)=0,0,(G6/(G6+H6)))</f>
        <v/>
      </c>
      <c r="K6" s="81" t="n">
        <v>0.85</v>
      </c>
      <c r="L6" s="81">
        <f>IF(F6=0,0,(F6-E6)/F6)</f>
        <v/>
      </c>
      <c r="N6" s="78">
        <f/>
        <v/>
      </c>
      <c r="O6" s="78">
        <f/>
        <v/>
      </c>
      <c r="P6" s="78">
        <f/>
        <v/>
      </c>
      <c r="Q6" s="78">
        <f>COUNTIF(INDIRECT("tblDowntime[Equipment ID (Prod Down)]"),O6)</f>
        <v/>
      </c>
      <c r="R6" s="79">
        <f>SUMIF(INDIRECT("tblDowntime[Equipment ID]"),B6,INDIRECT("tblDowntime[Production Downtime Hours]"))</f>
        <v/>
      </c>
      <c r="S6" s="79">
        <f>SUM(F6-E6)</f>
        <v/>
      </c>
      <c r="T6" s="79">
        <f>IF(Q6=0,S6,(S6-R6)/Q6)</f>
        <v/>
      </c>
      <c r="U6" s="79">
        <f>IF(Q6=0,0,R6/Q6)</f>
        <v/>
      </c>
      <c r="V6" s="81">
        <f>IF(S6=0,0,(S6-(0.2*E6))/S6)</f>
        <v/>
      </c>
      <c r="W6" s="81">
        <f>IF(S6=0,0,(S6-R6)/S6)</f>
        <v/>
      </c>
    </row>
    <row r="7">
      <c r="A7" s="78">
        <f/>
        <v/>
      </c>
      <c r="B7" s="78">
        <f/>
        <v/>
      </c>
      <c r="C7" s="78">
        <f/>
        <v/>
      </c>
      <c r="D7" s="79">
        <f>COUNTIF(INDIRECT("tblDowntime[Equipment ID (Maint Down)]"),B7)</f>
        <v/>
      </c>
      <c r="E7" s="79">
        <f>SUMIF(INDIRECT("tblDowntime[Equipment ID]"),B7,INDIRECT("tblDowntime[Maintenance Downtime Hours]"))</f>
        <v/>
      </c>
      <c r="F7" s="78">
        <f t="array" ref="F7">_xlfn.XLOOKUP(B7,INDIRECT("tblEquipment[Equipment ID]"),INDIRECT("tblEquipment[Planned Runtime (hrs/month)]"))</f>
        <v/>
      </c>
      <c r="G7" s="79">
        <f>IF(D7=0,F7,(F7-E7)/D7)</f>
        <v/>
      </c>
      <c r="H7" s="79">
        <f>IF(D7=0,0,E7/D7)</f>
        <v/>
      </c>
      <c r="I7" s="80" t="n">
        <v>0.85</v>
      </c>
      <c r="J7" s="81">
        <f>IF((G7+H7)=0,0,(G7/(G7+H7)))</f>
        <v/>
      </c>
      <c r="K7" s="81" t="n">
        <v>0.85</v>
      </c>
      <c r="L7" s="81">
        <f>IF(F7=0,0,(F7-E7)/F7)</f>
        <v/>
      </c>
      <c r="N7" s="78">
        <f/>
        <v/>
      </c>
      <c r="O7" s="78">
        <f/>
        <v/>
      </c>
      <c r="P7" s="78">
        <f/>
        <v/>
      </c>
      <c r="Q7" s="78">
        <f>COUNTIF(INDIRECT("tblDowntime[Equipment ID (Prod Down)]"),O7)</f>
        <v/>
      </c>
      <c r="R7" s="79">
        <f>SUMIF(INDIRECT("tblDowntime[Equipment ID]"),B7,INDIRECT("tblDowntime[Production Downtime Hours]"))</f>
        <v/>
      </c>
      <c r="S7" s="79">
        <f>SUM(F7-E7)</f>
        <v/>
      </c>
      <c r="T7" s="79">
        <f>IF(Q7=0,S7,(S7-R7)/Q7)</f>
        <v/>
      </c>
      <c r="U7" s="79">
        <f>IF(Q7=0,0,R7/Q7)</f>
        <v/>
      </c>
      <c r="V7" s="81">
        <f>IF(S7=0,0,(S7-(0.2*E7))/S7)</f>
        <v/>
      </c>
      <c r="W7" s="81">
        <f>IF(S7=0,0,(S7-R7)/S7)</f>
        <v/>
      </c>
    </row>
    <row r="8">
      <c r="A8" s="78">
        <f/>
        <v/>
      </c>
      <c r="B8" s="78">
        <f/>
        <v/>
      </c>
      <c r="C8" s="78">
        <f/>
        <v/>
      </c>
      <c r="D8" s="79">
        <f>COUNTIF(INDIRECT("tblDowntime[Equipment ID (Maint Down)]"),B8)</f>
        <v/>
      </c>
      <c r="E8" s="79">
        <f>SUMIF(INDIRECT("tblDowntime[Equipment ID]"),B8,INDIRECT("tblDowntime[Maintenance Downtime Hours]"))</f>
        <v/>
      </c>
      <c r="F8" s="78">
        <f t="array" ref="F8">_xlfn.XLOOKUP(B8,INDIRECT("tblEquipment[Equipment ID]"),INDIRECT("tblEquipment[Planned Runtime (hrs/month)]"))</f>
        <v/>
      </c>
      <c r="G8" s="79">
        <f>IF(D8=0,F8,(F8-E8)/D8)</f>
        <v/>
      </c>
      <c r="H8" s="79">
        <f>IF(D8=0,0,E8/D8)</f>
        <v/>
      </c>
      <c r="I8" s="80" t="n">
        <v>0.85</v>
      </c>
      <c r="J8" s="81">
        <f>IF((G8+H8)=0,0,(G8/(G8+H8)))</f>
        <v/>
      </c>
      <c r="K8" s="81" t="n">
        <v>0.85</v>
      </c>
      <c r="L8" s="81">
        <f>IF(F8=0,0,(F8-E8)/F8)</f>
        <v/>
      </c>
      <c r="N8" s="78">
        <f/>
        <v/>
      </c>
      <c r="O8" s="78">
        <f/>
        <v/>
      </c>
      <c r="P8" s="78">
        <f/>
        <v/>
      </c>
      <c r="Q8" s="78">
        <f>COUNTIF(INDIRECT("tblDowntime[Equipment ID (Prod Down)]"),O8)</f>
        <v/>
      </c>
      <c r="R8" s="79">
        <f>SUMIF(INDIRECT("tblDowntime[Equipment ID]"),B8,INDIRECT("tblDowntime[Production Downtime Hours]"))</f>
        <v/>
      </c>
      <c r="S8" s="79">
        <f>SUM(F8-E8)</f>
        <v/>
      </c>
      <c r="T8" s="79">
        <f>IF(Q8=0,S8,(S8-R8)/Q8)</f>
        <v/>
      </c>
      <c r="U8" s="79">
        <f>IF(Q8=0,0,R8/Q8)</f>
        <v/>
      </c>
      <c r="V8" s="81">
        <f>IF(S8=0,0,(S8-(0.2*E8))/S8)</f>
        <v/>
      </c>
      <c r="W8" s="81">
        <f>IF(S8=0,0,(S8-R8)/S8)</f>
        <v/>
      </c>
    </row>
    <row r="9">
      <c r="A9" s="78">
        <f/>
        <v/>
      </c>
      <c r="B9" s="78">
        <f/>
        <v/>
      </c>
      <c r="C9" s="78">
        <f/>
        <v/>
      </c>
      <c r="D9" s="79">
        <f>COUNTIF(INDIRECT("tblDowntime[Equipment ID (Maint Down)]"),B9)</f>
        <v/>
      </c>
      <c r="E9" s="79">
        <f>SUMIF(INDIRECT("tblDowntime[Equipment ID]"),B9,INDIRECT("tblDowntime[Maintenance Downtime Hours]"))</f>
        <v/>
      </c>
      <c r="F9" s="78">
        <f t="array" ref="F9">_xlfn.XLOOKUP(B9,INDIRECT("tblEquipment[Equipment ID]"),INDIRECT("tblEquipment[Planned Runtime (hrs/month)]"))</f>
        <v/>
      </c>
      <c r="G9" s="79">
        <f>IF(D9=0,F9,(F9-E9)/D9)</f>
        <v/>
      </c>
      <c r="H9" s="79">
        <f>IF(D9=0,0,E9/D9)</f>
        <v/>
      </c>
      <c r="I9" s="80" t="n">
        <v>0.85</v>
      </c>
      <c r="J9" s="81">
        <f>IF((G9+H9)=0,0,(G9/(G9+H9)))</f>
        <v/>
      </c>
      <c r="K9" s="81" t="n">
        <v>0.85</v>
      </c>
      <c r="L9" s="81">
        <f>IF(F9=0,0,(F9-E9)/F9)</f>
        <v/>
      </c>
      <c r="N9" s="78">
        <f/>
        <v/>
      </c>
      <c r="O9" s="78">
        <f/>
        <v/>
      </c>
      <c r="P9" s="78">
        <f/>
        <v/>
      </c>
      <c r="Q9" s="78">
        <f>COUNTIF(INDIRECT("tblDowntime[Equipment ID (Prod Down)]"),O9)</f>
        <v/>
      </c>
      <c r="R9" s="79">
        <f>SUMIF(INDIRECT("tblDowntime[Equipment ID]"),B9,INDIRECT("tblDowntime[Production Downtime Hours]"))</f>
        <v/>
      </c>
      <c r="S9" s="79">
        <f>SUM(F9-E9)</f>
        <v/>
      </c>
      <c r="T9" s="79">
        <f>IF(Q9=0,S9,(S9-R9)/Q9)</f>
        <v/>
      </c>
      <c r="U9" s="79">
        <f>IF(Q9=0,0,R9/Q9)</f>
        <v/>
      </c>
      <c r="V9" s="81">
        <f>IF(S9=0,0,(S9-(0.2*E9))/S9)</f>
        <v/>
      </c>
      <c r="W9" s="81">
        <f>IF(S9=0,0,(S9-R9)/S9)</f>
        <v/>
      </c>
    </row>
    <row r="10">
      <c r="A10" s="78">
        <f/>
        <v/>
      </c>
      <c r="B10" s="78">
        <f/>
        <v/>
      </c>
      <c r="C10" s="78">
        <f/>
        <v/>
      </c>
      <c r="D10" s="79">
        <f>COUNTIF(INDIRECT("tblDowntime[Equipment ID (Maint Down)]"),B10)</f>
        <v/>
      </c>
      <c r="E10" s="79">
        <f>SUMIF(INDIRECT("tblDowntime[Equipment ID]"),B10,INDIRECT("tblDowntime[Maintenance Downtime Hours]"))</f>
        <v/>
      </c>
      <c r="F10" s="78">
        <f t="array" ref="F10">_xlfn.XLOOKUP(B10,INDIRECT("tblEquipment[Equipment ID]"),INDIRECT("tblEquipment[Planned Runtime (hrs/month)]"))</f>
        <v/>
      </c>
      <c r="G10" s="79">
        <f>IF(D10=0,F10,(F10-E10)/D10)</f>
        <v/>
      </c>
      <c r="H10" s="79">
        <f>IF(D10=0,0,E10/D10)</f>
        <v/>
      </c>
      <c r="I10" s="80" t="n">
        <v>0.85</v>
      </c>
      <c r="J10" s="81">
        <f>IF((G10+H10)=0,0,(G10/(G10+H10)))</f>
        <v/>
      </c>
      <c r="K10" s="81" t="n">
        <v>0.85</v>
      </c>
      <c r="L10" s="81">
        <f>IF(F10=0,0,(F10-E10)/F10)</f>
        <v/>
      </c>
      <c r="N10" s="78">
        <f/>
        <v/>
      </c>
      <c r="O10" s="78">
        <f/>
        <v/>
      </c>
      <c r="P10" s="78">
        <f/>
        <v/>
      </c>
      <c r="Q10" s="78">
        <f>COUNTIF(INDIRECT("tblDowntime[Equipment ID (Prod Down)]"),O10)</f>
        <v/>
      </c>
      <c r="R10" s="79">
        <f>SUMIF(INDIRECT("tblDowntime[Equipment ID]"),B10,INDIRECT("tblDowntime[Production Downtime Hours]"))</f>
        <v/>
      </c>
      <c r="S10" s="79">
        <f>SUM(F10-E10)</f>
        <v/>
      </c>
      <c r="T10" s="79">
        <f>IF(Q10=0,S10,(S10-R10)/Q10)</f>
        <v/>
      </c>
      <c r="U10" s="79">
        <f>IF(Q10=0,0,R10/Q10)</f>
        <v/>
      </c>
      <c r="V10" s="81">
        <f>IF(S10=0,0,(S10-(0.2*E10))/S10)</f>
        <v/>
      </c>
      <c r="W10" s="81">
        <f>IF(S10=0,0,(S10-R10)/S10)</f>
        <v/>
      </c>
    </row>
    <row r="11">
      <c r="A11" s="78">
        <f/>
        <v/>
      </c>
      <c r="B11" s="78">
        <f/>
        <v/>
      </c>
      <c r="C11" s="78">
        <f/>
        <v/>
      </c>
      <c r="D11" s="79">
        <f>COUNTIF(INDIRECT("tblDowntime[Equipment ID (Maint Down)]"),B11)</f>
        <v/>
      </c>
      <c r="E11" s="79">
        <f>SUMIF(INDIRECT("tblDowntime[Equipment ID]"),B11,INDIRECT("tblDowntime[Maintenance Downtime Hours]"))</f>
        <v/>
      </c>
      <c r="F11" s="78">
        <f t="array" ref="F11">_xlfn.XLOOKUP(B11,INDIRECT("tblEquipment[Equipment ID]"),INDIRECT("tblEquipment[Planned Runtime (hrs/month)]"))</f>
        <v/>
      </c>
      <c r="G11" s="79">
        <f>IF(D11=0,F11,(F11-E11)/D11)</f>
        <v/>
      </c>
      <c r="H11" s="79">
        <f>IF(D11=0,0,E11/D11)</f>
        <v/>
      </c>
      <c r="I11" s="80" t="n">
        <v>0.85</v>
      </c>
      <c r="J11" s="81">
        <f>IF((G11+H11)=0,0,(G11/(G11+H11)))</f>
        <v/>
      </c>
      <c r="K11" s="81" t="n">
        <v>0.85</v>
      </c>
      <c r="L11" s="81">
        <f>IF(F11=0,0,(F11-E11)/F11)</f>
        <v/>
      </c>
      <c r="N11" s="78">
        <f/>
        <v/>
      </c>
      <c r="O11" s="78">
        <f/>
        <v/>
      </c>
      <c r="P11" s="78">
        <f/>
        <v/>
      </c>
      <c r="Q11" s="78">
        <f>COUNTIF(INDIRECT("tblDowntime[Equipment ID (Prod Down)]"),O11)</f>
        <v/>
      </c>
      <c r="R11" s="79">
        <f>SUMIF(INDIRECT("tblDowntime[Equipment ID]"),B11,INDIRECT("tblDowntime[Production Downtime Hours]"))</f>
        <v/>
      </c>
      <c r="S11" s="79">
        <f>SUM(F11-E11)</f>
        <v/>
      </c>
      <c r="T11" s="79">
        <f>IF(Q11=0,S11,(S11-R11)/Q11)</f>
        <v/>
      </c>
      <c r="U11" s="79">
        <f>IF(Q11=0,0,R11/Q11)</f>
        <v/>
      </c>
      <c r="V11" s="81">
        <f>IF(S11=0,0,(S11-(0.2*E11))/S11)</f>
        <v/>
      </c>
      <c r="W11" s="81">
        <f>IF(S11=0,0,(S11-R11)/S11)</f>
        <v/>
      </c>
    </row>
    <row r="12">
      <c r="A12" s="78">
        <f/>
        <v/>
      </c>
      <c r="B12" s="78">
        <f/>
        <v/>
      </c>
      <c r="C12" s="78">
        <f/>
        <v/>
      </c>
      <c r="D12" s="79">
        <f>COUNTIF(INDIRECT("tblDowntime[Equipment ID (Maint Down)]"),B12)</f>
        <v/>
      </c>
      <c r="E12" s="79">
        <f>SUMIF(INDIRECT("tblDowntime[Equipment ID]"),B12,INDIRECT("tblDowntime[Maintenance Downtime Hours]"))</f>
        <v/>
      </c>
      <c r="F12" s="78">
        <f t="array" ref="F12">_xlfn.XLOOKUP(B12,INDIRECT("tblEquipment[Equipment ID]"),INDIRECT("tblEquipment[Planned Runtime (hrs/month)]"))</f>
        <v/>
      </c>
      <c r="G12" s="79">
        <f>IF(D12=0,F12,(F12-E12)/D12)</f>
        <v/>
      </c>
      <c r="H12" s="79">
        <f>IF(D12=0,0,E12/D12)</f>
        <v/>
      </c>
      <c r="I12" s="80" t="n">
        <v>0.85</v>
      </c>
      <c r="J12" s="81">
        <f>IF((G12+H12)=0,0,(G12/(G12+H12)))</f>
        <v/>
      </c>
      <c r="K12" s="81" t="n">
        <v>0.85</v>
      </c>
      <c r="L12" s="81">
        <f>IF(F12=0,0,(F12-E12)/F12)</f>
        <v/>
      </c>
      <c r="N12" s="78">
        <f/>
        <v/>
      </c>
      <c r="O12" s="78">
        <f/>
        <v/>
      </c>
      <c r="P12" s="78">
        <f/>
        <v/>
      </c>
      <c r="Q12" s="78">
        <f>COUNTIF(INDIRECT("tblDowntime[Equipment ID (Prod Down)]"),O12)</f>
        <v/>
      </c>
      <c r="R12" s="79">
        <f>SUMIF(INDIRECT("tblDowntime[Equipment ID]"),B12,INDIRECT("tblDowntime[Production Downtime Hours]"))</f>
        <v/>
      </c>
      <c r="S12" s="79">
        <f>SUM(F12-E12)</f>
        <v/>
      </c>
      <c r="T12" s="79">
        <f>IF(Q12=0,S12,(S12-R12)/Q12)</f>
        <v/>
      </c>
      <c r="U12" s="79">
        <f>IF(Q12=0,0,R12/Q12)</f>
        <v/>
      </c>
      <c r="V12" s="81">
        <f>IF(S12=0,0,(S12-(0.2*E12))/S12)</f>
        <v/>
      </c>
      <c r="W12" s="81">
        <f>IF(S12=0,0,(S12-R12)/S12)</f>
        <v/>
      </c>
    </row>
    <row r="13">
      <c r="A13" s="78">
        <f/>
        <v/>
      </c>
      <c r="B13" s="78">
        <f/>
        <v/>
      </c>
      <c r="C13" s="78">
        <f/>
        <v/>
      </c>
      <c r="D13" s="79">
        <f>COUNTIF(INDIRECT("tblDowntime[Equipment ID (Maint Down)]"),B13)</f>
        <v/>
      </c>
      <c r="E13" s="79">
        <f>SUMIF(INDIRECT("tblDowntime[Equipment ID]"),B13,INDIRECT("tblDowntime[Maintenance Downtime Hours]"))</f>
        <v/>
      </c>
      <c r="F13" s="78">
        <f t="array" ref="F13">_xlfn.XLOOKUP(B13,INDIRECT("tblEquipment[Equipment ID]"),INDIRECT("tblEquipment[Planned Runtime (hrs/month)]"))</f>
        <v/>
      </c>
      <c r="G13" s="79">
        <f>IF(D13=0,F13,(F13-E13)/D13)</f>
        <v/>
      </c>
      <c r="H13" s="79">
        <f>IF(D13=0,0,E13/D13)</f>
        <v/>
      </c>
      <c r="I13" s="80" t="n">
        <v>0.85</v>
      </c>
      <c r="J13" s="81">
        <f>IF((G13+H13)=0,0,(G13/(G13+H13)))</f>
        <v/>
      </c>
      <c r="K13" s="81" t="n">
        <v>0.85</v>
      </c>
      <c r="L13" s="81">
        <f>IF(F13=0,0,(F13-E13)/F13)</f>
        <v/>
      </c>
      <c r="N13" s="78">
        <f/>
        <v/>
      </c>
      <c r="O13" s="78">
        <f/>
        <v/>
      </c>
      <c r="P13" s="78">
        <f/>
        <v/>
      </c>
      <c r="Q13" s="78">
        <f>COUNTIF(INDIRECT("tblDowntime[Equipment ID (Prod Down)]"),O13)</f>
        <v/>
      </c>
      <c r="R13" s="79">
        <f>SUMIF(INDIRECT("tblDowntime[Equipment ID]"),B13,INDIRECT("tblDowntime[Production Downtime Hours]"))</f>
        <v/>
      </c>
      <c r="S13" s="79">
        <f>SUM(F13-E13)</f>
        <v/>
      </c>
      <c r="T13" s="79">
        <f>IF(Q13=0,S13,(S13-R13)/Q13)</f>
        <v/>
      </c>
      <c r="U13" s="79">
        <f>IF(Q13=0,0,R13/Q13)</f>
        <v/>
      </c>
      <c r="V13" s="81">
        <f>IF(S13=0,0,(S13-(0.2*E13))/S13)</f>
        <v/>
      </c>
      <c r="W13" s="81">
        <f>IF(S13=0,0,(S13-R13)/S13)</f>
        <v/>
      </c>
    </row>
    <row r="14">
      <c r="A14" s="78">
        <f/>
        <v/>
      </c>
      <c r="B14" s="78">
        <f/>
        <v/>
      </c>
      <c r="C14" s="78">
        <f/>
        <v/>
      </c>
      <c r="D14" s="79">
        <f>COUNTIF(INDIRECT("tblDowntime[Equipment ID (Maint Down)]"),B14)</f>
        <v/>
      </c>
      <c r="E14" s="79">
        <f>SUMIF(INDIRECT("tblDowntime[Equipment ID]"),B14,INDIRECT("tblDowntime[Maintenance Downtime Hours]"))</f>
        <v/>
      </c>
      <c r="F14" s="78">
        <f t="array" ref="F14">_xlfn.XLOOKUP(B14,INDIRECT("tblEquipment[Equipment ID]"),INDIRECT("tblEquipment[Planned Runtime (hrs/month)]"))</f>
        <v/>
      </c>
      <c r="G14" s="79">
        <f>IF(D14=0,F14,(F14-E14)/D14)</f>
        <v/>
      </c>
      <c r="H14" s="79">
        <f>IF(D14=0,0,E14/D14)</f>
        <v/>
      </c>
      <c r="I14" s="80" t="n">
        <v>0.85</v>
      </c>
      <c r="J14" s="81">
        <f>IF((G14+H14)=0,0,(G14/(G14+H14)))</f>
        <v/>
      </c>
      <c r="K14" s="81" t="n">
        <v>0.85</v>
      </c>
      <c r="L14" s="81">
        <f>IF(F14=0,0,(F14-E14)/F14)</f>
        <v/>
      </c>
      <c r="N14" s="78">
        <f/>
        <v/>
      </c>
      <c r="O14" s="78">
        <f/>
        <v/>
      </c>
      <c r="P14" s="78">
        <f/>
        <v/>
      </c>
      <c r="Q14" s="78">
        <f>COUNTIF(INDIRECT("tblDowntime[Equipment ID (Prod Down)]"),O14)</f>
        <v/>
      </c>
      <c r="R14" s="79">
        <f>SUMIF(INDIRECT("tblDowntime[Equipment ID]"),B14,INDIRECT("tblDowntime[Production Downtime Hours]"))</f>
        <v/>
      </c>
      <c r="S14" s="79">
        <f>SUM(F14-E14)</f>
        <v/>
      </c>
      <c r="T14" s="79">
        <f>IF(Q14=0,S14,(S14-R14)/Q14)</f>
        <v/>
      </c>
      <c r="U14" s="79">
        <f>IF(Q14=0,0,R14/Q14)</f>
        <v/>
      </c>
      <c r="V14" s="81">
        <f>IF(S14=0,0,(S14-(0.2*E14))/S14)</f>
        <v/>
      </c>
      <c r="W14" s="81">
        <f>IF(S14=0,0,(S14-R14)/S14)</f>
        <v/>
      </c>
    </row>
    <row r="15">
      <c r="A15" s="78">
        <f/>
        <v/>
      </c>
      <c r="B15" s="78">
        <f/>
        <v/>
      </c>
      <c r="C15" s="78">
        <f/>
        <v/>
      </c>
      <c r="D15" s="79">
        <f>COUNTIF(INDIRECT("tblDowntime[Equipment ID (Maint Down)]"),B15)</f>
        <v/>
      </c>
      <c r="E15" s="79">
        <f>SUMIF(INDIRECT("tblDowntime[Equipment ID]"),B15,INDIRECT("tblDowntime[Maintenance Downtime Hours]"))</f>
        <v/>
      </c>
      <c r="F15" s="78">
        <f t="array" ref="F15">_xlfn.XLOOKUP(B15,INDIRECT("tblEquipment[Equipment ID]"),INDIRECT("tblEquipment[Planned Runtime (hrs/month)]"))</f>
        <v/>
      </c>
      <c r="G15" s="79">
        <f>IF(D15=0,F15,(F15-E15)/D15)</f>
        <v/>
      </c>
      <c r="H15" s="79">
        <f>IF(D15=0,0,E15/D15)</f>
        <v/>
      </c>
      <c r="I15" s="80" t="n">
        <v>0.85</v>
      </c>
      <c r="J15" s="81">
        <f>IF((G15+H15)=0,0,(G15/(G15+H15)))</f>
        <v/>
      </c>
      <c r="K15" s="81" t="n">
        <v>0.85</v>
      </c>
      <c r="L15" s="81">
        <f>IF(F15=0,0,(F15-E15)/F15)</f>
        <v/>
      </c>
      <c r="N15" s="78">
        <f/>
        <v/>
      </c>
      <c r="O15" s="78">
        <f/>
        <v/>
      </c>
      <c r="P15" s="78">
        <f/>
        <v/>
      </c>
      <c r="Q15" s="78">
        <f>COUNTIF(INDIRECT("tblDowntime[Equipment ID (Prod Down)]"),O15)</f>
        <v/>
      </c>
      <c r="R15" s="79">
        <f>SUMIF(INDIRECT("tblDowntime[Equipment ID]"),B15,INDIRECT("tblDowntime[Production Downtime Hours]"))</f>
        <v/>
      </c>
      <c r="S15" s="79">
        <f>SUM(F15-E15)</f>
        <v/>
      </c>
      <c r="T15" s="79">
        <f>IF(Q15=0,S15,(S15-R15)/Q15)</f>
        <v/>
      </c>
      <c r="U15" s="79">
        <f>IF(Q15=0,0,R15/Q15)</f>
        <v/>
      </c>
      <c r="V15" s="81">
        <f>IF(S15=0,0,(S15-(0.2*E15))/S15)</f>
        <v/>
      </c>
      <c r="W15" s="81">
        <f>IF(S15=0,0,(S15-R15)/S15)</f>
        <v/>
      </c>
    </row>
    <row r="16">
      <c r="A16" s="78">
        <f/>
        <v/>
      </c>
      <c r="B16" s="78">
        <f/>
        <v/>
      </c>
      <c r="C16" s="78">
        <f/>
        <v/>
      </c>
      <c r="D16" s="79">
        <f>COUNTIF(INDIRECT("tblDowntime[Equipment ID (Maint Down)]"),B16)</f>
        <v/>
      </c>
      <c r="E16" s="79">
        <f>SUMIF(INDIRECT("tblDowntime[Equipment ID]"),B16,INDIRECT("tblDowntime[Maintenance Downtime Hours]"))</f>
        <v/>
      </c>
      <c r="F16" s="78">
        <f t="array" ref="F16">_xlfn.XLOOKUP(B16,INDIRECT("tblEquipment[Equipment ID]"),INDIRECT("tblEquipment[Planned Runtime (hrs/month)]"))</f>
        <v/>
      </c>
      <c r="G16" s="79">
        <f>IF(D16=0,F16,(F16-E16)/D16)</f>
        <v/>
      </c>
      <c r="H16" s="79">
        <f>IF(D16=0,0,E16/D16)</f>
        <v/>
      </c>
      <c r="I16" s="80" t="n">
        <v>0.85</v>
      </c>
      <c r="J16" s="81">
        <f>IF((G16+H16)=0,0,(G16/(G16+H16)))</f>
        <v/>
      </c>
      <c r="K16" s="81" t="n">
        <v>0.85</v>
      </c>
      <c r="L16" s="81">
        <f>IF(F16=0,0,(F16-E16)/F16)</f>
        <v/>
      </c>
      <c r="N16" s="78">
        <f/>
        <v/>
      </c>
      <c r="O16" s="78">
        <f/>
        <v/>
      </c>
      <c r="P16" s="78">
        <f/>
        <v/>
      </c>
      <c r="Q16" s="78">
        <f>COUNTIF(INDIRECT("tblDowntime[Equipment ID (Prod Down)]"),O16)</f>
        <v/>
      </c>
      <c r="R16" s="79">
        <f>SUMIF(INDIRECT("tblDowntime[Equipment ID]"),B16,INDIRECT("tblDowntime[Production Downtime Hours]"))</f>
        <v/>
      </c>
      <c r="S16" s="79">
        <f>SUM(F16-E16)</f>
        <v/>
      </c>
      <c r="T16" s="79">
        <f>IF(Q16=0,S16,(S16-R16)/Q16)</f>
        <v/>
      </c>
      <c r="U16" s="79">
        <f>IF(Q16=0,0,R16/Q16)</f>
        <v/>
      </c>
      <c r="V16" s="81">
        <f>IF(S16=0,0,(S16-(0.2*E16))/S16)</f>
        <v/>
      </c>
      <c r="W16" s="81">
        <f>IF(S16=0,0,(S16-R16)/S16)</f>
        <v/>
      </c>
    </row>
    <row r="17">
      <c r="A17" s="78">
        <f/>
        <v/>
      </c>
      <c r="B17" s="78">
        <f/>
        <v/>
      </c>
      <c r="C17" s="78">
        <f/>
        <v/>
      </c>
      <c r="D17" s="79">
        <f>COUNTIF(INDIRECT("tblDowntime[Equipment ID (Maint Down)]"),B17)</f>
        <v/>
      </c>
      <c r="E17" s="79">
        <f>SUMIF(INDIRECT("tblDowntime[Equipment ID]"),B17,INDIRECT("tblDowntime[Maintenance Downtime Hours]"))</f>
        <v/>
      </c>
      <c r="F17" s="78">
        <f t="array" ref="F17">_xlfn.XLOOKUP(B17,INDIRECT("tblEquipment[Equipment ID]"),INDIRECT("tblEquipment[Planned Runtime (hrs/month)]"))</f>
        <v/>
      </c>
      <c r="G17" s="79">
        <f>IF(D17=0,F17,(F17-E17)/D17)</f>
        <v/>
      </c>
      <c r="H17" s="79">
        <f>IF(D17=0,0,E17/D17)</f>
        <v/>
      </c>
      <c r="I17" s="80" t="n">
        <v>0.85</v>
      </c>
      <c r="J17" s="81">
        <f>IF((G17+H17)=0,0,(G17/(G17+H17)))</f>
        <v/>
      </c>
      <c r="K17" s="81" t="n">
        <v>0.85</v>
      </c>
      <c r="L17" s="81">
        <f>IF(F17=0,0,(F17-E17)/F17)</f>
        <v/>
      </c>
      <c r="N17" s="78">
        <f/>
        <v/>
      </c>
      <c r="O17" s="78">
        <f/>
        <v/>
      </c>
      <c r="P17" s="78">
        <f/>
        <v/>
      </c>
      <c r="Q17" s="78">
        <f>COUNTIF(INDIRECT("tblDowntime[Equipment ID (Prod Down)]"),O17)</f>
        <v/>
      </c>
      <c r="R17" s="79">
        <f>SUMIF(INDIRECT("tblDowntime[Equipment ID]"),B17,INDIRECT("tblDowntime[Production Downtime Hours]"))</f>
        <v/>
      </c>
      <c r="S17" s="79">
        <f>SUM(F17-E17)</f>
        <v/>
      </c>
      <c r="T17" s="79">
        <f>IF(Q17=0,S17,(S17-R17)/Q17)</f>
        <v/>
      </c>
      <c r="U17" s="79">
        <f>IF(Q17=0,0,R17/Q17)</f>
        <v/>
      </c>
      <c r="V17" s="81">
        <f>IF(S17=0,0,(S17-(0.2*E17))/S17)</f>
        <v/>
      </c>
      <c r="W17" s="81">
        <f>IF(S17=0,0,(S17-R17)/S17)</f>
        <v/>
      </c>
    </row>
    <row r="18">
      <c r="A18" s="78">
        <f/>
        <v/>
      </c>
      <c r="B18" s="78">
        <f/>
        <v/>
      </c>
      <c r="C18" s="78">
        <f/>
        <v/>
      </c>
      <c r="D18" s="79">
        <f>COUNTIF(INDIRECT("tblDowntime[Equipment ID (Maint Down)]"),B18)</f>
        <v/>
      </c>
      <c r="E18" s="79">
        <f>SUMIF(INDIRECT("tblDowntime[Equipment ID]"),B18,INDIRECT("tblDowntime[Maintenance Downtime Hours]"))</f>
        <v/>
      </c>
      <c r="F18" s="78">
        <f t="array" ref="F18">_xlfn.XLOOKUP(B18,INDIRECT("tblEquipment[Equipment ID]"),INDIRECT("tblEquipment[Planned Runtime (hrs/month)]"))</f>
        <v/>
      </c>
      <c r="G18" s="79">
        <f>IF(D18=0,F18,(F18-E18)/D18)</f>
        <v/>
      </c>
      <c r="H18" s="79">
        <f>IF(D18=0,0,E18/D18)</f>
        <v/>
      </c>
      <c r="I18" s="80" t="n">
        <v>0.99</v>
      </c>
      <c r="J18" s="81">
        <f>IF((G18+H18)=0,0,(G18/(G18+H18)))</f>
        <v/>
      </c>
      <c r="K18" s="81" t="n">
        <v>0.99</v>
      </c>
      <c r="L18" s="81">
        <f>IF(F18=0,0,(F18-E18)/F18)</f>
        <v/>
      </c>
      <c r="N18" s="78">
        <f/>
        <v/>
      </c>
      <c r="O18" s="78">
        <f/>
        <v/>
      </c>
      <c r="P18" s="78">
        <f/>
        <v/>
      </c>
      <c r="Q18" s="78">
        <f>COUNTIF(INDIRECT("tblDowntime[Equipment ID (Prod Down)]"),O18)</f>
        <v/>
      </c>
      <c r="R18" s="79">
        <f>SUMIF(INDIRECT("tblDowntime[Equipment ID]"),B18,INDIRECT("tblDowntime[Production Downtime Hours]"))</f>
        <v/>
      </c>
      <c r="S18" s="79">
        <f>SUM(F18-E18)</f>
        <v/>
      </c>
      <c r="T18" s="79">
        <f>IF(Q18=0,S18,(S18-R18)/Q18)</f>
        <v/>
      </c>
      <c r="U18" s="79">
        <f>IF(Q18=0,0,R18/Q18)</f>
        <v/>
      </c>
      <c r="V18" s="81">
        <f>IF(S18=0,0,(S18-(0.2*E18))/S18)</f>
        <v/>
      </c>
      <c r="W18" s="81">
        <f>IF(S18=0,0,(S18-R18)/S18)</f>
        <v/>
      </c>
    </row>
    <row r="19">
      <c r="A19" s="78">
        <f/>
        <v/>
      </c>
      <c r="B19" s="78">
        <f/>
        <v/>
      </c>
      <c r="C19" s="78">
        <f/>
        <v/>
      </c>
      <c r="D19" s="79">
        <f>COUNTIF(INDIRECT("tblDowntime[Equipment ID (Maint Down)]"),B19)</f>
        <v/>
      </c>
      <c r="E19" s="79">
        <f>SUMIF(INDIRECT("tblDowntime[Equipment ID]"),B19,INDIRECT("tblDowntime[Maintenance Downtime Hours]"))</f>
        <v/>
      </c>
      <c r="F19" s="78">
        <f t="array" ref="F19">_xlfn.XLOOKUP(B19,INDIRECT("tblEquipment[Equipment ID]"),INDIRECT("tblEquipment[Planned Runtime (hrs/month)]"))</f>
        <v/>
      </c>
      <c r="G19" s="79">
        <f>IF(D19=0,F19,(F19-E19)/D19)</f>
        <v/>
      </c>
      <c r="H19" s="79">
        <f>IF(D19=0,0,E19/D19)</f>
        <v/>
      </c>
      <c r="I19" s="80" t="n">
        <v>0.99</v>
      </c>
      <c r="J19" s="81">
        <f>IF((G19+H19)=0,0,(G19/(G19+H19)))</f>
        <v/>
      </c>
      <c r="K19" s="81" t="n">
        <v>0.99</v>
      </c>
      <c r="L19" s="81">
        <f>IF(F19=0,0,(F19-E19)/F19)</f>
        <v/>
      </c>
      <c r="N19" s="78">
        <f/>
        <v/>
      </c>
      <c r="O19" s="78">
        <f/>
        <v/>
      </c>
      <c r="P19" s="78">
        <f/>
        <v/>
      </c>
      <c r="Q19" s="78">
        <f>COUNTIF(INDIRECT("tblDowntime[Equipment ID (Prod Down)]"),O19)</f>
        <v/>
      </c>
      <c r="R19" s="79">
        <f>SUMIF(INDIRECT("tblDowntime[Equipment ID]"),B19,INDIRECT("tblDowntime[Production Downtime Hours]"))</f>
        <v/>
      </c>
      <c r="S19" s="79">
        <f>SUM(F19-E19)</f>
        <v/>
      </c>
      <c r="T19" s="79">
        <f>IF(Q19=0,S19,(S19-R19)/Q19)</f>
        <v/>
      </c>
      <c r="U19" s="79">
        <f>IF(Q19=0,0,R19/Q19)</f>
        <v/>
      </c>
      <c r="V19" s="81">
        <f>IF(S19=0,0,(S19-(0.2*E19))/S19)</f>
        <v/>
      </c>
      <c r="W19" s="81">
        <f>IF(S19=0,0,(S19-R19)/S19)</f>
        <v/>
      </c>
    </row>
    <row r="20">
      <c r="A20" s="78">
        <f/>
        <v/>
      </c>
      <c r="B20" s="78">
        <f/>
        <v/>
      </c>
      <c r="C20" s="78">
        <f/>
        <v/>
      </c>
      <c r="D20" s="79">
        <f>COUNTIF(INDIRECT("tblDowntime[Equipment ID (Maint Down)]"),B20)</f>
        <v/>
      </c>
      <c r="E20" s="79">
        <f>SUMIF(INDIRECT("tblDowntime[Equipment ID]"),B20,INDIRECT("tblDowntime[Maintenance Downtime Hours]"))</f>
        <v/>
      </c>
      <c r="F20" s="78">
        <f t="array" ref="F20">_xlfn.XLOOKUP(B20,INDIRECT("tblEquipment[Equipment ID]"),INDIRECT("tblEquipment[Planned Runtime (hrs/month)]"))</f>
        <v/>
      </c>
      <c r="G20" s="79">
        <f>IF(D20=0,F20,(F20-E20)/D20)</f>
        <v/>
      </c>
      <c r="H20" s="79">
        <f>IF(D20=0,0,E20/D20)</f>
        <v/>
      </c>
      <c r="I20" s="80" t="n">
        <v>0.99</v>
      </c>
      <c r="J20" s="81">
        <f>IF((G20+H20)=0,0,(G20/(G20+H20)))</f>
        <v/>
      </c>
      <c r="K20" s="81" t="n">
        <v>0.99</v>
      </c>
      <c r="L20" s="81">
        <f>IF(F20=0,0,(F20-E20)/F20)</f>
        <v/>
      </c>
      <c r="N20" s="78">
        <f/>
        <v/>
      </c>
      <c r="O20" s="78">
        <f/>
        <v/>
      </c>
      <c r="P20" s="78">
        <f/>
        <v/>
      </c>
      <c r="Q20" s="78">
        <f>COUNTIF(INDIRECT("tblDowntime[Equipment ID (Prod Down)]"),O20)</f>
        <v/>
      </c>
      <c r="R20" s="79">
        <f>SUMIF(INDIRECT("tblDowntime[Equipment ID]"),B20,INDIRECT("tblDowntime[Production Downtime Hours]"))</f>
        <v/>
      </c>
      <c r="S20" s="79">
        <f>SUM(F20-E20)</f>
        <v/>
      </c>
      <c r="T20" s="79">
        <f>IF(Q20=0,S20,(S20-R20)/Q20)</f>
        <v/>
      </c>
      <c r="U20" s="79">
        <f>IF(Q20=0,0,R20/Q20)</f>
        <v/>
      </c>
      <c r="V20" s="81">
        <f>IF(S20=0,0,(S20-(0.2*E20))/S20)</f>
        <v/>
      </c>
      <c r="W20" s="81">
        <f>IF(S20=0,0,(S20-R20)/S20)</f>
        <v/>
      </c>
    </row>
    <row r="21">
      <c r="A21" s="78">
        <f/>
        <v/>
      </c>
      <c r="B21" s="78">
        <f/>
        <v/>
      </c>
      <c r="C21" s="78">
        <f/>
        <v/>
      </c>
      <c r="D21" s="79">
        <f>COUNTIF(INDIRECT("tblDowntime[Equipment ID (Maint Down)]"),B21)</f>
        <v/>
      </c>
      <c r="E21" s="79">
        <f>SUMIF(INDIRECT("tblDowntime[Equipment ID]"),B21,INDIRECT("tblDowntime[Maintenance Downtime Hours]"))</f>
        <v/>
      </c>
      <c r="F21" s="78">
        <f t="array" ref="F21">_xlfn.XLOOKUP(B21,INDIRECT("tblEquipment[Equipment ID]"),INDIRECT("tblEquipment[Planned Runtime (hrs/month)]"))</f>
        <v/>
      </c>
      <c r="G21" s="79">
        <f>IF(D21=0,F21,(F21-E21)/D21)</f>
        <v/>
      </c>
      <c r="H21" s="79">
        <f>IF(D21=0,0,E21/D21)</f>
        <v/>
      </c>
      <c r="I21" s="80" t="n">
        <v>0.99</v>
      </c>
      <c r="J21" s="81">
        <f>IF((G21+H21)=0,0,(G21/(G21+H21)))</f>
        <v/>
      </c>
      <c r="K21" s="81" t="n">
        <v>0.99</v>
      </c>
      <c r="L21" s="81">
        <f>IF(F21=0,0,(F21-E21)/F21)</f>
        <v/>
      </c>
      <c r="N21" s="78">
        <f/>
        <v/>
      </c>
      <c r="O21" s="78">
        <f/>
        <v/>
      </c>
      <c r="P21" s="78">
        <f/>
        <v/>
      </c>
      <c r="Q21" s="78">
        <f>COUNTIF(INDIRECT("tblDowntime[Equipment ID (Prod Down)]"),O21)</f>
        <v/>
      </c>
      <c r="R21" s="79">
        <f>SUMIF(INDIRECT("tblDowntime[Equipment ID]"),B21,INDIRECT("tblDowntime[Production Downtime Hours]"))</f>
        <v/>
      </c>
      <c r="S21" s="79">
        <f>SUM(F21-E21)</f>
        <v/>
      </c>
      <c r="T21" s="79">
        <f>IF(Q21=0,S21,(S21-R21)/Q21)</f>
        <v/>
      </c>
      <c r="U21" s="79">
        <f>IF(Q21=0,0,R21/Q21)</f>
        <v/>
      </c>
      <c r="V21" s="81">
        <f>IF(S21=0,0,(S21-(0.2*E21))/S21)</f>
        <v/>
      </c>
      <c r="W21" s="81">
        <f>IF(S21=0,0,(S21-R21)/S21)</f>
        <v/>
      </c>
    </row>
    <row r="22">
      <c r="A22" s="78">
        <f/>
        <v/>
      </c>
      <c r="B22" s="78">
        <f/>
        <v/>
      </c>
      <c r="C22" s="78">
        <f/>
        <v/>
      </c>
      <c r="D22" s="79">
        <f>COUNTIF(INDIRECT("tblDowntime[Equipment ID (Maint Down)]"),B22)</f>
        <v/>
      </c>
      <c r="E22" s="79">
        <f>SUMIF(INDIRECT("tblDowntime[Equipment ID]"),B22,INDIRECT("tblDowntime[Maintenance Downtime Hours]"))</f>
        <v/>
      </c>
      <c r="F22" s="78">
        <f t="array" ref="F22">_xlfn.XLOOKUP(B22,INDIRECT("tblEquipment[Equipment ID]"),INDIRECT("tblEquipment[Planned Runtime (hrs/month)]"))</f>
        <v/>
      </c>
      <c r="G22" s="79">
        <f>IF(D22=0,F22,(F22-E22)/D22)</f>
        <v/>
      </c>
      <c r="H22" s="79">
        <f>IF(D22=0,0,E22/D22)</f>
        <v/>
      </c>
      <c r="I22" s="80" t="n">
        <v>0.99</v>
      </c>
      <c r="J22" s="81">
        <f>IF((G22+H22)=0,0,(G22/(G22+H22)))</f>
        <v/>
      </c>
      <c r="K22" s="81" t="n">
        <v>0.99</v>
      </c>
      <c r="L22" s="81">
        <f>IF(F22=0,0,(F22-E22)/F22)</f>
        <v/>
      </c>
      <c r="N22" s="78">
        <f/>
        <v/>
      </c>
      <c r="O22" s="78">
        <f/>
        <v/>
      </c>
      <c r="P22" s="78">
        <f/>
        <v/>
      </c>
      <c r="Q22" s="78">
        <f>COUNTIF(INDIRECT("tblDowntime[Equipment ID (Prod Down)]"),O22)</f>
        <v/>
      </c>
      <c r="R22" s="79">
        <f>SUMIF(INDIRECT("tblDowntime[Equipment ID]"),B22,INDIRECT("tblDowntime[Production Downtime Hours]"))</f>
        <v/>
      </c>
      <c r="S22" s="79">
        <f>SUM(F22-E22)</f>
        <v/>
      </c>
      <c r="T22" s="79">
        <f>IF(Q22=0,S22,(S22-R22)/Q22)</f>
        <v/>
      </c>
      <c r="U22" s="79">
        <f>IF(Q22=0,0,R22/Q22)</f>
        <v/>
      </c>
      <c r="V22" s="81">
        <f>IF(S22=0,0,(S22-(0.2*E22))/S22)</f>
        <v/>
      </c>
      <c r="W22" s="81">
        <f>IF(S22=0,0,(S22-R22)/S22)</f>
        <v/>
      </c>
    </row>
    <row r="23">
      <c r="A23" s="78">
        <f/>
        <v/>
      </c>
      <c r="B23" s="78">
        <f/>
        <v/>
      </c>
      <c r="C23" s="78">
        <f/>
        <v/>
      </c>
      <c r="D23" s="79">
        <f>COUNTIF(INDIRECT("tblDowntime[Equipment ID (Maint Down)]"),B23)</f>
        <v/>
      </c>
      <c r="E23" s="79">
        <f>SUMIF(INDIRECT("tblDowntime[Equipment ID]"),B23,INDIRECT("tblDowntime[Maintenance Downtime Hours]"))</f>
        <v/>
      </c>
      <c r="F23" s="78">
        <f t="array" ref="F23">_xlfn.XLOOKUP(B23,INDIRECT("tblEquipment[Equipment ID]"),INDIRECT("tblEquipment[Planned Runtime (hrs/month)]"))</f>
        <v/>
      </c>
      <c r="G23" s="79">
        <f>IF(D23=0,F23,(F23-E23)/D23)</f>
        <v/>
      </c>
      <c r="H23" s="79">
        <f>IF(D23=0,0,E23/D23)</f>
        <v/>
      </c>
      <c r="I23" s="80" t="n">
        <v>0.85</v>
      </c>
      <c r="J23" s="81">
        <f>IF((G23+H23)=0,0,(G23/(G23+H23)))</f>
        <v/>
      </c>
      <c r="K23" s="81" t="n">
        <v>0.85</v>
      </c>
      <c r="L23" s="81">
        <f>IF(F23=0,0,(F23-E23)/F23)</f>
        <v/>
      </c>
      <c r="N23" s="78">
        <f/>
        <v/>
      </c>
      <c r="O23" s="78">
        <f/>
        <v/>
      </c>
      <c r="P23" s="78">
        <f/>
        <v/>
      </c>
      <c r="Q23" s="78">
        <f>COUNTIF(INDIRECT("tblDowntime[Equipment ID (Prod Down)]"),O23)</f>
        <v/>
      </c>
      <c r="R23" s="79">
        <f>SUMIF(INDIRECT("tblDowntime[Equipment ID]"),B23,INDIRECT("tblDowntime[Production Downtime Hours]"))</f>
        <v/>
      </c>
      <c r="S23" s="79">
        <f>SUM(F23-E23)</f>
        <v/>
      </c>
      <c r="T23" s="79">
        <f>IF(Q23=0,S23,(S23-R23)/Q23)</f>
        <v/>
      </c>
      <c r="U23" s="79">
        <f>IF(Q23=0,0,R23/Q23)</f>
        <v/>
      </c>
      <c r="V23" s="81">
        <f>IF(S23=0,0,(S23-(0.2*E23))/S23)</f>
        <v/>
      </c>
      <c r="W23" s="81">
        <f>IF(S23=0,0,(S23-R23)/S23)</f>
        <v/>
      </c>
    </row>
    <row r="24">
      <c r="A24" s="78">
        <f/>
        <v/>
      </c>
      <c r="B24" s="78">
        <f/>
        <v/>
      </c>
      <c r="C24" s="78">
        <f/>
        <v/>
      </c>
      <c r="D24" s="79">
        <f>COUNTIF(INDIRECT("tblDowntime[Equipment ID (Maint Down)]"),B24)</f>
        <v/>
      </c>
      <c r="E24" s="79">
        <f>SUMIF(INDIRECT("tblDowntime[Equipment ID]"),B24,INDIRECT("tblDowntime[Maintenance Downtime Hours]"))</f>
        <v/>
      </c>
      <c r="F24" s="78">
        <f t="array" ref="F24">_xlfn.XLOOKUP(B24,INDIRECT("tblEquipment[Equipment ID]"),INDIRECT("tblEquipment[Planned Runtime (hrs/month)]"))</f>
        <v/>
      </c>
      <c r="G24" s="79">
        <f>IF(D24=0,F24,(F24-E24)/D24)</f>
        <v/>
      </c>
      <c r="H24" s="79">
        <f>IF(D24=0,0,E24/D24)</f>
        <v/>
      </c>
      <c r="I24" s="80" t="n">
        <v>0.85</v>
      </c>
      <c r="J24" s="81">
        <f>IF((G24+H24)=0,0,(G24/(G24+H24)))</f>
        <v/>
      </c>
      <c r="K24" s="81" t="n">
        <v>0.85</v>
      </c>
      <c r="L24" s="81">
        <f>IF(F24=0,0,(F24-E24)/F24)</f>
        <v/>
      </c>
      <c r="N24" s="78">
        <f/>
        <v/>
      </c>
      <c r="O24" s="78">
        <f/>
        <v/>
      </c>
      <c r="P24" s="78">
        <f/>
        <v/>
      </c>
      <c r="Q24" s="78">
        <f>COUNTIF(INDIRECT("tblDowntime[Equipment ID (Prod Down)]"),O24)</f>
        <v/>
      </c>
      <c r="R24" s="79">
        <f>SUMIF(INDIRECT("tblDowntime[Equipment ID]"),B24,INDIRECT("tblDowntime[Production Downtime Hours]"))</f>
        <v/>
      </c>
      <c r="S24" s="79">
        <f>SUM(F24-E24)</f>
        <v/>
      </c>
      <c r="T24" s="79">
        <f>IF(Q24=0,S24,(S24-R24)/Q24)</f>
        <v/>
      </c>
      <c r="U24" s="79">
        <f>IF(Q24=0,0,R24/Q24)</f>
        <v/>
      </c>
      <c r="V24" s="81">
        <f>IF(S24=0,0,(S24-(0.2*E24))/S24)</f>
        <v/>
      </c>
      <c r="W24" s="81">
        <f>IF(S24=0,0,(S24-R24)/S24)</f>
        <v/>
      </c>
    </row>
    <row r="25">
      <c r="A25" s="78">
        <f/>
        <v/>
      </c>
      <c r="B25" s="78">
        <f/>
        <v/>
      </c>
      <c r="C25" s="78">
        <f/>
        <v/>
      </c>
      <c r="D25" s="79">
        <f>COUNTIF(INDIRECT("tblDowntime[Equipment ID (Maint Down)]"),B25)</f>
        <v/>
      </c>
      <c r="E25" s="79">
        <f>SUMIF(INDIRECT("tblDowntime[Equipment ID]"),B25,INDIRECT("tblDowntime[Maintenance Downtime Hours]"))</f>
        <v/>
      </c>
      <c r="F25" s="78">
        <f t="array" ref="F25">_xlfn.XLOOKUP(B25,INDIRECT("tblEquipment[Equipment ID]"),INDIRECT("tblEquipment[Planned Runtime (hrs/month)]"))</f>
        <v/>
      </c>
      <c r="G25" s="79">
        <f>IF(D25=0,F25,(F25-E25)/D25)</f>
        <v/>
      </c>
      <c r="H25" s="79">
        <f>IF(D25=0,0,E25/D25)</f>
        <v/>
      </c>
      <c r="I25" s="80" t="n">
        <v>0.85</v>
      </c>
      <c r="J25" s="81">
        <f>IF((G25+H25)=0,0,(G25/(G25+H25)))</f>
        <v/>
      </c>
      <c r="K25" s="81" t="n">
        <v>0.85</v>
      </c>
      <c r="L25" s="81">
        <f>IF(F25=0,0,(F25-E25)/F25)</f>
        <v/>
      </c>
      <c r="N25" s="78">
        <f/>
        <v/>
      </c>
      <c r="O25" s="78">
        <f/>
        <v/>
      </c>
      <c r="P25" s="78">
        <f/>
        <v/>
      </c>
      <c r="Q25" s="78">
        <f>COUNTIF(INDIRECT("tblDowntime[Equipment ID (Prod Down)]"),O25)</f>
        <v/>
      </c>
      <c r="R25" s="79">
        <f>SUMIF(INDIRECT("tblDowntime[Equipment ID]"),B25,INDIRECT("tblDowntime[Production Downtime Hours]"))</f>
        <v/>
      </c>
      <c r="S25" s="79">
        <f>SUM(F25-E25)</f>
        <v/>
      </c>
      <c r="T25" s="79">
        <f>IF(Q25=0,S25,(S25-R25)/Q25)</f>
        <v/>
      </c>
      <c r="U25" s="79">
        <f>IF(Q25=0,0,R25/Q25)</f>
        <v/>
      </c>
      <c r="V25" s="81">
        <f>IF(S25=0,0,(S25-(0.2*E25))/S25)</f>
        <v/>
      </c>
      <c r="W25" s="81">
        <f>IF(S25=0,0,(S25-R25)/S25)</f>
        <v/>
      </c>
    </row>
    <row r="26">
      <c r="A26" s="78">
        <f/>
        <v/>
      </c>
      <c r="B26" s="78">
        <f/>
        <v/>
      </c>
      <c r="C26" s="78">
        <f/>
        <v/>
      </c>
      <c r="D26" s="79">
        <f>COUNTIF(INDIRECT("tblDowntime[Equipment ID (Maint Down)]"),B26)</f>
        <v/>
      </c>
      <c r="E26" s="79">
        <f>SUMIF(INDIRECT("tblDowntime[Equipment ID]"),B26,INDIRECT("tblDowntime[Maintenance Downtime Hours]"))</f>
        <v/>
      </c>
      <c r="F26" s="78">
        <f t="array" ref="F26">_xlfn.XLOOKUP(B26,INDIRECT("tblEquipment[Equipment ID]"),INDIRECT("tblEquipment[Planned Runtime (hrs/month)]"))</f>
        <v/>
      </c>
      <c r="G26" s="79">
        <f>IF(D26=0,F26,(F26-E26)/D26)</f>
        <v/>
      </c>
      <c r="H26" s="79">
        <f>IF(D26=0,0,E26/D26)</f>
        <v/>
      </c>
      <c r="I26" s="80" t="n">
        <v>0.85</v>
      </c>
      <c r="J26" s="81">
        <f>IF((G26+H26)=0,0,(G26/(G26+H26)))</f>
        <v/>
      </c>
      <c r="K26" s="81" t="n">
        <v>0.85</v>
      </c>
      <c r="L26" s="81">
        <f>IF(F26=0,0,(F26-E26)/F26)</f>
        <v/>
      </c>
      <c r="N26" s="78">
        <f/>
        <v/>
      </c>
      <c r="O26" s="78">
        <f/>
        <v/>
      </c>
      <c r="P26" s="78">
        <f/>
        <v/>
      </c>
      <c r="Q26" s="78">
        <f>COUNTIF(INDIRECT("tblDowntime[Equipment ID (Prod Down)]"),O26)</f>
        <v/>
      </c>
      <c r="R26" s="79">
        <f>SUMIF(INDIRECT("tblDowntime[Equipment ID]"),B26,INDIRECT("tblDowntime[Production Downtime Hours]"))</f>
        <v/>
      </c>
      <c r="S26" s="79">
        <f>SUM(F26-E26)</f>
        <v/>
      </c>
      <c r="T26" s="79">
        <f>IF(Q26=0,S26,(S26-R26)/Q26)</f>
        <v/>
      </c>
      <c r="U26" s="79">
        <f>IF(Q26=0,0,R26/Q26)</f>
        <v/>
      </c>
      <c r="V26" s="81">
        <f>IF(S26=0,0,(S26-(0.2*E26))/S26)</f>
        <v/>
      </c>
      <c r="W26" s="81">
        <f>IF(S26=0,0,(S26-R26)/S26)</f>
        <v/>
      </c>
    </row>
    <row r="27">
      <c r="A27" s="78">
        <f/>
        <v/>
      </c>
      <c r="B27" s="78">
        <f/>
        <v/>
      </c>
      <c r="C27" s="78">
        <f/>
        <v/>
      </c>
      <c r="D27" s="79">
        <f>COUNTIF(INDIRECT("tblDowntime[Equipment ID (Maint Down)]"),B27)</f>
        <v/>
      </c>
      <c r="E27" s="79">
        <f>SUMIF(INDIRECT("tblDowntime[Equipment ID]"),B27,INDIRECT("tblDowntime[Maintenance Downtime Hours]"))</f>
        <v/>
      </c>
      <c r="F27" s="78">
        <f t="array" ref="F27">_xlfn.XLOOKUP(B27,INDIRECT("tblEquipment[Equipment ID]"),INDIRECT("tblEquipment[Planned Runtime (hrs/month)]"))</f>
        <v/>
      </c>
      <c r="G27" s="79">
        <f>IF(D27=0,F27,(F27-E27)/D27)</f>
        <v/>
      </c>
      <c r="H27" s="79">
        <f>IF(D27=0,0,E27/D27)</f>
        <v/>
      </c>
      <c r="I27" s="80" t="n">
        <v>0.85</v>
      </c>
      <c r="J27" s="81">
        <f>IF((G27+H27)=0,0,(G27/(G27+H27)))</f>
        <v/>
      </c>
      <c r="K27" s="81" t="n">
        <v>0.85</v>
      </c>
      <c r="L27" s="81">
        <f>IF(F27=0,0,(F27-E27)/F27)</f>
        <v/>
      </c>
      <c r="N27" s="78">
        <f/>
        <v/>
      </c>
      <c r="O27" s="78">
        <f/>
        <v/>
      </c>
      <c r="P27" s="78">
        <f/>
        <v/>
      </c>
      <c r="Q27" s="78">
        <f>COUNTIF(INDIRECT("tblDowntime[Equipment ID (Prod Down)]"),O27)</f>
        <v/>
      </c>
      <c r="R27" s="79">
        <f>SUMIF(INDIRECT("tblDowntime[Equipment ID]"),B27,INDIRECT("tblDowntime[Production Downtime Hours]"))</f>
        <v/>
      </c>
      <c r="S27" s="79">
        <f>SUM(F27-E27)</f>
        <v/>
      </c>
      <c r="T27" s="79">
        <f>IF(Q27=0,S27,(S27-R27)/Q27)</f>
        <v/>
      </c>
      <c r="U27" s="79">
        <f>IF(Q27=0,0,R27/Q27)</f>
        <v/>
      </c>
      <c r="V27" s="81">
        <f>IF(S27=0,0,(S27-(0.2*E27))/S27)</f>
        <v/>
      </c>
      <c r="W27" s="81">
        <f>IF(S27=0,0,(S27-R27)/S27)</f>
        <v/>
      </c>
    </row>
    <row r="28">
      <c r="A28" s="78">
        <f/>
        <v/>
      </c>
      <c r="B28" s="78">
        <f/>
        <v/>
      </c>
      <c r="C28" s="78">
        <f/>
        <v/>
      </c>
      <c r="D28" s="79">
        <f>COUNTIF(INDIRECT("tblDowntime[Equipment ID (Maint Down)]"),B28)</f>
        <v/>
      </c>
      <c r="E28" s="79">
        <f>SUMIF(INDIRECT("tblDowntime[Equipment ID]"),B28,INDIRECT("tblDowntime[Maintenance Downtime Hours]"))</f>
        <v/>
      </c>
      <c r="F28" s="78">
        <f t="array" ref="F28">_xlfn.XLOOKUP(B28,INDIRECT("tblEquipment[Equipment ID]"),INDIRECT("tblEquipment[Planned Runtime (hrs/month)]"))</f>
        <v/>
      </c>
      <c r="G28" s="79">
        <f>IF(D28=0,F28,(F28-E28)/D28)</f>
        <v/>
      </c>
      <c r="H28" s="79">
        <f>IF(D28=0,0,E28/D28)</f>
        <v/>
      </c>
      <c r="I28" s="80" t="n">
        <v>0.85</v>
      </c>
      <c r="J28" s="81">
        <f>IF((G28+H28)=0,0,(G28/(G28+H28)))</f>
        <v/>
      </c>
      <c r="K28" s="81" t="n">
        <v>0.85</v>
      </c>
      <c r="L28" s="81">
        <f>IF(F28=0,0,(F28-E28)/F28)</f>
        <v/>
      </c>
      <c r="N28" s="78">
        <f/>
        <v/>
      </c>
      <c r="O28" s="78">
        <f/>
        <v/>
      </c>
      <c r="P28" s="78">
        <f/>
        <v/>
      </c>
      <c r="Q28" s="78">
        <f>COUNTIF(INDIRECT("tblDowntime[Equipment ID (Prod Down)]"),O28)</f>
        <v/>
      </c>
      <c r="R28" s="79">
        <f>SUMIF(INDIRECT("tblDowntime[Equipment ID]"),B28,INDIRECT("tblDowntime[Production Downtime Hours]"))</f>
        <v/>
      </c>
      <c r="S28" s="79">
        <f>SUM(F28-E28)</f>
        <v/>
      </c>
      <c r="T28" s="79">
        <f>IF(Q28=0,S28,(S28-R28)/Q28)</f>
        <v/>
      </c>
      <c r="U28" s="79">
        <f>IF(Q28=0,0,R28/Q28)</f>
        <v/>
      </c>
      <c r="V28" s="81">
        <f>IF(S28=0,0,(S28-(0.2*E28))/S28)</f>
        <v/>
      </c>
      <c r="W28" s="81">
        <f>IF(S28=0,0,(S28-R28)/S28)</f>
        <v/>
      </c>
    </row>
    <row r="29">
      <c r="A29" s="78">
        <f/>
        <v/>
      </c>
      <c r="B29" s="78">
        <f/>
        <v/>
      </c>
      <c r="C29" s="78">
        <f/>
        <v/>
      </c>
      <c r="D29" s="79">
        <f>COUNTIF(INDIRECT("tblDowntime[Equipment ID (Maint Down)]"),B29)</f>
        <v/>
      </c>
      <c r="E29" s="79">
        <f>SUMIF(INDIRECT("tblDowntime[Equipment ID]"),B29,INDIRECT("tblDowntime[Maintenance Downtime Hours]"))</f>
        <v/>
      </c>
      <c r="F29" s="78">
        <f t="array" ref="F29">_xlfn.XLOOKUP(B29,INDIRECT("tblEquipment[Equipment ID]"),INDIRECT("tblEquipment[Planned Runtime (hrs/month)]"))</f>
        <v/>
      </c>
      <c r="G29" s="79">
        <f>IF(D29=0,F29,(F29-E29)/D29)</f>
        <v/>
      </c>
      <c r="H29" s="79">
        <f>IF(D29=0,0,E29/D29)</f>
        <v/>
      </c>
      <c r="I29" s="80" t="n">
        <v>0.99</v>
      </c>
      <c r="J29" s="81">
        <f>IF((G29+H29)=0,0,(G29/(G29+H29)))</f>
        <v/>
      </c>
      <c r="K29" s="81" t="n">
        <v>0.99</v>
      </c>
      <c r="L29" s="81">
        <f>IF(F29=0,0,(F29-E29)/F29)</f>
        <v/>
      </c>
      <c r="N29" s="78">
        <f/>
        <v/>
      </c>
      <c r="O29" s="78">
        <f/>
        <v/>
      </c>
      <c r="P29" s="78">
        <f/>
        <v/>
      </c>
      <c r="Q29" s="78">
        <f>COUNTIF(INDIRECT("tblDowntime[Equipment ID (Prod Down)]"),O29)</f>
        <v/>
      </c>
      <c r="R29" s="79">
        <f>SUMIF(INDIRECT("tblDowntime[Equipment ID]"),B29,INDIRECT("tblDowntime[Production Downtime Hours]"))</f>
        <v/>
      </c>
      <c r="S29" s="79">
        <f>SUM(F29-E29)</f>
        <v/>
      </c>
      <c r="T29" s="79">
        <f>IF(Q29=0,S29,(S29-R29)/Q29)</f>
        <v/>
      </c>
      <c r="U29" s="79">
        <f>IF(Q29=0,0,R29/Q29)</f>
        <v/>
      </c>
      <c r="V29" s="81">
        <f>IF(S29=0,0,(S29-(0.2*E29))/S29)</f>
        <v/>
      </c>
      <c r="W29" s="81">
        <f>IF(S29=0,0,(S29-R29)/S29)</f>
        <v/>
      </c>
    </row>
    <row r="30">
      <c r="A30" s="78">
        <f/>
        <v/>
      </c>
      <c r="B30" s="78">
        <f/>
        <v/>
      </c>
      <c r="C30" s="78">
        <f/>
        <v/>
      </c>
      <c r="D30" s="79">
        <f>COUNTIF(INDIRECT("tblDowntime[Equipment ID (Maint Down)]"),B30)</f>
        <v/>
      </c>
      <c r="E30" s="79">
        <f>SUMIF(INDIRECT("tblDowntime[Equipment ID]"),B30,INDIRECT("tblDowntime[Maintenance Downtime Hours]"))</f>
        <v/>
      </c>
      <c r="F30" s="78">
        <f t="array" ref="F30">_xlfn.XLOOKUP(B30,INDIRECT("tblEquipment[Equipment ID]"),INDIRECT("tblEquipment[Planned Runtime (hrs/month)]"))</f>
        <v/>
      </c>
      <c r="G30" s="79">
        <f>IF(D30=0,F30,(F30-E30)/D30)</f>
        <v/>
      </c>
      <c r="H30" s="79">
        <f>IF(D30=0,0,E30/D30)</f>
        <v/>
      </c>
      <c r="I30" s="80" t="n">
        <v>0.99</v>
      </c>
      <c r="J30" s="81">
        <f>IF((G30+H30)=0,0,(G30/(G30+H30)))</f>
        <v/>
      </c>
      <c r="K30" s="81" t="n">
        <v>0.99</v>
      </c>
      <c r="L30" s="81">
        <f>IF(F30=0,0,(F30-E30)/F30)</f>
        <v/>
      </c>
      <c r="N30" s="78">
        <f/>
        <v/>
      </c>
      <c r="O30" s="78">
        <f/>
        <v/>
      </c>
      <c r="P30" s="78">
        <f/>
        <v/>
      </c>
      <c r="Q30" s="78">
        <f>COUNTIF(INDIRECT("tblDowntime[Equipment ID (Prod Down)]"),O30)</f>
        <v/>
      </c>
      <c r="R30" s="79">
        <f>SUMIF(INDIRECT("tblDowntime[Equipment ID]"),B30,INDIRECT("tblDowntime[Production Downtime Hours]"))</f>
        <v/>
      </c>
      <c r="S30" s="79">
        <f>SUM(F30-E30)</f>
        <v/>
      </c>
      <c r="T30" s="79">
        <f>IF(Q30=0,S30,(S30-R30)/Q30)</f>
        <v/>
      </c>
      <c r="U30" s="79">
        <f>IF(Q30=0,0,R30/Q30)</f>
        <v/>
      </c>
      <c r="V30" s="81">
        <f>IF(S30=0,0,(S30-(0.2*E30))/S30)</f>
        <v/>
      </c>
      <c r="W30" s="81">
        <f>IF(S30=0,0,(S30-R30)/S30)</f>
        <v/>
      </c>
    </row>
    <row r="31">
      <c r="A31" s="78">
        <f/>
        <v/>
      </c>
      <c r="B31" s="78">
        <f/>
        <v/>
      </c>
      <c r="C31" s="78">
        <f/>
        <v/>
      </c>
      <c r="D31" s="79">
        <f>COUNTIF(INDIRECT("tblDowntime[Equipment ID (Maint Down)]"),B31)</f>
        <v/>
      </c>
      <c r="E31" s="79">
        <f>SUMIF(INDIRECT("tblDowntime[Equipment ID]"),B31,INDIRECT("tblDowntime[Maintenance Downtime Hours]"))</f>
        <v/>
      </c>
      <c r="F31" s="78">
        <f t="array" ref="F31">_xlfn.XLOOKUP(B31,INDIRECT("tblEquipment[Equipment ID]"),INDIRECT("tblEquipment[Planned Runtime (hrs/month)]"))</f>
        <v/>
      </c>
      <c r="G31" s="79">
        <f>IF(D31=0,F31,(F31-E31)/D31)</f>
        <v/>
      </c>
      <c r="H31" s="79">
        <f>IF(D31=0,0,E31/D31)</f>
        <v/>
      </c>
      <c r="I31" s="80" t="n">
        <v>0.99</v>
      </c>
      <c r="J31" s="81">
        <f>IF((G31+H31)=0,0,(G31/(G31+H31)))</f>
        <v/>
      </c>
      <c r="K31" s="81" t="n">
        <v>0.99</v>
      </c>
      <c r="L31" s="81">
        <f>IF(F31=0,0,(F31-E31)/F31)</f>
        <v/>
      </c>
      <c r="N31" s="78">
        <f/>
        <v/>
      </c>
      <c r="O31" s="78">
        <f/>
        <v/>
      </c>
      <c r="P31" s="78">
        <f/>
        <v/>
      </c>
      <c r="Q31" s="78">
        <f>COUNTIF(INDIRECT("tblDowntime[Equipment ID (Prod Down)]"),O31)</f>
        <v/>
      </c>
      <c r="R31" s="79">
        <f>SUMIF(INDIRECT("tblDowntime[Equipment ID]"),B31,INDIRECT("tblDowntime[Production Downtime Hours]"))</f>
        <v/>
      </c>
      <c r="S31" s="79">
        <f>SUM(F31-E31)</f>
        <v/>
      </c>
      <c r="T31" s="79">
        <f>IF(Q31=0,S31,(S31-R31)/Q31)</f>
        <v/>
      </c>
      <c r="U31" s="79">
        <f>IF(Q31=0,0,R31/Q31)</f>
        <v/>
      </c>
      <c r="V31" s="81">
        <f>IF(S31=0,0,(S31-(0.2*E31))/S31)</f>
        <v/>
      </c>
      <c r="W31" s="81">
        <f>IF(S31=0,0,(S31-R31)/S31)</f>
        <v/>
      </c>
    </row>
    <row r="32">
      <c r="A32" s="78">
        <f/>
        <v/>
      </c>
      <c r="B32" s="78">
        <f/>
        <v/>
      </c>
      <c r="C32" s="78">
        <f/>
        <v/>
      </c>
      <c r="D32" s="79">
        <f>COUNTIF(INDIRECT("tblDowntime[Equipment ID (Maint Down)]"),B32)</f>
        <v/>
      </c>
      <c r="E32" s="79">
        <f>SUMIF(INDIRECT("tblDowntime[Equipment ID]"),B32,INDIRECT("tblDowntime[Maintenance Downtime Hours]"))</f>
        <v/>
      </c>
      <c r="F32" s="78">
        <f t="array" ref="F32">_xlfn.XLOOKUP(B32,INDIRECT("tblEquipment[Equipment ID]"),INDIRECT("tblEquipment[Planned Runtime (hrs/month)]"))</f>
        <v/>
      </c>
      <c r="G32" s="79">
        <f>IF(D32=0,F32,(F32-E32)/D32)</f>
        <v/>
      </c>
      <c r="H32" s="79">
        <f>IF(D32=0,0,E32/D32)</f>
        <v/>
      </c>
      <c r="I32" s="80" t="n">
        <v>0.99</v>
      </c>
      <c r="J32" s="81">
        <f>IF((G32+H32)=0,0,(G32/(G32+H32)))</f>
        <v/>
      </c>
      <c r="K32" s="81" t="n">
        <v>0.99</v>
      </c>
      <c r="L32" s="81">
        <f>IF(F32=0,0,(F32-E32)/F32)</f>
        <v/>
      </c>
      <c r="N32" s="78">
        <f/>
        <v/>
      </c>
      <c r="O32" s="78">
        <f/>
        <v/>
      </c>
      <c r="P32" s="78">
        <f/>
        <v/>
      </c>
      <c r="Q32" s="78">
        <f>COUNTIF(INDIRECT("tblDowntime[Equipment ID (Prod Down)]"),O32)</f>
        <v/>
      </c>
      <c r="R32" s="79">
        <f>SUMIF(INDIRECT("tblDowntime[Equipment ID]"),B32,INDIRECT("tblDowntime[Production Downtime Hours]"))</f>
        <v/>
      </c>
      <c r="S32" s="79">
        <f>SUM(F32-E32)</f>
        <v/>
      </c>
      <c r="T32" s="79">
        <f>IF(Q32=0,S32,(S32-R32)/Q32)</f>
        <v/>
      </c>
      <c r="U32" s="79">
        <f>IF(Q32=0,0,R32/Q32)</f>
        <v/>
      </c>
      <c r="V32" s="81">
        <f>IF(S32=0,0,(S32-(0.2*E32))/S32)</f>
        <v/>
      </c>
      <c r="W32" s="81">
        <f>IF(S32=0,0,(S32-R32)/S32)</f>
        <v/>
      </c>
    </row>
    <row r="33">
      <c r="A33" s="78">
        <f/>
        <v/>
      </c>
      <c r="B33" s="78">
        <f/>
        <v/>
      </c>
      <c r="C33" s="78">
        <f/>
        <v/>
      </c>
      <c r="D33" s="79">
        <f>COUNTIF(INDIRECT("tblDowntime[Equipment ID (Maint Down)]"),B33)</f>
        <v/>
      </c>
      <c r="E33" s="79">
        <f>SUMIF(INDIRECT("tblDowntime[Equipment ID]"),B33,INDIRECT("tblDowntime[Maintenance Downtime Hours]"))</f>
        <v/>
      </c>
      <c r="F33" s="78">
        <f t="array" ref="F33">_xlfn.XLOOKUP(B33,INDIRECT("tblEquipment[Equipment ID]"),INDIRECT("tblEquipment[Planned Runtime (hrs/month)]"))</f>
        <v/>
      </c>
      <c r="G33" s="79">
        <f>IF(D33=0,F33,(F33-E33)/D33)</f>
        <v/>
      </c>
      <c r="H33" s="79">
        <f>IF(D33=0,0,E33/D33)</f>
        <v/>
      </c>
      <c r="I33" s="80" t="n">
        <v>0.99</v>
      </c>
      <c r="J33" s="81">
        <f>IF((G33+H33)=0,0,(G33/(G33+H33)))</f>
        <v/>
      </c>
      <c r="K33" s="81" t="n">
        <v>0.99</v>
      </c>
      <c r="L33" s="81">
        <f>IF(F33=0,0,(F33-E33)/F33)</f>
        <v/>
      </c>
      <c r="N33" s="78">
        <f/>
        <v/>
      </c>
      <c r="O33" s="78">
        <f/>
        <v/>
      </c>
      <c r="P33" s="78">
        <f/>
        <v/>
      </c>
      <c r="Q33" s="78">
        <f>COUNTIF(INDIRECT("tblDowntime[Equipment ID (Prod Down)]"),O33)</f>
        <v/>
      </c>
      <c r="R33" s="79">
        <f>SUMIF(INDIRECT("tblDowntime[Equipment ID]"),B33,INDIRECT("tblDowntime[Production Downtime Hours]"))</f>
        <v/>
      </c>
      <c r="S33" s="79">
        <f>SUM(F33-E33)</f>
        <v/>
      </c>
      <c r="T33" s="79">
        <f>IF(Q33=0,S33,(S33-R33)/Q33)</f>
        <v/>
      </c>
      <c r="U33" s="79">
        <f>IF(Q33=0,0,R33/Q33)</f>
        <v/>
      </c>
      <c r="V33" s="81">
        <f>IF(S33=0,0,(S33-(0.2*E33))/S33)</f>
        <v/>
      </c>
      <c r="W33" s="81">
        <f>IF(S33=0,0,(S33-R33)/S33)</f>
        <v/>
      </c>
    </row>
    <row r="34">
      <c r="A34" s="78">
        <f/>
        <v/>
      </c>
      <c r="B34" s="78">
        <f/>
        <v/>
      </c>
      <c r="C34" s="78">
        <f/>
        <v/>
      </c>
      <c r="D34" s="79">
        <f>COUNTIF(INDIRECT("tblDowntime[Equipment ID (Maint Down)]"),B34)</f>
        <v/>
      </c>
      <c r="E34" s="79">
        <f>SUMIF(INDIRECT("tblDowntime[Equipment ID]"),B34,INDIRECT("tblDowntime[Maintenance Downtime Hours]"))</f>
        <v/>
      </c>
      <c r="F34" s="78">
        <f t="array" ref="F34">_xlfn.XLOOKUP(B34,INDIRECT("tblEquipment[Equipment ID]"),INDIRECT("tblEquipment[Planned Runtime (hrs/month)]"))</f>
        <v/>
      </c>
      <c r="G34" s="79">
        <f>IF(D34=0,F34,(F34-E34)/D34)</f>
        <v/>
      </c>
      <c r="H34" s="79">
        <f>IF(D34=0,0,E34/D34)</f>
        <v/>
      </c>
      <c r="I34" s="80" t="n">
        <v>0.99</v>
      </c>
      <c r="J34" s="81">
        <f>IF((G34+H34)=0,0,(G34/(G34+H34)))</f>
        <v/>
      </c>
      <c r="K34" s="81" t="n">
        <v>0.99</v>
      </c>
      <c r="L34" s="81">
        <f>IF(F34=0,0,(F34-E34)/F34)</f>
        <v/>
      </c>
      <c r="N34" s="78">
        <f/>
        <v/>
      </c>
      <c r="O34" s="78">
        <f/>
        <v/>
      </c>
      <c r="P34" s="78">
        <f/>
        <v/>
      </c>
      <c r="Q34" s="78">
        <f>COUNTIF(INDIRECT("tblDowntime[Equipment ID (Prod Down)]"),O34)</f>
        <v/>
      </c>
      <c r="R34" s="79">
        <f>SUMIF(INDIRECT("tblDowntime[Equipment ID]"),B34,INDIRECT("tblDowntime[Production Downtime Hours]"))</f>
        <v/>
      </c>
      <c r="S34" s="79">
        <f>SUM(F34-E34)</f>
        <v/>
      </c>
      <c r="T34" s="79">
        <f>IF(Q34=0,S34,(S34-R34)/Q34)</f>
        <v/>
      </c>
      <c r="U34" s="79">
        <f>IF(Q34=0,0,R34/Q34)</f>
        <v/>
      </c>
      <c r="V34" s="81">
        <f>IF(S34=0,0,(S34-(0.2*E34))/S34)</f>
        <v/>
      </c>
      <c r="W34" s="81">
        <f>IF(S34=0,0,(S34-R34)/S34)</f>
        <v/>
      </c>
    </row>
    <row r="35">
      <c r="A35" s="78">
        <f/>
        <v/>
      </c>
      <c r="B35" s="78">
        <f/>
        <v/>
      </c>
      <c r="C35" s="78">
        <f/>
        <v/>
      </c>
      <c r="D35" s="79">
        <f>COUNTIF(INDIRECT("tblDowntime[Equipment ID (Maint Down)]"),B35)</f>
        <v/>
      </c>
      <c r="E35" s="79">
        <f>SUMIF(INDIRECT("tblDowntime[Equipment ID]"),B35,INDIRECT("tblDowntime[Maintenance Downtime Hours]"))</f>
        <v/>
      </c>
      <c r="F35" s="78">
        <f t="array" ref="F35">_xlfn.XLOOKUP(B35,INDIRECT("tblEquipment[Equipment ID]"),INDIRECT("tblEquipment[Planned Runtime (hrs/month)]"))</f>
        <v/>
      </c>
      <c r="G35" s="79">
        <f>IF(D35=0,F35,(F35-E35)/D35)</f>
        <v/>
      </c>
      <c r="H35" s="79">
        <f>IF(D35=0,0,E35/D35)</f>
        <v/>
      </c>
      <c r="I35" s="80" t="n">
        <v>0.99</v>
      </c>
      <c r="J35" s="81">
        <f>IF((G35+H35)=0,0,(G35/(G35+H35)))</f>
        <v/>
      </c>
      <c r="K35" s="81" t="n">
        <v>0.99</v>
      </c>
      <c r="L35" s="81">
        <f>IF(F35=0,0,(F35-E35)/F35)</f>
        <v/>
      </c>
      <c r="N35" s="78">
        <f/>
        <v/>
      </c>
      <c r="O35" s="78">
        <f/>
        <v/>
      </c>
      <c r="P35" s="78">
        <f/>
        <v/>
      </c>
      <c r="Q35" s="78">
        <f>COUNTIF(INDIRECT("tblDowntime[Equipment ID (Prod Down)]"),O35)</f>
        <v/>
      </c>
      <c r="R35" s="79">
        <f>SUMIF(INDIRECT("tblDowntime[Equipment ID]"),B35,INDIRECT("tblDowntime[Production Downtime Hours]"))</f>
        <v/>
      </c>
      <c r="S35" s="79">
        <f>SUM(F35-E35)</f>
        <v/>
      </c>
      <c r="T35" s="79">
        <f>IF(Q35=0,S35,(S35-R35)/Q35)</f>
        <v/>
      </c>
      <c r="U35" s="79">
        <f>IF(Q35=0,0,R35/Q35)</f>
        <v/>
      </c>
      <c r="V35" s="81">
        <f>IF(S35=0,0,(S35-(0.2*E35))/S35)</f>
        <v/>
      </c>
      <c r="W35" s="81">
        <f>IF(S35=0,0,(S35-R35)/S35)</f>
        <v/>
      </c>
    </row>
    <row r="36">
      <c r="A36" s="78">
        <f/>
        <v/>
      </c>
      <c r="B36" s="78">
        <f/>
        <v/>
      </c>
      <c r="C36" s="78">
        <f/>
        <v/>
      </c>
      <c r="D36" s="79">
        <f>COUNTIF(INDIRECT("tblDowntime[Equipment ID (Maint Down)]"),B36)</f>
        <v/>
      </c>
      <c r="E36" s="79">
        <f>SUMIF(INDIRECT("tblDowntime[Equipment ID]"),B36,INDIRECT("tblDowntime[Maintenance Downtime Hours]"))</f>
        <v/>
      </c>
      <c r="F36" s="78">
        <f t="array" ref="F36">_xlfn.XLOOKUP(B36,INDIRECT("tblEquipment[Equipment ID]"),INDIRECT("tblEquipment[Planned Runtime (hrs/month)]"))</f>
        <v/>
      </c>
      <c r="G36" s="79">
        <f>IF(D36=0,F36,(F36-E36)/D36)</f>
        <v/>
      </c>
      <c r="H36" s="79">
        <f>IF(D36=0,0,E36/D36)</f>
        <v/>
      </c>
      <c r="I36" s="80" t="n">
        <v>0.99</v>
      </c>
      <c r="J36" s="81">
        <f>IF((G36+H36)=0,0,(G36/(G36+H36)))</f>
        <v/>
      </c>
      <c r="K36" s="81" t="n">
        <v>0.99</v>
      </c>
      <c r="L36" s="81">
        <f>IF(F36=0,0,(F36-E36)/F36)</f>
        <v/>
      </c>
      <c r="N36" s="78">
        <f/>
        <v/>
      </c>
      <c r="O36" s="78">
        <f/>
        <v/>
      </c>
      <c r="P36" s="78">
        <f/>
        <v/>
      </c>
      <c r="Q36" s="78">
        <f>COUNTIF(INDIRECT("tblDowntime[Equipment ID (Prod Down)]"),O36)</f>
        <v/>
      </c>
      <c r="R36" s="79">
        <f>SUMIF(INDIRECT("tblDowntime[Equipment ID]"),B36,INDIRECT("tblDowntime[Production Downtime Hours]"))</f>
        <v/>
      </c>
      <c r="S36" s="79">
        <f>SUM(F36-E36)</f>
        <v/>
      </c>
      <c r="T36" s="79">
        <f>IF(Q36=0,S36,(S36-R36)/Q36)</f>
        <v/>
      </c>
      <c r="U36" s="79">
        <f>IF(Q36=0,0,R36/Q36)</f>
        <v/>
      </c>
      <c r="V36" s="81">
        <f>IF(S36=0,0,(S36-(0.2*E36))/S36)</f>
        <v/>
      </c>
      <c r="W36" s="81">
        <f>IF(S36=0,0,(S36-R36)/S36)</f>
        <v/>
      </c>
    </row>
    <row r="38">
      <c r="A38" s="78" t="inlineStr">
        <is>
          <t>Production line</t>
        </is>
      </c>
      <c r="B38" s="78" t="inlineStr">
        <is>
          <t>Availability Target</t>
        </is>
      </c>
      <c r="C38" s="78" t="inlineStr">
        <is>
          <t>Availability Actual</t>
        </is>
      </c>
      <c r="D38" s="78" t="inlineStr">
        <is>
          <t>Utilization Target</t>
        </is>
      </c>
      <c r="E38" s="79" t="inlineStr">
        <is>
          <t>Utilization Actual</t>
        </is>
      </c>
    </row>
    <row r="39">
      <c r="A39" s="78" t="inlineStr">
        <is>
          <t>Boilers</t>
        </is>
      </c>
      <c r="B39" s="80" t="n">
        <v>0.99</v>
      </c>
      <c r="C39" s="80">
        <f>SUM((1-((1-L34))*(1-L35)*(1-L36)))</f>
        <v/>
      </c>
      <c r="D39" s="78" t="n"/>
      <c r="E39" s="79" t="n"/>
    </row>
    <row r="40">
      <c r="A40" s="78" t="inlineStr">
        <is>
          <t>Debarker</t>
        </is>
      </c>
      <c r="B40" s="80" t="n">
        <v>0.85</v>
      </c>
      <c r="C40" s="80">
        <f>L2</f>
        <v/>
      </c>
      <c r="D40" s="78" t="n"/>
      <c r="E40" s="79" t="n"/>
    </row>
    <row r="41">
      <c r="A41" s="78" t="inlineStr">
        <is>
          <t>Frameline</t>
        </is>
      </c>
      <c r="B41" s="80" t="n">
        <v>0.9</v>
      </c>
      <c r="C41" s="80">
        <f>SUM(L5*(1-(1-L8)*(1-L4))*L10)</f>
        <v/>
      </c>
      <c r="D41" s="78" t="n"/>
      <c r="E41" s="79" t="n"/>
    </row>
    <row r="42">
      <c r="A42" s="78" t="inlineStr">
        <is>
          <t>Recovery line</t>
        </is>
      </c>
      <c r="B42" s="80" t="n">
        <v>0.9</v>
      </c>
      <c r="C42" s="80">
        <f>SUM((1-((1-L8)*(1-L4)*(1-L7)))*L6*L9)</f>
        <v/>
      </c>
      <c r="D42" s="78" t="n"/>
      <c r="E42" s="79" t="n"/>
    </row>
    <row r="43">
      <c r="A43" s="78" t="inlineStr">
        <is>
          <t>Bandline</t>
        </is>
      </c>
      <c r="B43" s="80" t="n">
        <v>0.9</v>
      </c>
      <c r="C43" s="80">
        <f>SUM(L3*(1-((1-L7)*(1-L4)))*(1-((1-L9)*(1-L6))))</f>
        <v/>
      </c>
      <c r="D43" s="78" t="n"/>
      <c r="E43" s="79" t="n"/>
    </row>
    <row r="44">
      <c r="A44" s="78" t="inlineStr">
        <is>
          <t>AutoStacker</t>
        </is>
      </c>
      <c r="B44" s="80" t="n">
        <v>0.85</v>
      </c>
      <c r="C44" s="80">
        <f>L12</f>
        <v/>
      </c>
      <c r="D44" s="78" t="n"/>
      <c r="E44" s="79" t="n"/>
      <c r="J44" s="9" t="n"/>
    </row>
    <row r="45">
      <c r="A45" s="78" t="inlineStr">
        <is>
          <t>Kilns</t>
        </is>
      </c>
      <c r="B45" s="80" t="n">
        <v>0.99</v>
      </c>
      <c r="C45" s="80">
        <f>SUM(1-((1-L18)*(1-L19)*(1-L20)*(1-L21)*(1-L22)))</f>
        <v/>
      </c>
      <c r="D45" s="78" t="n"/>
      <c r="E45" s="79" t="n"/>
    </row>
    <row r="46">
      <c r="A46" s="78" t="inlineStr">
        <is>
          <t>Wetmill Primary</t>
        </is>
      </c>
      <c r="B46" s="80" t="n">
        <v>0.85</v>
      </c>
      <c r="C46" s="80">
        <f>SUM((1-((1-L3)*(1-L5)))*(1-((1-L4)*(1-L7)*(1-L8)))*L6*(1-((1-L9)*(1-L10))))</f>
        <v/>
      </c>
      <c r="D46" s="81" t="n">
        <v>0.75</v>
      </c>
      <c r="E46" s="81">
        <f>SUM((1-((1-W3)*(1-W5)))*(1-((1-W4)*(1-W7)*(1-W8)))*W6*(1-((1-W9)*(1-W10))))</f>
        <v/>
      </c>
    </row>
    <row r="47">
      <c r="A47" s="78" t="inlineStr">
        <is>
          <t>Drymil Primary</t>
        </is>
      </c>
      <c r="B47" s="80" t="n">
        <v>0.85</v>
      </c>
      <c r="C47" s="80">
        <f>SUM((1-((1-L23)*(1-L25)*(1-L26)))*L24*L27)</f>
        <v/>
      </c>
      <c r="D47" s="81" t="n">
        <v>0.75</v>
      </c>
      <c r="E47" s="81">
        <f>SUM((1-((1-W23)*(1-W25)*(1-W26)))*W24*W27)</f>
        <v/>
      </c>
    </row>
    <row r="48">
      <c r="B48" s="9" t="n"/>
      <c r="C48" s="9" t="n"/>
    </row>
    <row r="49">
      <c r="B49" s="9" t="n"/>
      <c r="C49" s="9" t="n"/>
    </row>
  </sheetData>
  <conditionalFormatting sqref="J2:J17 J23:J28 L2:L17 L23:L28">
    <cfRule type="cellIs" priority="10" operator="lessThan" dxfId="3">
      <formula>85%</formula>
    </cfRule>
    <cfRule type="cellIs" priority="11" operator="between" dxfId="2">
      <formula>85%</formula>
      <formula>95%</formula>
    </cfRule>
    <cfRule type="cellIs" priority="12" operator="greaterThan" dxfId="0">
      <formula>95%</formula>
    </cfRule>
  </conditionalFormatting>
  <conditionalFormatting sqref="J18:J22 J29:J36 L18:L22 L29:L36">
    <cfRule type="cellIs" priority="2" operator="lessThan" dxfId="3">
      <formula>0.99</formula>
    </cfRule>
    <cfRule type="cellIs" priority="3" operator="equal" dxfId="2">
      <formula>0.99</formula>
    </cfRule>
    <cfRule type="cellIs" priority="4" operator="greaterThan" dxfId="0">
      <formula>0.99</formula>
    </cfRule>
  </conditionalFormatting>
  <conditionalFormatting sqref="W2">
    <cfRule type="cellIs" priority="1" operator="greaterThanOrEqual" dxfId="0">
      <formula>$V$2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zoomScaleNormal="85" workbookViewId="0">
      <selection activeCell="A1" sqref="A1"/>
    </sheetView>
  </sheetViews>
  <sheetFormatPr baseColWidth="8" defaultRowHeight="12"/>
  <cols>
    <col width="27.28515625" bestFit="1" customWidth="1" min="1" max="1"/>
    <col width="18.85546875" bestFit="1" customWidth="1" min="2" max="2"/>
    <col width="8.7109375" bestFit="1" customWidth="1" min="3" max="3"/>
    <col width="16.140625" bestFit="1" customWidth="1" min="4" max="4"/>
    <col width="12.140625" bestFit="1" customWidth="1" min="5" max="5"/>
    <col width="13.28515625" bestFit="1" customWidth="1" min="6" max="6"/>
    <col width="16.28515625" bestFit="1" customWidth="1" min="7" max="7"/>
    <col width="17.42578125" bestFit="1" customWidth="1" min="8" max="8"/>
    <col width="19" bestFit="1" customWidth="1" min="9" max="9"/>
    <col width="11.85546875" bestFit="1" customWidth="1" min="10" max="10"/>
    <col width="17.7109375" bestFit="1" customWidth="1" min="11" max="11"/>
    <col width="13.7109375" bestFit="1" customWidth="1" min="12" max="12"/>
    <col width="19.28515625" bestFit="1" customWidth="1" min="13" max="13"/>
    <col width="21" bestFit="1" customWidth="1" min="14" max="14"/>
    <col width="8.85546875" bestFit="1" customWidth="1" min="15" max="15"/>
    <col width="9" bestFit="1" customWidth="1" min="16" max="16"/>
    <col width="7.85546875" bestFit="1" customWidth="1" min="17" max="17"/>
    <col width="21.42578125" bestFit="1" customWidth="1" min="18" max="18"/>
    <col width="10.28515625" bestFit="1" customWidth="1" min="19" max="19"/>
    <col width="6" bestFit="1" customWidth="1" min="20" max="20"/>
    <col width="7.7109375" bestFit="1" customWidth="1" min="21" max="21"/>
    <col width="7" bestFit="1" customWidth="1" min="22" max="22"/>
    <col width="16.28515625" bestFit="1" customWidth="1" min="23" max="23"/>
    <col width="19" bestFit="1" customWidth="1" min="24" max="24"/>
    <col width="17.5703125" bestFit="1" customWidth="1" min="25" max="25"/>
    <col width="18.28515625" bestFit="1" customWidth="1" min="26" max="26"/>
    <col width="14.28515625" bestFit="1" customWidth="1" min="27" max="27"/>
    <col width="20.42578125" bestFit="1" customWidth="1" min="28" max="28"/>
    <col width="6.42578125" bestFit="1" customWidth="1" min="29" max="29"/>
    <col width="19.42578125" bestFit="1" customWidth="1" min="30" max="30"/>
    <col width="6.7109375" bestFit="1" customWidth="1" min="31" max="31"/>
    <col width="7.7109375" bestFit="1" customWidth="1" min="32" max="32"/>
    <col width="12.7109375" bestFit="1" customWidth="1" min="33" max="33"/>
    <col width="9" bestFit="1" customWidth="1" min="34" max="34"/>
    <col width="15.7109375" bestFit="1" customWidth="1" min="35" max="35"/>
    <col width="7.5703125" bestFit="1" customWidth="1" min="36" max="36"/>
    <col width="9.5703125" bestFit="1" customWidth="1" min="37" max="37"/>
    <col width="9.28515625" bestFit="1" customWidth="1" min="38" max="38"/>
    <col width="10.85546875" bestFit="1" customWidth="1" min="39" max="39"/>
    <col width="7.42578125" bestFit="1" customWidth="1" min="40" max="40"/>
    <col width="17.5703125" bestFit="1" customWidth="1" min="41" max="41"/>
    <col width="13.85546875" bestFit="1" customWidth="1" min="42" max="42"/>
    <col width="6.28515625" bestFit="1" customWidth="1" min="43" max="43"/>
    <col width="7.7109375" bestFit="1" customWidth="1" min="44" max="44"/>
    <col width="14.42578125" bestFit="1" customWidth="1" min="45" max="45"/>
    <col width="10.85546875" bestFit="1" customWidth="1" min="46" max="46"/>
    <col width="20.28515625" bestFit="1" customWidth="1" min="47" max="47"/>
    <col width="10.42578125" bestFit="1" customWidth="1" min="48" max="48"/>
    <col width="12.140625" bestFit="1" customWidth="1" min="49" max="49"/>
  </cols>
  <sheetData>
    <row r="1">
      <c r="A1" s="7" t="inlineStr">
        <is>
          <t>Failure Type</t>
        </is>
      </c>
      <c r="B1" t="inlineStr">
        <is>
          <t>(Multiple Items)</t>
        </is>
      </c>
    </row>
    <row r="3">
      <c r="A3" s="7" t="inlineStr">
        <is>
          <t>Count of Failed Component</t>
        </is>
      </c>
      <c r="B3" s="7" t="inlineStr">
        <is>
          <t>Column Labels</t>
        </is>
      </c>
    </row>
    <row r="4">
      <c r="A4" s="7" t="inlineStr">
        <is>
          <t>Row Labels</t>
        </is>
      </c>
      <c r="B4" t="inlineStr">
        <is>
          <t>Grand Total</t>
        </is>
      </c>
    </row>
    <row r="5">
      <c r="A5" s="8" t="inlineStr">
        <is>
          <t>Grand Total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00"/>
  <sheetViews>
    <sheetView workbookViewId="0">
      <selection activeCell="V22" sqref="V22"/>
    </sheetView>
  </sheetViews>
  <sheetFormatPr baseColWidth="8" defaultColWidth="9" defaultRowHeight="12"/>
  <cols>
    <col width="10.140625" bestFit="1" customWidth="1" style="11" min="1" max="1"/>
    <col width="26" bestFit="1" customWidth="1" min="2" max="2"/>
    <col width="18.140625" bestFit="1" customWidth="1" style="10" min="3" max="3"/>
    <col width="33.140625" bestFit="1" customWidth="1" min="4" max="4"/>
    <col width="58.7109375" bestFit="1" customWidth="1" style="10" min="5" max="5"/>
    <col width="18.28515625" bestFit="1" customWidth="1" min="6" max="6"/>
    <col width="17.5703125" bestFit="1" customWidth="1" min="7" max="7"/>
    <col width="17.5703125" bestFit="1" customWidth="1" style="16" min="8" max="8"/>
    <col width="19.7109375" bestFit="1" customWidth="1" style="1" min="9" max="9"/>
    <col width="33" bestFit="1" customWidth="1" style="10" min="10" max="10"/>
    <col width="21.140625" bestFit="1" customWidth="1" style="1" min="11" max="11"/>
    <col width="16.140625" bestFit="1" customWidth="1" min="12" max="12"/>
    <col hidden="1" width="30.85546875" customWidth="1" style="16" min="13" max="13"/>
    <col width="30.85546875" bestFit="1" customWidth="1" style="16" min="14" max="14"/>
    <col hidden="1" width="29.7109375" customWidth="1" style="1" min="15" max="15"/>
    <col width="15.42578125" bestFit="1" customWidth="1" min="16" max="16"/>
    <col width="15.42578125" bestFit="1" customWidth="1" style="10" min="17" max="17"/>
    <col width="13.85546875" bestFit="1" customWidth="1" style="10" min="18" max="18"/>
    <col hidden="1" min="20" max="21"/>
  </cols>
  <sheetData>
    <row r="1">
      <c r="A1" s="15" t="inlineStr">
        <is>
          <t>Date</t>
        </is>
      </c>
      <c r="B1" s="13" t="inlineStr">
        <is>
          <t>Production Department</t>
        </is>
      </c>
      <c r="C1" s="14" t="inlineStr">
        <is>
          <t>Equipment ID</t>
        </is>
      </c>
      <c r="D1" s="13" t="inlineStr">
        <is>
          <t>Equipment Name</t>
        </is>
      </c>
      <c r="E1" s="14" t="inlineStr">
        <is>
          <t>Failure Description</t>
        </is>
      </c>
      <c r="F1" s="14" t="inlineStr">
        <is>
          <t>Downtime Start</t>
        </is>
      </c>
      <c r="G1" s="14" t="inlineStr">
        <is>
          <t>Downtime End</t>
        </is>
      </c>
      <c r="H1" s="13" t="inlineStr">
        <is>
          <t>Downtime Hours</t>
        </is>
      </c>
      <c r="I1" s="14" t="inlineStr">
        <is>
          <t>Failure Type</t>
        </is>
      </c>
      <c r="J1" s="13" t="inlineStr">
        <is>
          <t>Maintenance Downtime Hours</t>
        </is>
      </c>
      <c r="K1" s="14" t="inlineStr">
        <is>
          <t>Failed Component</t>
        </is>
      </c>
      <c r="L1" s="14" t="inlineStr">
        <is>
          <t>Failure mode</t>
        </is>
      </c>
      <c r="M1" s="13" t="inlineStr">
        <is>
          <t>Equipment ID (Maint Down)</t>
        </is>
      </c>
      <c r="N1" s="13" t="inlineStr">
        <is>
          <t>Production Downtime Hours</t>
        </is>
      </c>
      <c r="O1" s="13" t="inlineStr">
        <is>
          <t>Equipment ID (Prod Down)</t>
        </is>
      </c>
      <c r="P1" s="14" t="inlineStr">
        <is>
          <t>Repair Time</t>
        </is>
      </c>
      <c r="Q1" s="17" t="inlineStr">
        <is>
          <t>Comments</t>
        </is>
      </c>
      <c r="T1" t="inlineStr">
        <is>
          <t>Failure Type list</t>
        </is>
      </c>
    </row>
    <row r="2">
      <c r="B2">
        <f t="array" ref="B2">_xlfn.XLOOKUP(C2,INDIRECT("tblEquipment[Equipment ID]"),INDIRECT("tblEquipment[Production Department]"),"")</f>
        <v/>
      </c>
      <c r="D2">
        <f t="array" ref="D2">_xlfn.XLOOKUP(C2,INDIRECT("tblEquipment[Equipment ID]"),INDIRECT("tblEquipment[Equipment Name]"),"")</f>
        <v/>
      </c>
      <c r="F2" s="16" t="n"/>
      <c r="G2" s="16" t="n"/>
      <c r="H2" s="1">
        <f>IF(OR(F2=0,G2=0),"",(G2-F2)*24)</f>
        <v/>
      </c>
      <c r="I2" s="10" t="n"/>
      <c r="J2" s="1">
        <f>IF(OR(tblDowntime[[#This Row],[Failure Type]]="Sawshop",tblDowntime[[#This Row],[Failure Type]]="Electrical",tblDowntime[[#This Row],[Failure Type]]="Mechanical"),tblDowntime[[#This Row],[Downtime Hours]],"")</f>
        <v/>
      </c>
      <c r="K2" s="10" t="n"/>
      <c r="L2" s="10" t="n"/>
      <c r="M2">
        <f>IF(tblDowntime[[#This Row],[Maintenance Downtime Hours]]="","",tblDowntime[[#This Row],[Equipment ID]])</f>
        <v/>
      </c>
      <c r="N2" s="1">
        <f>IF(tblDowntime[[#This Row],[Failure Type]]="Production",tblDowntime[[#This Row],[Downtime Hours]],"")</f>
        <v/>
      </c>
      <c r="O2">
        <f>IF(tblDowntime[[#This Row],[Production Downtime Hours]]="","",tblDowntime[[#This Row],[Equipment ID]])</f>
        <v/>
      </c>
      <c r="P2" s="10" t="n"/>
      <c r="T2" t="inlineStr">
        <is>
          <t>Mechanical</t>
        </is>
      </c>
    </row>
    <row r="3">
      <c r="B3">
        <f t="array" ref="B3">_xlfn.XLOOKUP(C3,INDIRECT("tblEquipment[Equipment ID]"),INDIRECT("tblEquipment[Production Department]"),"")</f>
        <v/>
      </c>
      <c r="D3">
        <f t="array" ref="D3">_xlfn.XLOOKUP(C3,INDIRECT("tblEquipment[Equipment ID]"),INDIRECT("tblEquipment[Equipment Name]"),"")</f>
        <v/>
      </c>
      <c r="F3" s="16" t="n"/>
      <c r="G3" s="16" t="n"/>
      <c r="H3" s="1">
        <f>IF(OR(F3=0,G3=0),"",(G3-F3)*24)</f>
        <v/>
      </c>
      <c r="I3" s="10" t="n"/>
      <c r="J3" s="1">
        <f>IF(OR(tblDowntime[[#This Row],[Failure Type]]="Sawshop",tblDowntime[[#This Row],[Failure Type]]="Electrical",tblDowntime[[#This Row],[Failure Type]]="Mechanical"),tblDowntime[[#This Row],[Downtime Hours]],"")</f>
        <v/>
      </c>
      <c r="K3" s="10" t="n"/>
      <c r="L3" s="10" t="n"/>
      <c r="M3">
        <f>IF(tblDowntime[[#This Row],[Maintenance Downtime Hours]]="","",tblDowntime[[#This Row],[Equipment ID]])</f>
        <v/>
      </c>
      <c r="N3" s="1">
        <f>IF(tblDowntime[[#This Row],[Failure Type]]="Production",tblDowntime[[#This Row],[Downtime Hours]],"")</f>
        <v/>
      </c>
      <c r="O3">
        <f>IF(tblDowntime[[#This Row],[Production Downtime Hours]]="","",tblDowntime[[#This Row],[Equipment ID]])</f>
        <v/>
      </c>
      <c r="P3" s="10" t="n"/>
      <c r="T3" t="inlineStr">
        <is>
          <t>Electrical</t>
        </is>
      </c>
    </row>
    <row r="4">
      <c r="B4">
        <f t="array" ref="B4">_xlfn.XLOOKUP(C4,INDIRECT("tblEquipment[Equipment ID]"),INDIRECT("tblEquipment[Production Department]"),"")</f>
        <v/>
      </c>
      <c r="D4">
        <f t="array" ref="D4">_xlfn.XLOOKUP(C4,INDIRECT("tblEquipment[Equipment ID]"),INDIRECT("tblEquipment[Equipment Name]"),"")</f>
        <v/>
      </c>
      <c r="F4" s="16" t="n"/>
      <c r="G4" s="16" t="n"/>
      <c r="H4" s="1">
        <f>IF(OR(F4=0,G4=0),"",(G4-F4)*24)</f>
        <v/>
      </c>
      <c r="I4" s="10" t="n"/>
      <c r="J4" s="1">
        <f>IF(OR(tblDowntime[[#This Row],[Failure Type]]="Sawshop",tblDowntime[[#This Row],[Failure Type]]="Electrical",tblDowntime[[#This Row],[Failure Type]]="Mechanical"),tblDowntime[[#This Row],[Downtime Hours]],"")</f>
        <v/>
      </c>
      <c r="K4" s="10" t="n"/>
      <c r="L4" s="10" t="n"/>
      <c r="M4">
        <f>IF(tblDowntime[[#This Row],[Maintenance Downtime Hours]]="","",tblDowntime[[#This Row],[Equipment ID]])</f>
        <v/>
      </c>
      <c r="N4" s="1">
        <f>IF(tblDowntime[[#This Row],[Failure Type]]="Production",tblDowntime[[#This Row],[Downtime Hours]],"")</f>
        <v/>
      </c>
      <c r="O4">
        <f>IF(tblDowntime[[#This Row],[Production Downtime Hours]]="","",tblDowntime[[#This Row],[Equipment ID]])</f>
        <v/>
      </c>
      <c r="P4" s="10" t="n"/>
      <c r="T4" t="inlineStr">
        <is>
          <t>Sawshop</t>
        </is>
      </c>
    </row>
    <row r="5">
      <c r="B5">
        <f t="array" ref="B5">_xlfn.XLOOKUP(C5,INDIRECT("tblEquipment[Equipment ID]"),INDIRECT("tblEquipment[Production Department]"),"")</f>
        <v/>
      </c>
      <c r="D5">
        <f t="array" ref="D5">_xlfn.XLOOKUP(C5,INDIRECT("tblEquipment[Equipment ID]"),INDIRECT("tblEquipment[Equipment Name]"),"")</f>
        <v/>
      </c>
      <c r="F5" s="16" t="n"/>
      <c r="G5" s="16" t="n"/>
      <c r="H5" s="1">
        <f>IF(OR(F5=0,G5=0),"",(G5-F5)*24)</f>
        <v/>
      </c>
      <c r="I5" s="10" t="n"/>
      <c r="J5" s="1">
        <f>IF(OR(tblDowntime[[#This Row],[Failure Type]]="Sawshop",tblDowntime[[#This Row],[Failure Type]]="Electrical",tblDowntime[[#This Row],[Failure Type]]="Mechanical"),tblDowntime[[#This Row],[Downtime Hours]],"")</f>
        <v/>
      </c>
      <c r="K5" s="10" t="n"/>
      <c r="L5" s="10" t="n"/>
      <c r="M5">
        <f>IF(tblDowntime[[#This Row],[Maintenance Downtime Hours]]="","",tblDowntime[[#This Row],[Equipment ID]])</f>
        <v/>
      </c>
      <c r="N5" s="1">
        <f>IF(tblDowntime[[#This Row],[Failure Type]]="Production",tblDowntime[[#This Row],[Downtime Hours]],"")</f>
        <v/>
      </c>
      <c r="O5">
        <f>IF(tblDowntime[[#This Row],[Production Downtime Hours]]="","",tblDowntime[[#This Row],[Equipment ID]])</f>
        <v/>
      </c>
      <c r="P5" s="10" t="n"/>
      <c r="T5" t="inlineStr">
        <is>
          <t>Production</t>
        </is>
      </c>
    </row>
    <row r="6">
      <c r="B6">
        <f t="array" ref="B6">_xlfn.XLOOKUP(C6,INDIRECT("tblEquipment[Equipment ID]"),INDIRECT("tblEquipment[Production Department]"),"")</f>
        <v/>
      </c>
      <c r="D6">
        <f t="array" ref="D6">_xlfn.XLOOKUP(C6,INDIRECT("tblEquipment[Equipment ID]"),INDIRECT("tblEquipment[Equipment Name]"),"")</f>
        <v/>
      </c>
      <c r="F6" s="16" t="n"/>
      <c r="G6" s="16" t="n"/>
      <c r="H6" s="1">
        <f>IF(OR(F6=0,G6=0),"",(G6-F6)*24)</f>
        <v/>
      </c>
      <c r="I6" s="10" t="n"/>
      <c r="J6" s="1">
        <f>IF(OR(tblDowntime[[#This Row],[Failure Type]]="Sawshop",tblDowntime[[#This Row],[Failure Type]]="Electrical",tblDowntime[[#This Row],[Failure Type]]="Mechanical"),tblDowntime[[#This Row],[Downtime Hours]],"")</f>
        <v/>
      </c>
      <c r="K6" s="10" t="n"/>
      <c r="L6" s="10" t="n"/>
      <c r="M6">
        <f>IF(tblDowntime[[#This Row],[Maintenance Downtime Hours]]="","",tblDowntime[[#This Row],[Equipment ID]])</f>
        <v/>
      </c>
      <c r="N6" s="1">
        <f>IF(tblDowntime[[#This Row],[Failure Type]]="Production",tblDowntime[[#This Row],[Downtime Hours]],"")</f>
        <v/>
      </c>
      <c r="O6">
        <f>IF(tblDowntime[[#This Row],[Production Downtime Hours]]="","",tblDowntime[[#This Row],[Equipment ID]])</f>
        <v/>
      </c>
      <c r="P6" s="10" t="n"/>
    </row>
    <row r="7">
      <c r="B7">
        <f t="array" ref="B7">_xlfn.XLOOKUP(C7,INDIRECT("tblEquipment[Equipment ID]"),INDIRECT("tblEquipment[Production Department]"),"")</f>
        <v/>
      </c>
      <c r="D7">
        <f t="array" ref="D7">_xlfn.XLOOKUP(C7,INDIRECT("tblEquipment[Equipment ID]"),INDIRECT("tblEquipment[Equipment Name]"),"")</f>
        <v/>
      </c>
      <c r="F7" s="16" t="n"/>
      <c r="G7" s="16" t="n"/>
      <c r="H7" s="1">
        <f>IF(OR(F7=0,G7=0),"",(G7-F7)*24)</f>
        <v/>
      </c>
      <c r="I7" s="10" t="n"/>
      <c r="J7" s="1">
        <f>IF(OR(tblDowntime[[#This Row],[Failure Type]]="Sawshop",tblDowntime[[#This Row],[Failure Type]]="Electrical",tblDowntime[[#This Row],[Failure Type]]="Mechanical"),tblDowntime[[#This Row],[Downtime Hours]],"")</f>
        <v/>
      </c>
      <c r="K7" s="10" t="n"/>
      <c r="L7" s="10" t="n"/>
      <c r="M7">
        <f>IF(tblDowntime[[#This Row],[Maintenance Downtime Hours]]="","",tblDowntime[[#This Row],[Equipment ID]])</f>
        <v/>
      </c>
      <c r="N7" s="1">
        <f>IF(tblDowntime[[#This Row],[Failure Type]]="Production",tblDowntime[[#This Row],[Downtime Hours]],"")</f>
        <v/>
      </c>
      <c r="O7">
        <f>IF(tblDowntime[[#This Row],[Production Downtime Hours]]="","",tblDowntime[[#This Row],[Equipment ID]])</f>
        <v/>
      </c>
      <c r="P7" s="10" t="n"/>
    </row>
    <row r="8">
      <c r="B8">
        <f t="array" ref="B8">_xlfn.XLOOKUP(C8,INDIRECT("tblEquipment[Equipment ID]"),INDIRECT("tblEquipment[Production Department]"),"")</f>
        <v/>
      </c>
      <c r="D8">
        <f t="array" ref="D8">_xlfn.XLOOKUP(C8,INDIRECT("tblEquipment[Equipment ID]"),INDIRECT("tblEquipment[Equipment Name]"),"")</f>
        <v/>
      </c>
      <c r="F8" s="16" t="n"/>
      <c r="G8" s="16" t="n"/>
      <c r="H8" s="1">
        <f>IF(OR(F8=0,G8=0),"",(G8-F8)*24)</f>
        <v/>
      </c>
      <c r="I8" s="10" t="n"/>
      <c r="J8" s="1">
        <f>IF(OR(tblDowntime[[#This Row],[Failure Type]]="Sawshop",tblDowntime[[#This Row],[Failure Type]]="Electrical",tblDowntime[[#This Row],[Failure Type]]="Mechanical"),tblDowntime[[#This Row],[Downtime Hours]],"")</f>
        <v/>
      </c>
      <c r="K8" s="10" t="n"/>
      <c r="L8" s="10" t="n"/>
      <c r="M8">
        <f>IF(tblDowntime[[#This Row],[Maintenance Downtime Hours]]="","",tblDowntime[[#This Row],[Equipment ID]])</f>
        <v/>
      </c>
      <c r="N8" s="1">
        <f>IF(tblDowntime[[#This Row],[Failure Type]]="Production",tblDowntime[[#This Row],[Downtime Hours]],"")</f>
        <v/>
      </c>
      <c r="O8">
        <f>IF(tblDowntime[[#This Row],[Production Downtime Hours]]="","",tblDowntime[[#This Row],[Equipment ID]])</f>
        <v/>
      </c>
      <c r="P8" s="10" t="n"/>
    </row>
    <row r="9">
      <c r="B9">
        <f t="array" ref="B9">_xlfn.XLOOKUP(C9,INDIRECT("tblEquipment[Equipment ID]"),INDIRECT("tblEquipment[Production Department]"),"")</f>
        <v/>
      </c>
      <c r="D9">
        <f t="array" ref="D9">_xlfn.XLOOKUP(C9,INDIRECT("tblEquipment[Equipment ID]"),INDIRECT("tblEquipment[Equipment Name]"),"")</f>
        <v/>
      </c>
      <c r="F9" s="16" t="n"/>
      <c r="G9" s="16" t="n"/>
      <c r="H9" s="1">
        <f>IF(OR(F9=0,G9=0),"",(G9-F9)*24)</f>
        <v/>
      </c>
      <c r="I9" s="10" t="n"/>
      <c r="J9" s="1">
        <f>IF(OR(tblDowntime[[#This Row],[Failure Type]]="Sawshop",tblDowntime[[#This Row],[Failure Type]]="Electrical",tblDowntime[[#This Row],[Failure Type]]="Mechanical"),tblDowntime[[#This Row],[Downtime Hours]],"")</f>
        <v/>
      </c>
      <c r="K9" s="10" t="n"/>
      <c r="L9" s="10" t="n"/>
      <c r="M9">
        <f>IF(tblDowntime[[#This Row],[Maintenance Downtime Hours]]="","",tblDowntime[[#This Row],[Equipment ID]])</f>
        <v/>
      </c>
      <c r="N9" s="1">
        <f>IF(tblDowntime[[#This Row],[Failure Type]]="Production",tblDowntime[[#This Row],[Downtime Hours]],"")</f>
        <v/>
      </c>
      <c r="O9">
        <f>IF(tblDowntime[[#This Row],[Production Downtime Hours]]="","",tblDowntime[[#This Row],[Equipment ID]])</f>
        <v/>
      </c>
      <c r="P9" s="10" t="n"/>
    </row>
    <row r="10">
      <c r="B10">
        <f t="array" ref="B10">_xlfn.XLOOKUP(C10,INDIRECT("tblEquipment[Equipment ID]"),INDIRECT("tblEquipment[Production Department]"),"")</f>
        <v/>
      </c>
      <c r="D10">
        <f t="array" ref="D10">_xlfn.XLOOKUP(C10,INDIRECT("tblEquipment[Equipment ID]"),INDIRECT("tblEquipment[Equipment Name]"),"")</f>
        <v/>
      </c>
      <c r="F10" s="16" t="n"/>
      <c r="G10" s="16" t="n"/>
      <c r="H10" s="1">
        <f>IF(OR(F10=0,G10=0),"",(G10-F10)*24)</f>
        <v/>
      </c>
      <c r="I10" s="10" t="n"/>
      <c r="J10" s="1">
        <f>IF(OR(tblDowntime[[#This Row],[Failure Type]]="Sawshop",tblDowntime[[#This Row],[Failure Type]]="Electrical",tblDowntime[[#This Row],[Failure Type]]="Mechanical"),tblDowntime[[#This Row],[Downtime Hours]],"")</f>
        <v/>
      </c>
      <c r="K10" s="10" t="n"/>
      <c r="L10" s="10" t="n"/>
      <c r="M10">
        <f>IF(tblDowntime[[#This Row],[Maintenance Downtime Hours]]="","",tblDowntime[[#This Row],[Equipment ID]])</f>
        <v/>
      </c>
      <c r="N10" s="1">
        <f>IF(tblDowntime[[#This Row],[Failure Type]]="Production",tblDowntime[[#This Row],[Downtime Hours]],"")</f>
        <v/>
      </c>
      <c r="O10">
        <f>IF(tblDowntime[[#This Row],[Production Downtime Hours]]="","",tblDowntime[[#This Row],[Equipment ID]])</f>
        <v/>
      </c>
      <c r="P10" s="10" t="n"/>
    </row>
    <row r="11">
      <c r="B11">
        <f t="array" ref="B11">_xlfn.XLOOKUP(C11,INDIRECT("tblEquipment[Equipment ID]"),INDIRECT("tblEquipment[Production Department]"),"")</f>
        <v/>
      </c>
      <c r="D11">
        <f t="array" ref="D11">_xlfn.XLOOKUP(C11,INDIRECT("tblEquipment[Equipment ID]"),INDIRECT("tblEquipment[Equipment Name]"),"")</f>
        <v/>
      </c>
      <c r="F11" s="16" t="n"/>
      <c r="G11" s="16" t="n"/>
      <c r="H11" s="1">
        <f>IF(OR(F11=0,G11=0),"",(G11-F11)*24)</f>
        <v/>
      </c>
      <c r="I11" s="10" t="n"/>
      <c r="J11" s="1">
        <f>IF(OR(tblDowntime[[#This Row],[Failure Type]]="Sawshop",tblDowntime[[#This Row],[Failure Type]]="Electrical",tblDowntime[[#This Row],[Failure Type]]="Mechanical"),tblDowntime[[#This Row],[Downtime Hours]],"")</f>
        <v/>
      </c>
      <c r="K11" s="10" t="n"/>
      <c r="L11" s="10" t="n"/>
      <c r="M11">
        <f>IF(tblDowntime[[#This Row],[Maintenance Downtime Hours]]="","",tblDowntime[[#This Row],[Equipment ID]])</f>
        <v/>
      </c>
      <c r="N11" s="1">
        <f>IF(tblDowntime[[#This Row],[Failure Type]]="Production",tblDowntime[[#This Row],[Downtime Hours]],"")</f>
        <v/>
      </c>
      <c r="O11">
        <f>IF(tblDowntime[[#This Row],[Production Downtime Hours]]="","",tblDowntime[[#This Row],[Equipment ID]])</f>
        <v/>
      </c>
      <c r="P11" s="10" t="n"/>
    </row>
    <row r="12">
      <c r="B12">
        <f t="array" ref="B12">_xlfn.XLOOKUP(C12,INDIRECT("tblEquipment[Equipment ID]"),INDIRECT("tblEquipment[Production Department]"),"")</f>
        <v/>
      </c>
      <c r="D12">
        <f t="array" ref="D12">_xlfn.XLOOKUP(C12,INDIRECT("tblEquipment[Equipment ID]"),INDIRECT("tblEquipment[Equipment Name]"),"")</f>
        <v/>
      </c>
      <c r="F12" s="16" t="n"/>
      <c r="G12" s="16" t="n"/>
      <c r="H12" s="1">
        <f>IF(OR(F12=0,G12=0),"",(G12-F12)*24)</f>
        <v/>
      </c>
      <c r="I12" s="10" t="n"/>
      <c r="J12" s="1">
        <f>IF(OR(tblDowntime[[#This Row],[Failure Type]]="Sawshop",tblDowntime[[#This Row],[Failure Type]]="Electrical",tblDowntime[[#This Row],[Failure Type]]="Mechanical"),tblDowntime[[#This Row],[Downtime Hours]],"")</f>
        <v/>
      </c>
      <c r="K12" s="10" t="n"/>
      <c r="L12" s="10" t="n"/>
      <c r="M12">
        <f>IF(tblDowntime[[#This Row],[Maintenance Downtime Hours]]="","",tblDowntime[[#This Row],[Equipment ID]])</f>
        <v/>
      </c>
      <c r="N12" s="1">
        <f>IF(tblDowntime[[#This Row],[Failure Type]]="Production",tblDowntime[[#This Row],[Downtime Hours]],"")</f>
        <v/>
      </c>
      <c r="O12">
        <f>IF(tblDowntime[[#This Row],[Production Downtime Hours]]="","",tblDowntime[[#This Row],[Equipment ID]])</f>
        <v/>
      </c>
      <c r="P12" s="10" t="n"/>
    </row>
    <row r="13">
      <c r="B13">
        <f t="array" ref="B13">_xlfn.XLOOKUP(C13,INDIRECT("tblEquipment[Equipment ID]"),INDIRECT("tblEquipment[Production Department]"),"")</f>
        <v/>
      </c>
      <c r="D13">
        <f t="array" ref="D13">_xlfn.XLOOKUP(C13,INDIRECT("tblEquipment[Equipment ID]"),INDIRECT("tblEquipment[Equipment Name]"),"")</f>
        <v/>
      </c>
      <c r="F13" s="16" t="n"/>
      <c r="G13" s="16" t="n"/>
      <c r="H13" s="1">
        <f>IF(OR(F13=0,G13=0),"",(G13-F13)*24)</f>
        <v/>
      </c>
      <c r="I13" s="10" t="n"/>
      <c r="J13" s="1">
        <f>IF(OR(tblDowntime[[#This Row],[Failure Type]]="Sawshop",tblDowntime[[#This Row],[Failure Type]]="Electrical",tblDowntime[[#This Row],[Failure Type]]="Mechanical"),tblDowntime[[#This Row],[Downtime Hours]],"")</f>
        <v/>
      </c>
      <c r="K13" s="10" t="n"/>
      <c r="L13" s="10" t="n"/>
      <c r="M13">
        <f>IF(tblDowntime[[#This Row],[Maintenance Downtime Hours]]="","",tblDowntime[[#This Row],[Equipment ID]])</f>
        <v/>
      </c>
      <c r="N13" s="1">
        <f>IF(tblDowntime[[#This Row],[Failure Type]]="Production",tblDowntime[[#This Row],[Downtime Hours]],"")</f>
        <v/>
      </c>
      <c r="O13">
        <f>IF(tblDowntime[[#This Row],[Production Downtime Hours]]="","",tblDowntime[[#This Row],[Equipment ID]])</f>
        <v/>
      </c>
      <c r="P13" s="10" t="n"/>
    </row>
    <row r="14">
      <c r="B14">
        <f t="array" ref="B14">_xlfn.XLOOKUP(C14,INDIRECT("tblEquipment[Equipment ID]"),INDIRECT("tblEquipment[Production Department]"),"")</f>
        <v/>
      </c>
      <c r="D14">
        <f t="array" ref="D14">_xlfn.XLOOKUP(C14,INDIRECT("tblEquipment[Equipment ID]"),INDIRECT("tblEquipment[Equipment Name]"),"")</f>
        <v/>
      </c>
      <c r="F14" s="16" t="n"/>
      <c r="G14" s="16" t="n"/>
      <c r="H14" s="1">
        <f>IF(OR(F14=0,G14=0),"",(G14-F14)*24)</f>
        <v/>
      </c>
      <c r="I14" s="10" t="n"/>
      <c r="J14" s="1">
        <f>IF(OR(tblDowntime[[#This Row],[Failure Type]]="Sawshop",tblDowntime[[#This Row],[Failure Type]]="Electrical",tblDowntime[[#This Row],[Failure Type]]="Mechanical"),tblDowntime[[#This Row],[Downtime Hours]],"")</f>
        <v/>
      </c>
      <c r="K14" s="10" t="n"/>
      <c r="L14" s="10" t="n"/>
      <c r="M14">
        <f>IF(tblDowntime[[#This Row],[Maintenance Downtime Hours]]="","",tblDowntime[[#This Row],[Equipment ID]])</f>
        <v/>
      </c>
      <c r="N14" s="1">
        <f>IF(tblDowntime[[#This Row],[Failure Type]]="Production",tblDowntime[[#This Row],[Downtime Hours]],"")</f>
        <v/>
      </c>
      <c r="O14">
        <f>IF(tblDowntime[[#This Row],[Production Downtime Hours]]="","",tblDowntime[[#This Row],[Equipment ID]])</f>
        <v/>
      </c>
      <c r="P14" s="10" t="n"/>
    </row>
    <row r="15">
      <c r="B15">
        <f t="array" ref="B15">_xlfn.XLOOKUP(C15,INDIRECT("tblEquipment[Equipment ID]"),INDIRECT("tblEquipment[Production Department]"),"")</f>
        <v/>
      </c>
      <c r="D15">
        <f t="array" ref="D15">_xlfn.XLOOKUP(C15,INDIRECT("tblEquipment[Equipment ID]"),INDIRECT("tblEquipment[Equipment Name]"),"")</f>
        <v/>
      </c>
      <c r="F15" s="16" t="n"/>
      <c r="G15" s="16" t="n"/>
      <c r="H15" s="1">
        <f>IF(OR(F15=0,G15=0),"",(G15-F15)*24)</f>
        <v/>
      </c>
      <c r="I15" s="10" t="n"/>
      <c r="J15" s="1">
        <f>IF(OR(tblDowntime[[#This Row],[Failure Type]]="Sawshop",tblDowntime[[#This Row],[Failure Type]]="Electrical",tblDowntime[[#This Row],[Failure Type]]="Mechanical"),tblDowntime[[#This Row],[Downtime Hours]],"")</f>
        <v/>
      </c>
      <c r="K15" s="10" t="n"/>
      <c r="L15" s="10" t="n"/>
      <c r="M15">
        <f>IF(tblDowntime[[#This Row],[Maintenance Downtime Hours]]="","",tblDowntime[[#This Row],[Equipment ID]])</f>
        <v/>
      </c>
      <c r="N15" s="1">
        <f>IF(tblDowntime[[#This Row],[Failure Type]]="Production",tblDowntime[[#This Row],[Downtime Hours]],"")</f>
        <v/>
      </c>
      <c r="O15">
        <f>IF(tblDowntime[[#This Row],[Production Downtime Hours]]="","",tblDowntime[[#This Row],[Equipment ID]])</f>
        <v/>
      </c>
      <c r="P15" s="10" t="n"/>
    </row>
    <row r="16">
      <c r="B16">
        <f t="array" ref="B16">_xlfn.XLOOKUP(C16,INDIRECT("tblEquipment[Equipment ID]"),INDIRECT("tblEquipment[Production Department]"),"")</f>
        <v/>
      </c>
      <c r="D16">
        <f t="array" ref="D16">_xlfn.XLOOKUP(C16,INDIRECT("tblEquipment[Equipment ID]"),INDIRECT("tblEquipment[Equipment Name]"),"")</f>
        <v/>
      </c>
      <c r="F16" s="16" t="n"/>
      <c r="G16" s="16" t="n"/>
      <c r="H16" s="1">
        <f>IF(OR(F16=0,G16=0),"",(G16-F16)*24)</f>
        <v/>
      </c>
      <c r="I16" s="10" t="n"/>
      <c r="J16" s="1">
        <f>IF(OR(tblDowntime[[#This Row],[Failure Type]]="Sawshop",tblDowntime[[#This Row],[Failure Type]]="Electrical",tblDowntime[[#This Row],[Failure Type]]="Mechanical"),tblDowntime[[#This Row],[Downtime Hours]],"")</f>
        <v/>
      </c>
      <c r="K16" s="10" t="n"/>
      <c r="L16" s="10" t="n"/>
      <c r="M16">
        <f>IF(tblDowntime[[#This Row],[Maintenance Downtime Hours]]="","",tblDowntime[[#This Row],[Equipment ID]])</f>
        <v/>
      </c>
      <c r="N16" s="1">
        <f>IF(tblDowntime[[#This Row],[Failure Type]]="Production",tblDowntime[[#This Row],[Downtime Hours]],"")</f>
        <v/>
      </c>
      <c r="O16">
        <f>IF(tblDowntime[[#This Row],[Production Downtime Hours]]="","",tblDowntime[[#This Row],[Equipment ID]])</f>
        <v/>
      </c>
      <c r="P16" s="10" t="n"/>
    </row>
    <row r="17">
      <c r="B17">
        <f t="array" ref="B17">_xlfn.XLOOKUP(C17,INDIRECT("tblEquipment[Equipment ID]"),INDIRECT("tblEquipment[Production Department]"),"")</f>
        <v/>
      </c>
      <c r="D17">
        <f t="array" ref="D17">_xlfn.XLOOKUP(C17,INDIRECT("tblEquipment[Equipment ID]"),INDIRECT("tblEquipment[Equipment Name]"),"")</f>
        <v/>
      </c>
      <c r="F17" s="16" t="n"/>
      <c r="G17" s="16" t="n"/>
      <c r="H17" s="1">
        <f>IF(OR(F17=0,G17=0),"",(G17-F17)*24)</f>
        <v/>
      </c>
      <c r="I17" s="10" t="n"/>
      <c r="J17" s="1">
        <f>IF(OR(tblDowntime[[#This Row],[Failure Type]]="Sawshop",tblDowntime[[#This Row],[Failure Type]]="Electrical",tblDowntime[[#This Row],[Failure Type]]="Mechanical"),tblDowntime[[#This Row],[Downtime Hours]],"")</f>
        <v/>
      </c>
      <c r="K17" s="10" t="n"/>
      <c r="L17" s="10" t="n"/>
      <c r="M17">
        <f>IF(tblDowntime[[#This Row],[Maintenance Downtime Hours]]="","",tblDowntime[[#This Row],[Equipment ID]])</f>
        <v/>
      </c>
      <c r="N17" s="1">
        <f>IF(tblDowntime[[#This Row],[Failure Type]]="Production",tblDowntime[[#This Row],[Downtime Hours]],"")</f>
        <v/>
      </c>
      <c r="O17">
        <f>IF(tblDowntime[[#This Row],[Production Downtime Hours]]="","",tblDowntime[[#This Row],[Equipment ID]])</f>
        <v/>
      </c>
      <c r="P17" s="10" t="n"/>
    </row>
    <row r="18">
      <c r="B18">
        <f t="array" ref="B18">_xlfn.XLOOKUP(C18,INDIRECT("tblEquipment[Equipment ID]"),INDIRECT("tblEquipment[Production Department]"),"")</f>
        <v/>
      </c>
      <c r="D18">
        <f t="array" ref="D18">_xlfn.XLOOKUP(C18,INDIRECT("tblEquipment[Equipment ID]"),INDIRECT("tblEquipment[Equipment Name]"),"")</f>
        <v/>
      </c>
      <c r="F18" s="16" t="n"/>
      <c r="G18" s="16" t="n"/>
      <c r="H18" s="1">
        <f>IF(OR(F18=0,G18=0),"",(G18-F18)*24)</f>
        <v/>
      </c>
      <c r="I18" s="10" t="n"/>
      <c r="J18" s="1">
        <f>IF(OR(tblDowntime[[#This Row],[Failure Type]]="Sawshop",tblDowntime[[#This Row],[Failure Type]]="Electrical",tblDowntime[[#This Row],[Failure Type]]="Mechanical"),tblDowntime[[#This Row],[Downtime Hours]],"")</f>
        <v/>
      </c>
      <c r="K18" s="10" t="n"/>
      <c r="L18" s="10" t="n"/>
      <c r="M18">
        <f>IF(tblDowntime[[#This Row],[Maintenance Downtime Hours]]="","",tblDowntime[[#This Row],[Equipment ID]])</f>
        <v/>
      </c>
      <c r="N18" s="1">
        <f>IF(tblDowntime[[#This Row],[Failure Type]]="Production",tblDowntime[[#This Row],[Downtime Hours]],"")</f>
        <v/>
      </c>
      <c r="O18">
        <f>IF(tblDowntime[[#This Row],[Production Downtime Hours]]="","",tblDowntime[[#This Row],[Equipment ID]])</f>
        <v/>
      </c>
      <c r="P18" s="10" t="n"/>
    </row>
    <row r="19">
      <c r="B19">
        <f t="array" ref="B19">_xlfn.XLOOKUP(C19,INDIRECT("tblEquipment[Equipment ID]"),INDIRECT("tblEquipment[Production Department]"),"")</f>
        <v/>
      </c>
      <c r="D19">
        <f t="array" ref="D19">_xlfn.XLOOKUP(C19,INDIRECT("tblEquipment[Equipment ID]"),INDIRECT("tblEquipment[Equipment Name]"),"")</f>
        <v/>
      </c>
      <c r="F19" s="16" t="n"/>
      <c r="G19" s="16" t="n"/>
      <c r="H19" s="1">
        <f>IF(OR(F19=0,G19=0),"",(G19-F19)*24)</f>
        <v/>
      </c>
      <c r="I19" s="10" t="n"/>
      <c r="J19" s="1">
        <f>IF(OR(tblDowntime[[#This Row],[Failure Type]]="Sawshop",tblDowntime[[#This Row],[Failure Type]]="Electrical",tblDowntime[[#This Row],[Failure Type]]="Mechanical"),tblDowntime[[#This Row],[Downtime Hours]],"")</f>
        <v/>
      </c>
      <c r="K19" s="10" t="n"/>
      <c r="L19" s="10" t="n"/>
      <c r="M19">
        <f>IF(tblDowntime[[#This Row],[Maintenance Downtime Hours]]="","",tblDowntime[[#This Row],[Equipment ID]])</f>
        <v/>
      </c>
      <c r="N19" s="1">
        <f>IF(tblDowntime[[#This Row],[Failure Type]]="Production",tblDowntime[[#This Row],[Downtime Hours]],"")</f>
        <v/>
      </c>
      <c r="O19">
        <f>IF(tblDowntime[[#This Row],[Production Downtime Hours]]="","",tblDowntime[[#This Row],[Equipment ID]])</f>
        <v/>
      </c>
      <c r="P19" s="10" t="n"/>
    </row>
    <row r="20">
      <c r="B20">
        <f t="array" ref="B20">_xlfn.XLOOKUP(C20,INDIRECT("tblEquipment[Equipment ID]"),INDIRECT("tblEquipment[Production Department]"),"")</f>
        <v/>
      </c>
      <c r="D20">
        <f t="array" ref="D20">_xlfn.XLOOKUP(C20,INDIRECT("tblEquipment[Equipment ID]"),INDIRECT("tblEquipment[Equipment Name]"),"")</f>
        <v/>
      </c>
      <c r="F20" s="16" t="n"/>
      <c r="G20" s="16" t="n"/>
      <c r="H20" s="1">
        <f>IF(OR(F20=0,G20=0),"",(G20-F20)*24)</f>
        <v/>
      </c>
      <c r="I20" s="10" t="n"/>
      <c r="J20" s="1">
        <f>IF(OR(tblDowntime[[#This Row],[Failure Type]]="Sawshop",tblDowntime[[#This Row],[Failure Type]]="Electrical",tblDowntime[[#This Row],[Failure Type]]="Mechanical"),tblDowntime[[#This Row],[Downtime Hours]],"")</f>
        <v/>
      </c>
      <c r="K20" s="10" t="n"/>
      <c r="L20" s="10" t="n"/>
      <c r="M20">
        <f>IF(tblDowntime[[#This Row],[Maintenance Downtime Hours]]="","",tblDowntime[[#This Row],[Equipment ID]])</f>
        <v/>
      </c>
      <c r="N20" s="1">
        <f>IF(tblDowntime[[#This Row],[Failure Type]]="Production",tblDowntime[[#This Row],[Downtime Hours]],"")</f>
        <v/>
      </c>
      <c r="O20">
        <f>IF(tblDowntime[[#This Row],[Production Downtime Hours]]="","",tblDowntime[[#This Row],[Equipment ID]])</f>
        <v/>
      </c>
      <c r="P20" s="10" t="n"/>
    </row>
    <row r="21">
      <c r="B21">
        <f t="array" ref="B21">_xlfn.XLOOKUP(C21,INDIRECT("tblEquipment[Equipment ID]"),INDIRECT("tblEquipment[Production Department]"),"")</f>
        <v/>
      </c>
      <c r="D21">
        <f t="array" ref="D21">_xlfn.XLOOKUP(C21,INDIRECT("tblEquipment[Equipment ID]"),INDIRECT("tblEquipment[Equipment Name]"),"")</f>
        <v/>
      </c>
      <c r="F21" s="16" t="n"/>
      <c r="G21" s="16" t="n"/>
      <c r="H21" s="1">
        <f>IF(OR(F21=0,G21=0),"",(G21-F21)*24)</f>
        <v/>
      </c>
      <c r="I21" s="10" t="n"/>
      <c r="J21" s="1">
        <f>IF(OR(tblDowntime[[#This Row],[Failure Type]]="Sawshop",tblDowntime[[#This Row],[Failure Type]]="Electrical",tblDowntime[[#This Row],[Failure Type]]="Mechanical"),tblDowntime[[#This Row],[Downtime Hours]],"")</f>
        <v/>
      </c>
      <c r="K21" s="10" t="n"/>
      <c r="L21" s="10" t="n"/>
      <c r="M21">
        <f>IF(tblDowntime[[#This Row],[Maintenance Downtime Hours]]="","",tblDowntime[[#This Row],[Equipment ID]])</f>
        <v/>
      </c>
      <c r="N21" s="1">
        <f>IF(tblDowntime[[#This Row],[Failure Type]]="Production",tblDowntime[[#This Row],[Downtime Hours]],"")</f>
        <v/>
      </c>
      <c r="O21">
        <f>IF(tblDowntime[[#This Row],[Production Downtime Hours]]="","",tblDowntime[[#This Row],[Equipment ID]])</f>
        <v/>
      </c>
      <c r="P21" s="10" t="n"/>
    </row>
    <row r="22">
      <c r="B22">
        <f t="array" ref="B22">_xlfn.XLOOKUP(C22,INDIRECT("tblEquipment[Equipment ID]"),INDIRECT("tblEquipment[Production Department]"),"")</f>
        <v/>
      </c>
      <c r="D22">
        <f t="array" ref="D22">_xlfn.XLOOKUP(C22,INDIRECT("tblEquipment[Equipment ID]"),INDIRECT("tblEquipment[Equipment Name]"),"")</f>
        <v/>
      </c>
      <c r="F22" s="16" t="n"/>
      <c r="G22" s="16" t="n"/>
      <c r="H22" s="1">
        <f>IF(OR(F22=0,G22=0),"",(G22-F22)*24)</f>
        <v/>
      </c>
      <c r="I22" s="10" t="n"/>
      <c r="J22" s="1">
        <f>IF(OR(tblDowntime[[#This Row],[Failure Type]]="Sawshop",tblDowntime[[#This Row],[Failure Type]]="Electrical",tblDowntime[[#This Row],[Failure Type]]="Mechanical"),tblDowntime[[#This Row],[Downtime Hours]],"")</f>
        <v/>
      </c>
      <c r="K22" s="10" t="n"/>
      <c r="L22" s="10" t="n"/>
      <c r="M22">
        <f>IF(tblDowntime[[#This Row],[Maintenance Downtime Hours]]="","",tblDowntime[[#This Row],[Equipment ID]])</f>
        <v/>
      </c>
      <c r="N22" s="1">
        <f>IF(tblDowntime[[#This Row],[Failure Type]]="Production",tblDowntime[[#This Row],[Downtime Hours]],"")</f>
        <v/>
      </c>
      <c r="O22">
        <f>IF(tblDowntime[[#This Row],[Production Downtime Hours]]="","",tblDowntime[[#This Row],[Equipment ID]])</f>
        <v/>
      </c>
      <c r="P22" s="10" t="n"/>
    </row>
    <row r="23">
      <c r="B23">
        <f t="array" ref="B23">_xlfn.XLOOKUP(C23,INDIRECT("tblEquipment[Equipment ID]"),INDIRECT("tblEquipment[Production Department]"),"")</f>
        <v/>
      </c>
      <c r="D23">
        <f t="array" ref="D23">_xlfn.XLOOKUP(C23,INDIRECT("tblEquipment[Equipment ID]"),INDIRECT("tblEquipment[Equipment Name]"),"")</f>
        <v/>
      </c>
      <c r="F23" s="16" t="n"/>
      <c r="G23" s="16" t="n"/>
      <c r="H23" s="1">
        <f>IF(OR(F23=0,G23=0),"",(G23-F23)*24)</f>
        <v/>
      </c>
      <c r="I23" s="10" t="n"/>
      <c r="J23" s="1">
        <f>IF(OR(tblDowntime[[#This Row],[Failure Type]]="Sawshop",tblDowntime[[#This Row],[Failure Type]]="Electrical",tblDowntime[[#This Row],[Failure Type]]="Mechanical"),tblDowntime[[#This Row],[Downtime Hours]],"")</f>
        <v/>
      </c>
      <c r="K23" s="10" t="n"/>
      <c r="L23" s="10" t="n"/>
      <c r="M23">
        <f>IF(tblDowntime[[#This Row],[Maintenance Downtime Hours]]="","",tblDowntime[[#This Row],[Equipment ID]])</f>
        <v/>
      </c>
      <c r="N23" s="1">
        <f>IF(tblDowntime[[#This Row],[Failure Type]]="Production",tblDowntime[[#This Row],[Downtime Hours]],"")</f>
        <v/>
      </c>
      <c r="O23">
        <f>IF(tblDowntime[[#This Row],[Production Downtime Hours]]="","",tblDowntime[[#This Row],[Equipment ID]])</f>
        <v/>
      </c>
      <c r="P23" s="10" t="n"/>
    </row>
    <row r="24">
      <c r="B24">
        <f t="array" ref="B24">_xlfn.XLOOKUP(C24,INDIRECT("tblEquipment[Equipment ID]"),INDIRECT("tblEquipment[Production Department]"),"")</f>
        <v/>
      </c>
      <c r="D24">
        <f t="array" ref="D24">_xlfn.XLOOKUP(C24,INDIRECT("tblEquipment[Equipment ID]"),INDIRECT("tblEquipment[Equipment Name]"),"")</f>
        <v/>
      </c>
      <c r="F24" s="16" t="n"/>
      <c r="G24" s="16" t="n"/>
      <c r="H24" s="1">
        <f>IF(OR(F24=0,G24=0),"",(G24-F24)*24)</f>
        <v/>
      </c>
      <c r="I24" s="10" t="n"/>
      <c r="J24" s="1">
        <f>IF(OR(tblDowntime[[#This Row],[Failure Type]]="Sawshop",tblDowntime[[#This Row],[Failure Type]]="Electrical",tblDowntime[[#This Row],[Failure Type]]="Mechanical"),tblDowntime[[#This Row],[Downtime Hours]],"")</f>
        <v/>
      </c>
      <c r="K24" s="10" t="n"/>
      <c r="L24" s="10" t="n"/>
      <c r="M24">
        <f>IF(tblDowntime[[#This Row],[Maintenance Downtime Hours]]="","",tblDowntime[[#This Row],[Equipment ID]])</f>
        <v/>
      </c>
      <c r="N24" s="1">
        <f>IF(tblDowntime[[#This Row],[Failure Type]]="Production",tblDowntime[[#This Row],[Downtime Hours]],"")</f>
        <v/>
      </c>
      <c r="O24">
        <f>IF(tblDowntime[[#This Row],[Production Downtime Hours]]="","",tblDowntime[[#This Row],[Equipment ID]])</f>
        <v/>
      </c>
      <c r="P24" s="10" t="n"/>
    </row>
    <row r="25">
      <c r="B25">
        <f t="array" ref="B25">_xlfn.XLOOKUP(C25,INDIRECT("tblEquipment[Equipment ID]"),INDIRECT("tblEquipment[Production Department]"),"")</f>
        <v/>
      </c>
      <c r="D25">
        <f t="array" ref="D25">_xlfn.XLOOKUP(C25,INDIRECT("tblEquipment[Equipment ID]"),INDIRECT("tblEquipment[Equipment Name]"),"")</f>
        <v/>
      </c>
      <c r="F25" s="16" t="n"/>
      <c r="G25" s="16" t="n"/>
      <c r="H25" s="1">
        <f>IF(OR(F25=0,G25=0),"",(G25-F25)*24)</f>
        <v/>
      </c>
      <c r="I25" s="10" t="n"/>
      <c r="J25" s="1">
        <f>IF(OR(tblDowntime[[#This Row],[Failure Type]]="Sawshop",tblDowntime[[#This Row],[Failure Type]]="Electrical",tblDowntime[[#This Row],[Failure Type]]="Mechanical"),tblDowntime[[#This Row],[Downtime Hours]],"")</f>
        <v/>
      </c>
      <c r="K25" s="10" t="n"/>
      <c r="L25" s="10" t="n"/>
      <c r="M25">
        <f>IF(tblDowntime[[#This Row],[Maintenance Downtime Hours]]="","",tblDowntime[[#This Row],[Equipment ID]])</f>
        <v/>
      </c>
      <c r="N25" s="1">
        <f>IF(tblDowntime[[#This Row],[Failure Type]]="Production",tblDowntime[[#This Row],[Downtime Hours]],"")</f>
        <v/>
      </c>
      <c r="O25">
        <f>IF(tblDowntime[[#This Row],[Production Downtime Hours]]="","",tblDowntime[[#This Row],[Equipment ID]])</f>
        <v/>
      </c>
      <c r="P25" s="10" t="n"/>
    </row>
    <row r="26">
      <c r="B26">
        <f t="array" ref="B26">_xlfn.XLOOKUP(C26,INDIRECT("tblEquipment[Equipment ID]"),INDIRECT("tblEquipment[Production Department]"),"")</f>
        <v/>
      </c>
      <c r="D26">
        <f t="array" ref="D26">_xlfn.XLOOKUP(C26,INDIRECT("tblEquipment[Equipment ID]"),INDIRECT("tblEquipment[Equipment Name]"),"")</f>
        <v/>
      </c>
      <c r="F26" s="16" t="n"/>
      <c r="G26" s="16" t="n"/>
      <c r="H26" s="1">
        <f>IF(OR(F26=0,G26=0),"",(G26-F26)*24)</f>
        <v/>
      </c>
      <c r="I26" s="10" t="n"/>
      <c r="J26" s="1">
        <f>IF(OR(tblDowntime[[#This Row],[Failure Type]]="Sawshop",tblDowntime[[#This Row],[Failure Type]]="Electrical",tblDowntime[[#This Row],[Failure Type]]="Mechanical"),tblDowntime[[#This Row],[Downtime Hours]],"")</f>
        <v/>
      </c>
      <c r="K26" s="10" t="n"/>
      <c r="L26" s="10" t="n"/>
      <c r="M26">
        <f>IF(tblDowntime[[#This Row],[Maintenance Downtime Hours]]="","",tblDowntime[[#This Row],[Equipment ID]])</f>
        <v/>
      </c>
      <c r="N26" s="1">
        <f>IF(tblDowntime[[#This Row],[Failure Type]]="Production",tblDowntime[[#This Row],[Downtime Hours]],"")</f>
        <v/>
      </c>
      <c r="O26">
        <f>IF(tblDowntime[[#This Row],[Production Downtime Hours]]="","",tblDowntime[[#This Row],[Equipment ID]])</f>
        <v/>
      </c>
      <c r="P26" s="10" t="n"/>
    </row>
    <row r="27">
      <c r="B27">
        <f t="array" ref="B27">_xlfn.XLOOKUP(C27,INDIRECT("tblEquipment[Equipment ID]"),INDIRECT("tblEquipment[Production Department]"),"")</f>
        <v/>
      </c>
      <c r="D27">
        <f t="array" ref="D27">_xlfn.XLOOKUP(C27,INDIRECT("tblEquipment[Equipment ID]"),INDIRECT("tblEquipment[Equipment Name]"),"")</f>
        <v/>
      </c>
      <c r="F27" s="16" t="n"/>
      <c r="G27" s="16" t="n"/>
      <c r="H27" s="1">
        <f>IF(OR(F27=0,G27=0),"",(G27-F27)*24)</f>
        <v/>
      </c>
      <c r="I27" s="10" t="n"/>
      <c r="J27" s="1">
        <f>IF(OR(tblDowntime[[#This Row],[Failure Type]]="Sawshop",tblDowntime[[#This Row],[Failure Type]]="Electrical",tblDowntime[[#This Row],[Failure Type]]="Mechanical"),tblDowntime[[#This Row],[Downtime Hours]],"")</f>
        <v/>
      </c>
      <c r="K27" s="10" t="n"/>
      <c r="L27" s="10" t="n"/>
      <c r="M27">
        <f>IF(tblDowntime[[#This Row],[Maintenance Downtime Hours]]="","",tblDowntime[[#This Row],[Equipment ID]])</f>
        <v/>
      </c>
      <c r="N27" s="1">
        <f>IF(tblDowntime[[#This Row],[Failure Type]]="Production",tblDowntime[[#This Row],[Downtime Hours]],"")</f>
        <v/>
      </c>
      <c r="O27">
        <f>IF(tblDowntime[[#This Row],[Production Downtime Hours]]="","",tblDowntime[[#This Row],[Equipment ID]])</f>
        <v/>
      </c>
      <c r="P27" s="10" t="n"/>
    </row>
    <row r="28">
      <c r="B28">
        <f t="array" ref="B28">_xlfn.XLOOKUP(C28,INDIRECT("tblEquipment[Equipment ID]"),INDIRECT("tblEquipment[Production Department]"),"")</f>
        <v/>
      </c>
      <c r="D28">
        <f t="array" ref="D28">_xlfn.XLOOKUP(C28,INDIRECT("tblEquipment[Equipment ID]"),INDIRECT("tblEquipment[Equipment Name]"),"")</f>
        <v/>
      </c>
      <c r="F28" s="16" t="n"/>
      <c r="G28" s="16" t="n"/>
      <c r="H28" s="1">
        <f>IF(OR(F28=0,G28=0),"",(G28-F28)*24)</f>
        <v/>
      </c>
      <c r="I28" s="10" t="n"/>
      <c r="J28" s="1">
        <f>IF(OR(tblDowntime[[#This Row],[Failure Type]]="Sawshop",tblDowntime[[#This Row],[Failure Type]]="Electrical",tblDowntime[[#This Row],[Failure Type]]="Mechanical"),tblDowntime[[#This Row],[Downtime Hours]],"")</f>
        <v/>
      </c>
      <c r="K28" s="10" t="n"/>
      <c r="L28" s="10" t="n"/>
      <c r="M28">
        <f>IF(tblDowntime[[#This Row],[Maintenance Downtime Hours]]="","",tblDowntime[[#This Row],[Equipment ID]])</f>
        <v/>
      </c>
      <c r="N28" s="1">
        <f>IF(tblDowntime[[#This Row],[Failure Type]]="Production",tblDowntime[[#This Row],[Downtime Hours]],"")</f>
        <v/>
      </c>
      <c r="O28">
        <f>IF(tblDowntime[[#This Row],[Production Downtime Hours]]="","",tblDowntime[[#This Row],[Equipment ID]])</f>
        <v/>
      </c>
      <c r="P28" s="10" t="n"/>
    </row>
    <row r="29">
      <c r="B29">
        <f t="array" ref="B29">_xlfn.XLOOKUP(C29,INDIRECT("tblEquipment[Equipment ID]"),INDIRECT("tblEquipment[Production Department]"),"")</f>
        <v/>
      </c>
      <c r="D29">
        <f t="array" ref="D29">_xlfn.XLOOKUP(C29,INDIRECT("tblEquipment[Equipment ID]"),INDIRECT("tblEquipment[Equipment Name]"),"")</f>
        <v/>
      </c>
      <c r="F29" s="16" t="n"/>
      <c r="G29" s="16" t="n"/>
      <c r="H29" s="1">
        <f>IF(OR(F29=0,G29=0),"",(G29-F29)*24)</f>
        <v/>
      </c>
      <c r="I29" s="10" t="n"/>
      <c r="J29" s="1">
        <f>IF(OR(tblDowntime[[#This Row],[Failure Type]]="Sawshop",tblDowntime[[#This Row],[Failure Type]]="Electrical",tblDowntime[[#This Row],[Failure Type]]="Mechanical"),tblDowntime[[#This Row],[Downtime Hours]],"")</f>
        <v/>
      </c>
      <c r="K29" s="10" t="n"/>
      <c r="L29" s="10" t="n"/>
      <c r="M29">
        <f>IF(tblDowntime[[#This Row],[Maintenance Downtime Hours]]="","",tblDowntime[[#This Row],[Equipment ID]])</f>
        <v/>
      </c>
      <c r="N29" s="1">
        <f>IF(tblDowntime[[#This Row],[Failure Type]]="Production",tblDowntime[[#This Row],[Downtime Hours]],"")</f>
        <v/>
      </c>
      <c r="O29">
        <f>IF(tblDowntime[[#This Row],[Production Downtime Hours]]="","",tblDowntime[[#This Row],[Equipment ID]])</f>
        <v/>
      </c>
      <c r="P29" s="10" t="n"/>
    </row>
    <row r="30">
      <c r="B30">
        <f t="array" ref="B30">_xlfn.XLOOKUP(C30,INDIRECT("tblEquipment[Equipment ID]"),INDIRECT("tblEquipment[Production Department]"),"")</f>
        <v/>
      </c>
      <c r="D30">
        <f t="array" ref="D30">_xlfn.XLOOKUP(C30,INDIRECT("tblEquipment[Equipment ID]"),INDIRECT("tblEquipment[Equipment Name]"),"")</f>
        <v/>
      </c>
      <c r="F30" s="16" t="n"/>
      <c r="G30" s="16" t="n"/>
      <c r="H30" s="1">
        <f>IF(OR(F30=0,G30=0),"",(G30-F30)*24)</f>
        <v/>
      </c>
      <c r="I30" s="10" t="n"/>
      <c r="J30" s="1">
        <f>IF(OR(tblDowntime[[#This Row],[Failure Type]]="Sawshop",tblDowntime[[#This Row],[Failure Type]]="Electrical",tblDowntime[[#This Row],[Failure Type]]="Mechanical"),tblDowntime[[#This Row],[Downtime Hours]],"")</f>
        <v/>
      </c>
      <c r="K30" s="10" t="n"/>
      <c r="L30" s="10" t="n"/>
      <c r="M30">
        <f>IF(tblDowntime[[#This Row],[Maintenance Downtime Hours]]="","",tblDowntime[[#This Row],[Equipment ID]])</f>
        <v/>
      </c>
      <c r="N30" s="1">
        <f>IF(tblDowntime[[#This Row],[Failure Type]]="Production",tblDowntime[[#This Row],[Downtime Hours]],"")</f>
        <v/>
      </c>
      <c r="O30">
        <f>IF(tblDowntime[[#This Row],[Production Downtime Hours]]="","",tblDowntime[[#This Row],[Equipment ID]])</f>
        <v/>
      </c>
      <c r="P30" s="10" t="n"/>
    </row>
    <row r="31">
      <c r="B31">
        <f t="array" ref="B31">_xlfn.XLOOKUP(C31,INDIRECT("tblEquipment[Equipment ID]"),INDIRECT("tblEquipment[Production Department]"),"")</f>
        <v/>
      </c>
      <c r="D31">
        <f t="array" ref="D31">_xlfn.XLOOKUP(C31,INDIRECT("tblEquipment[Equipment ID]"),INDIRECT("tblEquipment[Equipment Name]"),"")</f>
        <v/>
      </c>
      <c r="F31" s="16" t="n"/>
      <c r="G31" s="16" t="n"/>
      <c r="H31" s="1">
        <f>IF(OR(F31=0,G31=0),"",(G31-F31)*24)</f>
        <v/>
      </c>
      <c r="I31" s="10" t="n"/>
      <c r="J31" s="1">
        <f>IF(OR(tblDowntime[[#This Row],[Failure Type]]="Sawshop",tblDowntime[[#This Row],[Failure Type]]="Electrical",tblDowntime[[#This Row],[Failure Type]]="Mechanical"),tblDowntime[[#This Row],[Downtime Hours]],"")</f>
        <v/>
      </c>
      <c r="K31" s="10" t="n"/>
      <c r="L31" s="10" t="n"/>
      <c r="M31">
        <f>IF(tblDowntime[[#This Row],[Maintenance Downtime Hours]]="","",tblDowntime[[#This Row],[Equipment ID]])</f>
        <v/>
      </c>
      <c r="N31" s="1">
        <f>IF(tblDowntime[[#This Row],[Failure Type]]="Production",tblDowntime[[#This Row],[Downtime Hours]],"")</f>
        <v/>
      </c>
      <c r="O31">
        <f>IF(tblDowntime[[#This Row],[Production Downtime Hours]]="","",tblDowntime[[#This Row],[Equipment ID]])</f>
        <v/>
      </c>
      <c r="P31" s="10" t="n"/>
    </row>
    <row r="32">
      <c r="B32">
        <f t="array" ref="B32">_xlfn.XLOOKUP(C32,INDIRECT("tblEquipment[Equipment ID]"),INDIRECT("tblEquipment[Production Department]"),"")</f>
        <v/>
      </c>
      <c r="D32">
        <f t="array" ref="D32">_xlfn.XLOOKUP(C32,INDIRECT("tblEquipment[Equipment ID]"),INDIRECT("tblEquipment[Equipment Name]"),"")</f>
        <v/>
      </c>
      <c r="F32" s="16" t="n"/>
      <c r="G32" s="16" t="n"/>
      <c r="H32" s="1">
        <f>IF(OR(F32=0,G32=0),"",(G32-F32)*24)</f>
        <v/>
      </c>
      <c r="I32" s="10" t="n"/>
      <c r="J32" s="1">
        <f>IF(OR(tblDowntime[[#This Row],[Failure Type]]="Sawshop",tblDowntime[[#This Row],[Failure Type]]="Electrical",tblDowntime[[#This Row],[Failure Type]]="Mechanical"),tblDowntime[[#This Row],[Downtime Hours]],"")</f>
        <v/>
      </c>
      <c r="K32" s="10" t="n"/>
      <c r="L32" s="10" t="n"/>
      <c r="M32">
        <f>IF(tblDowntime[[#This Row],[Maintenance Downtime Hours]]="","",tblDowntime[[#This Row],[Equipment ID]])</f>
        <v/>
      </c>
      <c r="N32" s="1">
        <f>IF(tblDowntime[[#This Row],[Failure Type]]="Production",tblDowntime[[#This Row],[Downtime Hours]],"")</f>
        <v/>
      </c>
      <c r="O32">
        <f>IF(tblDowntime[[#This Row],[Production Downtime Hours]]="","",tblDowntime[[#This Row],[Equipment ID]])</f>
        <v/>
      </c>
      <c r="P32" s="10" t="n"/>
    </row>
    <row r="33">
      <c r="B33">
        <f t="array" ref="B33">_xlfn.XLOOKUP(C33,INDIRECT("tblEquipment[Equipment ID]"),INDIRECT("tblEquipment[Production Department]"),"")</f>
        <v/>
      </c>
      <c r="D33">
        <f t="array" ref="D33">_xlfn.XLOOKUP(C33,INDIRECT("tblEquipment[Equipment ID]"),INDIRECT("tblEquipment[Equipment Name]"),"")</f>
        <v/>
      </c>
      <c r="F33" s="16" t="n"/>
      <c r="G33" s="16" t="n"/>
      <c r="H33" s="1">
        <f>IF(OR(F33=0,G33=0),"",(G33-F33)*24)</f>
        <v/>
      </c>
      <c r="I33" s="10" t="n"/>
      <c r="J33" s="1">
        <f>IF(OR(tblDowntime[[#This Row],[Failure Type]]="Sawshop",tblDowntime[[#This Row],[Failure Type]]="Electrical",tblDowntime[[#This Row],[Failure Type]]="Mechanical"),tblDowntime[[#This Row],[Downtime Hours]],"")</f>
        <v/>
      </c>
      <c r="K33" s="10" t="n"/>
      <c r="L33" s="10" t="n"/>
      <c r="M33">
        <f>IF(tblDowntime[[#This Row],[Maintenance Downtime Hours]]="","",tblDowntime[[#This Row],[Equipment ID]])</f>
        <v/>
      </c>
      <c r="N33" s="1">
        <f>IF(tblDowntime[[#This Row],[Failure Type]]="Production",tblDowntime[[#This Row],[Downtime Hours]],"")</f>
        <v/>
      </c>
      <c r="O33">
        <f>IF(tblDowntime[[#This Row],[Production Downtime Hours]]="","",tblDowntime[[#This Row],[Equipment ID]])</f>
        <v/>
      </c>
      <c r="P33" s="10" t="n"/>
    </row>
    <row r="34">
      <c r="B34">
        <f t="array" ref="B34">_xlfn.XLOOKUP(C34,INDIRECT("tblEquipment[Equipment ID]"),INDIRECT("tblEquipment[Production Department]"),"")</f>
        <v/>
      </c>
      <c r="D34">
        <f t="array" ref="D34">_xlfn.XLOOKUP(C34,INDIRECT("tblEquipment[Equipment ID]"),INDIRECT("tblEquipment[Equipment Name]"),"")</f>
        <v/>
      </c>
      <c r="F34" s="16" t="n"/>
      <c r="G34" s="16" t="n"/>
      <c r="H34" s="1">
        <f>IF(OR(F34=0,G34=0),"",(G34-F34)*24)</f>
        <v/>
      </c>
      <c r="I34" s="10" t="n"/>
      <c r="J34" s="1">
        <f>IF(OR(tblDowntime[[#This Row],[Failure Type]]="Sawshop",tblDowntime[[#This Row],[Failure Type]]="Electrical",tblDowntime[[#This Row],[Failure Type]]="Mechanical"),tblDowntime[[#This Row],[Downtime Hours]],"")</f>
        <v/>
      </c>
      <c r="K34" s="10" t="n"/>
      <c r="L34" s="10" t="n"/>
      <c r="M34">
        <f>IF(tblDowntime[[#This Row],[Maintenance Downtime Hours]]="","",tblDowntime[[#This Row],[Equipment ID]])</f>
        <v/>
      </c>
      <c r="N34" s="1">
        <f>IF(tblDowntime[[#This Row],[Failure Type]]="Production",tblDowntime[[#This Row],[Downtime Hours]],"")</f>
        <v/>
      </c>
      <c r="O34">
        <f>IF(tblDowntime[[#This Row],[Production Downtime Hours]]="","",tblDowntime[[#This Row],[Equipment ID]])</f>
        <v/>
      </c>
      <c r="P34" s="10" t="n"/>
    </row>
    <row r="35">
      <c r="B35">
        <f t="array" ref="B35">_xlfn.XLOOKUP(C35,INDIRECT("tblEquipment[Equipment ID]"),INDIRECT("tblEquipment[Production Department]"),"")</f>
        <v/>
      </c>
      <c r="D35">
        <f t="array" ref="D35">_xlfn.XLOOKUP(C35,INDIRECT("tblEquipment[Equipment ID]"),INDIRECT("tblEquipment[Equipment Name]"),"")</f>
        <v/>
      </c>
      <c r="F35" s="16" t="n"/>
      <c r="G35" s="16" t="n"/>
      <c r="H35" s="1">
        <f>IF(OR(F35=0,G35=0),"",(G35-F35)*24)</f>
        <v/>
      </c>
      <c r="I35" s="10" t="n"/>
      <c r="J35" s="1">
        <f>IF(OR(tblDowntime[[#This Row],[Failure Type]]="Sawshop",tblDowntime[[#This Row],[Failure Type]]="Electrical",tblDowntime[[#This Row],[Failure Type]]="Mechanical"),tblDowntime[[#This Row],[Downtime Hours]],"")</f>
        <v/>
      </c>
      <c r="K35" s="10" t="n"/>
      <c r="L35" s="10" t="n"/>
      <c r="M35">
        <f>IF(tblDowntime[[#This Row],[Maintenance Downtime Hours]]="","",tblDowntime[[#This Row],[Equipment ID]])</f>
        <v/>
      </c>
      <c r="N35" s="1">
        <f>IF(tblDowntime[[#This Row],[Failure Type]]="Production",tblDowntime[[#This Row],[Downtime Hours]],"")</f>
        <v/>
      </c>
      <c r="O35">
        <f>IF(tblDowntime[[#This Row],[Production Downtime Hours]]="","",tblDowntime[[#This Row],[Equipment ID]])</f>
        <v/>
      </c>
      <c r="P35" s="10" t="n"/>
    </row>
    <row r="36">
      <c r="B36">
        <f t="array" ref="B36">_xlfn.XLOOKUP(C36,INDIRECT("tblEquipment[Equipment ID]"),INDIRECT("tblEquipment[Production Department]"),"")</f>
        <v/>
      </c>
      <c r="D36">
        <f t="array" ref="D36">_xlfn.XLOOKUP(C36,INDIRECT("tblEquipment[Equipment ID]"),INDIRECT("tblEquipment[Equipment Name]"),"")</f>
        <v/>
      </c>
      <c r="F36" s="16" t="n"/>
      <c r="G36" s="16" t="n"/>
      <c r="H36" s="1">
        <f>IF(OR(F36=0,G36=0),"",(G36-F36)*24)</f>
        <v/>
      </c>
      <c r="I36" s="10" t="n"/>
      <c r="J36" s="1">
        <f>IF(OR(tblDowntime[[#This Row],[Failure Type]]="Sawshop",tblDowntime[[#This Row],[Failure Type]]="Electrical",tblDowntime[[#This Row],[Failure Type]]="Mechanical"),tblDowntime[[#This Row],[Downtime Hours]],"")</f>
        <v/>
      </c>
      <c r="K36" s="10" t="n"/>
      <c r="L36" s="10" t="n"/>
      <c r="M36">
        <f>IF(tblDowntime[[#This Row],[Maintenance Downtime Hours]]="","",tblDowntime[[#This Row],[Equipment ID]])</f>
        <v/>
      </c>
      <c r="N36" s="1">
        <f>IF(tblDowntime[[#This Row],[Failure Type]]="Production",tblDowntime[[#This Row],[Downtime Hours]],"")</f>
        <v/>
      </c>
      <c r="O36">
        <f>IF(tblDowntime[[#This Row],[Production Downtime Hours]]="","",tblDowntime[[#This Row],[Equipment ID]])</f>
        <v/>
      </c>
      <c r="P36" s="10" t="n"/>
    </row>
    <row r="37">
      <c r="B37">
        <f t="array" ref="B37">_xlfn.XLOOKUP(C37,INDIRECT("tblEquipment[Equipment ID]"),INDIRECT("tblEquipment[Production Department]"),"")</f>
        <v/>
      </c>
      <c r="D37">
        <f t="array" ref="D37">_xlfn.XLOOKUP(C37,INDIRECT("tblEquipment[Equipment ID]"),INDIRECT("tblEquipment[Equipment Name]"),"")</f>
        <v/>
      </c>
      <c r="F37" s="16" t="n"/>
      <c r="G37" s="16" t="n"/>
      <c r="H37" s="1">
        <f>IF(OR(F37=0,G37=0),"",(G37-F37)*24)</f>
        <v/>
      </c>
      <c r="I37" s="10" t="n"/>
      <c r="J37" s="1">
        <f>IF(OR(tblDowntime[[#This Row],[Failure Type]]="Sawshop",tblDowntime[[#This Row],[Failure Type]]="Electrical",tblDowntime[[#This Row],[Failure Type]]="Mechanical"),tblDowntime[[#This Row],[Downtime Hours]],"")</f>
        <v/>
      </c>
      <c r="K37" s="10" t="n"/>
      <c r="L37" s="10" t="n"/>
      <c r="M37">
        <f>IF(tblDowntime[[#This Row],[Maintenance Downtime Hours]]="","",tblDowntime[[#This Row],[Equipment ID]])</f>
        <v/>
      </c>
      <c r="N37" s="1">
        <f>IF(tblDowntime[[#This Row],[Failure Type]]="Production",tblDowntime[[#This Row],[Downtime Hours]],"")</f>
        <v/>
      </c>
      <c r="O37">
        <f>IF(tblDowntime[[#This Row],[Production Downtime Hours]]="","",tblDowntime[[#This Row],[Equipment ID]])</f>
        <v/>
      </c>
      <c r="P37" s="10" t="n"/>
    </row>
    <row r="38">
      <c r="B38">
        <f t="array" ref="B38">_xlfn.XLOOKUP(C38,INDIRECT("tblEquipment[Equipment ID]"),INDIRECT("tblEquipment[Production Department]"),"")</f>
        <v/>
      </c>
      <c r="D38">
        <f t="array" ref="D38">_xlfn.XLOOKUP(C38,INDIRECT("tblEquipment[Equipment ID]"),INDIRECT("tblEquipment[Equipment Name]"),"")</f>
        <v/>
      </c>
      <c r="F38" s="16" t="n"/>
      <c r="G38" s="16" t="n"/>
      <c r="H38" s="1">
        <f>IF(OR(F38=0,G38=0),"",(G38-F38)*24)</f>
        <v/>
      </c>
      <c r="I38" s="10" t="n"/>
      <c r="J38" s="1">
        <f>IF(OR(tblDowntime[[#This Row],[Failure Type]]="Sawshop",tblDowntime[[#This Row],[Failure Type]]="Electrical",tblDowntime[[#This Row],[Failure Type]]="Mechanical"),tblDowntime[[#This Row],[Downtime Hours]],"")</f>
        <v/>
      </c>
      <c r="K38" s="10" t="n"/>
      <c r="L38" s="10" t="n"/>
      <c r="M38">
        <f>IF(tblDowntime[[#This Row],[Maintenance Downtime Hours]]="","",tblDowntime[[#This Row],[Equipment ID]])</f>
        <v/>
      </c>
      <c r="N38" s="1">
        <f>IF(tblDowntime[[#This Row],[Failure Type]]="Production",tblDowntime[[#This Row],[Downtime Hours]],"")</f>
        <v/>
      </c>
      <c r="O38">
        <f>IF(tblDowntime[[#This Row],[Production Downtime Hours]]="","",tblDowntime[[#This Row],[Equipment ID]])</f>
        <v/>
      </c>
      <c r="P38" s="10" t="n"/>
    </row>
    <row r="39">
      <c r="B39">
        <f t="array" ref="B39">_xlfn.XLOOKUP(C39,INDIRECT("tblEquipment[Equipment ID]"),INDIRECT("tblEquipment[Production Department]"),"")</f>
        <v/>
      </c>
      <c r="D39">
        <f t="array" ref="D39">_xlfn.XLOOKUP(C39,INDIRECT("tblEquipment[Equipment ID]"),INDIRECT("tblEquipment[Equipment Name]"),"")</f>
        <v/>
      </c>
      <c r="F39" s="16" t="n"/>
      <c r="G39" s="16" t="n"/>
      <c r="H39" s="1">
        <f>IF(OR(F39=0,G39=0),"",(G39-F39)*24)</f>
        <v/>
      </c>
      <c r="I39" s="10" t="n"/>
      <c r="J39" s="1">
        <f>IF(OR(tblDowntime[[#This Row],[Failure Type]]="Sawshop",tblDowntime[[#This Row],[Failure Type]]="Electrical",tblDowntime[[#This Row],[Failure Type]]="Mechanical"),tblDowntime[[#This Row],[Downtime Hours]],"")</f>
        <v/>
      </c>
      <c r="K39" s="10" t="n"/>
      <c r="L39" s="10" t="n"/>
      <c r="M39">
        <f>IF(tblDowntime[[#This Row],[Maintenance Downtime Hours]]="","",tblDowntime[[#This Row],[Equipment ID]])</f>
        <v/>
      </c>
      <c r="N39" s="1">
        <f>IF(tblDowntime[[#This Row],[Failure Type]]="Production",tblDowntime[[#This Row],[Downtime Hours]],"")</f>
        <v/>
      </c>
      <c r="O39">
        <f>IF(tblDowntime[[#This Row],[Production Downtime Hours]]="","",tblDowntime[[#This Row],[Equipment ID]])</f>
        <v/>
      </c>
      <c r="P39" s="10" t="n"/>
    </row>
    <row r="40">
      <c r="B40">
        <f t="array" ref="B40">_xlfn.XLOOKUP(C40,INDIRECT("tblEquipment[Equipment ID]"),INDIRECT("tblEquipment[Production Department]"),"")</f>
        <v/>
      </c>
      <c r="D40">
        <f t="array" ref="D40">_xlfn.XLOOKUP(C40,INDIRECT("tblEquipment[Equipment ID]"),INDIRECT("tblEquipment[Equipment Name]"),"")</f>
        <v/>
      </c>
      <c r="F40" s="16" t="n"/>
      <c r="G40" s="16" t="n"/>
      <c r="H40" s="1">
        <f>IF(OR(F40=0,G40=0),"",(G40-F40)*24)</f>
        <v/>
      </c>
      <c r="I40" s="10" t="n"/>
      <c r="J40" s="1">
        <f>IF(OR(tblDowntime[[#This Row],[Failure Type]]="Sawshop",tblDowntime[[#This Row],[Failure Type]]="Electrical",tblDowntime[[#This Row],[Failure Type]]="Mechanical"),tblDowntime[[#This Row],[Downtime Hours]],"")</f>
        <v/>
      </c>
      <c r="K40" s="10" t="n"/>
      <c r="L40" s="10" t="n"/>
      <c r="M40">
        <f>IF(tblDowntime[[#This Row],[Maintenance Downtime Hours]]="","",tblDowntime[[#This Row],[Equipment ID]])</f>
        <v/>
      </c>
      <c r="N40" s="1">
        <f>IF(tblDowntime[[#This Row],[Failure Type]]="Production",tblDowntime[[#This Row],[Downtime Hours]],"")</f>
        <v/>
      </c>
      <c r="O40">
        <f>IF(tblDowntime[[#This Row],[Production Downtime Hours]]="","",tblDowntime[[#This Row],[Equipment ID]])</f>
        <v/>
      </c>
      <c r="P40" s="10" t="n"/>
    </row>
    <row r="41">
      <c r="B41">
        <f t="array" ref="B41">_xlfn.XLOOKUP(C41,INDIRECT("tblEquipment[Equipment ID]"),INDIRECT("tblEquipment[Production Department]"),"")</f>
        <v/>
      </c>
      <c r="D41">
        <f t="array" ref="D41">_xlfn.XLOOKUP(C41,INDIRECT("tblEquipment[Equipment ID]"),INDIRECT("tblEquipment[Equipment Name]"),"")</f>
        <v/>
      </c>
      <c r="F41" s="16" t="n"/>
      <c r="G41" s="16" t="n"/>
      <c r="H41" s="1">
        <f>IF(OR(F41=0,G41=0),"",(G41-F41)*24)</f>
        <v/>
      </c>
      <c r="I41" s="10" t="n"/>
      <c r="J41" s="1">
        <f>IF(OR(tblDowntime[[#This Row],[Failure Type]]="Sawshop",tblDowntime[[#This Row],[Failure Type]]="Electrical",tblDowntime[[#This Row],[Failure Type]]="Mechanical"),tblDowntime[[#This Row],[Downtime Hours]],"")</f>
        <v/>
      </c>
      <c r="K41" s="10" t="n"/>
      <c r="L41" s="10" t="n"/>
      <c r="M41">
        <f>IF(tblDowntime[[#This Row],[Maintenance Downtime Hours]]="","",tblDowntime[[#This Row],[Equipment ID]])</f>
        <v/>
      </c>
      <c r="N41" s="1">
        <f>IF(tblDowntime[[#This Row],[Failure Type]]="Production",tblDowntime[[#This Row],[Downtime Hours]],"")</f>
        <v/>
      </c>
      <c r="O41">
        <f>IF(tblDowntime[[#This Row],[Production Downtime Hours]]="","",tblDowntime[[#This Row],[Equipment ID]])</f>
        <v/>
      </c>
      <c r="P41" s="10" t="n"/>
    </row>
    <row r="42">
      <c r="B42">
        <f t="array" ref="B42">_xlfn.XLOOKUP(C42,INDIRECT("tblEquipment[Equipment ID]"),INDIRECT("tblEquipment[Production Department]"),"")</f>
        <v/>
      </c>
      <c r="D42">
        <f t="array" ref="D42">_xlfn.XLOOKUP(C42,INDIRECT("tblEquipment[Equipment ID]"),INDIRECT("tblEquipment[Equipment Name]"),"")</f>
        <v/>
      </c>
      <c r="F42" s="16" t="n"/>
      <c r="G42" s="16" t="n"/>
      <c r="H42" s="1">
        <f>IF(OR(F42=0,G42=0),"",(G42-F42)*24)</f>
        <v/>
      </c>
      <c r="I42" s="10" t="n"/>
      <c r="J42" s="1">
        <f>IF(OR(tblDowntime[[#This Row],[Failure Type]]="Sawshop",tblDowntime[[#This Row],[Failure Type]]="Electrical",tblDowntime[[#This Row],[Failure Type]]="Mechanical"),tblDowntime[[#This Row],[Downtime Hours]],"")</f>
        <v/>
      </c>
      <c r="K42" s="10" t="n"/>
      <c r="L42" s="10" t="n"/>
      <c r="M42">
        <f>IF(tblDowntime[[#This Row],[Maintenance Downtime Hours]]="","",tblDowntime[[#This Row],[Equipment ID]])</f>
        <v/>
      </c>
      <c r="N42" s="1">
        <f>IF(tblDowntime[[#This Row],[Failure Type]]="Production",tblDowntime[[#This Row],[Downtime Hours]],"")</f>
        <v/>
      </c>
      <c r="O42">
        <f>IF(tblDowntime[[#This Row],[Production Downtime Hours]]="","",tblDowntime[[#This Row],[Equipment ID]])</f>
        <v/>
      </c>
      <c r="P42" s="10" t="n"/>
    </row>
    <row r="43">
      <c r="B43">
        <f t="array" ref="B43">_xlfn.XLOOKUP(C43,INDIRECT("tblEquipment[Equipment ID]"),INDIRECT("tblEquipment[Production Department]"),"")</f>
        <v/>
      </c>
      <c r="D43">
        <f t="array" ref="D43">_xlfn.XLOOKUP(C43,INDIRECT("tblEquipment[Equipment ID]"),INDIRECT("tblEquipment[Equipment Name]"),"")</f>
        <v/>
      </c>
      <c r="F43" s="16" t="n"/>
      <c r="G43" s="16" t="n"/>
      <c r="H43" s="1">
        <f>IF(OR(F43=0,G43=0),"",(G43-F43)*24)</f>
        <v/>
      </c>
      <c r="I43" s="10" t="n"/>
      <c r="J43" s="1">
        <f>IF(OR(tblDowntime[[#This Row],[Failure Type]]="Sawshop",tblDowntime[[#This Row],[Failure Type]]="Electrical",tblDowntime[[#This Row],[Failure Type]]="Mechanical"),tblDowntime[[#This Row],[Downtime Hours]],"")</f>
        <v/>
      </c>
      <c r="K43" s="10" t="n"/>
      <c r="L43" s="10" t="n"/>
      <c r="M43">
        <f>IF(tblDowntime[[#This Row],[Maintenance Downtime Hours]]="","",tblDowntime[[#This Row],[Equipment ID]])</f>
        <v/>
      </c>
      <c r="N43" s="1">
        <f>IF(tblDowntime[[#This Row],[Failure Type]]="Production",tblDowntime[[#This Row],[Downtime Hours]],"")</f>
        <v/>
      </c>
      <c r="O43">
        <f>IF(tblDowntime[[#This Row],[Production Downtime Hours]]="","",tblDowntime[[#This Row],[Equipment ID]])</f>
        <v/>
      </c>
      <c r="P43" s="10" t="n"/>
    </row>
    <row r="44">
      <c r="B44">
        <f t="array" ref="B44">_xlfn.XLOOKUP(C44,INDIRECT("tblEquipment[Equipment ID]"),INDIRECT("tblEquipment[Production Department]"),"")</f>
        <v/>
      </c>
      <c r="D44">
        <f t="array" ref="D44">_xlfn.XLOOKUP(C44,INDIRECT("tblEquipment[Equipment ID]"),INDIRECT("tblEquipment[Equipment Name]"),"")</f>
        <v/>
      </c>
      <c r="F44" s="16" t="n"/>
      <c r="G44" s="16" t="n"/>
      <c r="H44" s="1">
        <f>IF(OR(F44=0,G44=0),"",(G44-F44)*24)</f>
        <v/>
      </c>
      <c r="I44" s="10" t="n"/>
      <c r="J44" s="1">
        <f>IF(OR(tblDowntime[[#This Row],[Failure Type]]="Sawshop",tblDowntime[[#This Row],[Failure Type]]="Electrical",tblDowntime[[#This Row],[Failure Type]]="Mechanical"),tblDowntime[[#This Row],[Downtime Hours]],"")</f>
        <v/>
      </c>
      <c r="K44" s="10" t="n"/>
      <c r="L44" s="10" t="n"/>
      <c r="M44">
        <f>IF(tblDowntime[[#This Row],[Maintenance Downtime Hours]]="","",tblDowntime[[#This Row],[Equipment ID]])</f>
        <v/>
      </c>
      <c r="N44" s="1">
        <f>IF(tblDowntime[[#This Row],[Failure Type]]="Production",tblDowntime[[#This Row],[Downtime Hours]],"")</f>
        <v/>
      </c>
      <c r="O44">
        <f>IF(tblDowntime[[#This Row],[Production Downtime Hours]]="","",tblDowntime[[#This Row],[Equipment ID]])</f>
        <v/>
      </c>
      <c r="P44" s="10" t="n"/>
    </row>
    <row r="45">
      <c r="B45">
        <f t="array" ref="B45">_xlfn.XLOOKUP(C45,INDIRECT("tblEquipment[Equipment ID]"),INDIRECT("tblEquipment[Production Department]"),"")</f>
        <v/>
      </c>
      <c r="D45">
        <f t="array" ref="D45">_xlfn.XLOOKUP(C45,INDIRECT("tblEquipment[Equipment ID]"),INDIRECT("tblEquipment[Equipment Name]"),"")</f>
        <v/>
      </c>
      <c r="F45" s="16" t="n"/>
      <c r="G45" s="16" t="n"/>
      <c r="H45" s="1">
        <f>IF(OR(F45=0,G45=0),"",(G45-F45)*24)</f>
        <v/>
      </c>
      <c r="I45" s="10" t="n"/>
      <c r="J45" s="1">
        <f>IF(OR(tblDowntime[[#This Row],[Failure Type]]="Sawshop",tblDowntime[[#This Row],[Failure Type]]="Electrical",tblDowntime[[#This Row],[Failure Type]]="Mechanical"),tblDowntime[[#This Row],[Downtime Hours]],"")</f>
        <v/>
      </c>
      <c r="K45" s="10" t="n"/>
      <c r="L45" s="10" t="n"/>
      <c r="M45">
        <f>IF(tblDowntime[[#This Row],[Maintenance Downtime Hours]]="","",tblDowntime[[#This Row],[Equipment ID]])</f>
        <v/>
      </c>
      <c r="N45" s="1">
        <f>IF(tblDowntime[[#This Row],[Failure Type]]="Production",tblDowntime[[#This Row],[Downtime Hours]],"")</f>
        <v/>
      </c>
      <c r="O45">
        <f>IF(tblDowntime[[#This Row],[Production Downtime Hours]]="","",tblDowntime[[#This Row],[Equipment ID]])</f>
        <v/>
      </c>
      <c r="P45" s="10" t="n"/>
    </row>
    <row r="46">
      <c r="B46">
        <f t="array" ref="B46">_xlfn.XLOOKUP(C46,INDIRECT("tblEquipment[Equipment ID]"),INDIRECT("tblEquipment[Production Department]"),"")</f>
        <v/>
      </c>
      <c r="D46">
        <f t="array" ref="D46">_xlfn.XLOOKUP(C46,INDIRECT("tblEquipment[Equipment ID]"),INDIRECT("tblEquipment[Equipment Name]"),"")</f>
        <v/>
      </c>
      <c r="F46" s="16" t="n"/>
      <c r="G46" s="16" t="n"/>
      <c r="H46" s="1">
        <f>IF(OR(F46=0,G46=0),"",(G46-F46)*24)</f>
        <v/>
      </c>
      <c r="I46" s="10" t="n"/>
      <c r="J46" s="1">
        <f>IF(OR(tblDowntime[[#This Row],[Failure Type]]="Sawshop",tblDowntime[[#This Row],[Failure Type]]="Electrical",tblDowntime[[#This Row],[Failure Type]]="Mechanical"),tblDowntime[[#This Row],[Downtime Hours]],"")</f>
        <v/>
      </c>
      <c r="K46" s="10" t="n"/>
      <c r="L46" s="10" t="n"/>
      <c r="M46">
        <f>IF(tblDowntime[[#This Row],[Maintenance Downtime Hours]]="","",tblDowntime[[#This Row],[Equipment ID]])</f>
        <v/>
      </c>
      <c r="N46" s="1">
        <f>IF(tblDowntime[[#This Row],[Failure Type]]="Production",tblDowntime[[#This Row],[Downtime Hours]],"")</f>
        <v/>
      </c>
      <c r="O46">
        <f>IF(tblDowntime[[#This Row],[Production Downtime Hours]]="","",tblDowntime[[#This Row],[Equipment ID]])</f>
        <v/>
      </c>
      <c r="P46" s="10" t="n"/>
    </row>
    <row r="47">
      <c r="B47">
        <f t="array" ref="B47">_xlfn.XLOOKUP(C47,INDIRECT("tblEquipment[Equipment ID]"),INDIRECT("tblEquipment[Production Department]"),"")</f>
        <v/>
      </c>
      <c r="D47">
        <f t="array" ref="D47">_xlfn.XLOOKUP(C47,INDIRECT("tblEquipment[Equipment ID]"),INDIRECT("tblEquipment[Equipment Name]"),"")</f>
        <v/>
      </c>
      <c r="F47" s="16" t="n"/>
      <c r="G47" s="16" t="n"/>
      <c r="H47" s="1">
        <f>IF(OR(F47=0,G47=0),"",(G47-F47)*24)</f>
        <v/>
      </c>
      <c r="I47" s="10" t="n"/>
      <c r="J47" s="1">
        <f>IF(OR(tblDowntime[[#This Row],[Failure Type]]="Sawshop",tblDowntime[[#This Row],[Failure Type]]="Electrical",tblDowntime[[#This Row],[Failure Type]]="Mechanical"),tblDowntime[[#This Row],[Downtime Hours]],"")</f>
        <v/>
      </c>
      <c r="K47" s="10" t="n"/>
      <c r="L47" s="10" t="n"/>
      <c r="M47">
        <f>IF(tblDowntime[[#This Row],[Maintenance Downtime Hours]]="","",tblDowntime[[#This Row],[Equipment ID]])</f>
        <v/>
      </c>
      <c r="N47" s="1">
        <f>IF(tblDowntime[[#This Row],[Failure Type]]="Production",tblDowntime[[#This Row],[Downtime Hours]],"")</f>
        <v/>
      </c>
      <c r="O47">
        <f>IF(tblDowntime[[#This Row],[Production Downtime Hours]]="","",tblDowntime[[#This Row],[Equipment ID]])</f>
        <v/>
      </c>
      <c r="P47" s="10" t="n"/>
    </row>
    <row r="48">
      <c r="B48">
        <f t="array" ref="B48">_xlfn.XLOOKUP(C48,INDIRECT("tblEquipment[Equipment ID]"),INDIRECT("tblEquipment[Production Department]"),"")</f>
        <v/>
      </c>
      <c r="D48">
        <f t="array" ref="D48">_xlfn.XLOOKUP(C48,INDIRECT("tblEquipment[Equipment ID]"),INDIRECT("tblEquipment[Equipment Name]"),"")</f>
        <v/>
      </c>
      <c r="F48" s="16" t="n"/>
      <c r="G48" s="16" t="n"/>
      <c r="H48" s="1">
        <f>IF(OR(F48=0,G48=0),"",(G48-F48)*24)</f>
        <v/>
      </c>
      <c r="I48" s="10" t="n"/>
      <c r="J48" s="1">
        <f>IF(OR(tblDowntime[[#This Row],[Failure Type]]="Sawshop",tblDowntime[[#This Row],[Failure Type]]="Electrical",tblDowntime[[#This Row],[Failure Type]]="Mechanical"),tblDowntime[[#This Row],[Downtime Hours]],"")</f>
        <v/>
      </c>
      <c r="K48" s="10" t="n"/>
      <c r="L48" s="10" t="n"/>
      <c r="M48">
        <f>IF(tblDowntime[[#This Row],[Maintenance Downtime Hours]]="","",tblDowntime[[#This Row],[Equipment ID]])</f>
        <v/>
      </c>
      <c r="N48" s="1">
        <f>IF(tblDowntime[[#This Row],[Failure Type]]="Production",tblDowntime[[#This Row],[Downtime Hours]],"")</f>
        <v/>
      </c>
      <c r="O48">
        <f>IF(tblDowntime[[#This Row],[Production Downtime Hours]]="","",tblDowntime[[#This Row],[Equipment ID]])</f>
        <v/>
      </c>
      <c r="P48" s="10" t="n"/>
    </row>
    <row r="49">
      <c r="B49">
        <f t="array" ref="B49">_xlfn.XLOOKUP(C49,INDIRECT("tblEquipment[Equipment ID]"),INDIRECT("tblEquipment[Production Department]"),"")</f>
        <v/>
      </c>
      <c r="D49">
        <f t="array" ref="D49">_xlfn.XLOOKUP(C49,INDIRECT("tblEquipment[Equipment ID]"),INDIRECT("tblEquipment[Equipment Name]"),"")</f>
        <v/>
      </c>
      <c r="F49" s="16" t="n"/>
      <c r="G49" s="16" t="n"/>
      <c r="H49" s="1">
        <f>IF(OR(F49=0,G49=0),"",(G49-F49)*24)</f>
        <v/>
      </c>
      <c r="I49" s="10" t="n"/>
      <c r="J49" s="1">
        <f>IF(OR(tblDowntime[[#This Row],[Failure Type]]="Sawshop",tblDowntime[[#This Row],[Failure Type]]="Electrical",tblDowntime[[#This Row],[Failure Type]]="Mechanical"),tblDowntime[[#This Row],[Downtime Hours]],"")</f>
        <v/>
      </c>
      <c r="K49" s="10" t="n"/>
      <c r="L49" s="10" t="n"/>
      <c r="M49">
        <f>IF(tblDowntime[[#This Row],[Maintenance Downtime Hours]]="","",tblDowntime[[#This Row],[Equipment ID]])</f>
        <v/>
      </c>
      <c r="N49" s="1">
        <f>IF(tblDowntime[[#This Row],[Failure Type]]="Production",tblDowntime[[#This Row],[Downtime Hours]],"")</f>
        <v/>
      </c>
      <c r="O49">
        <f>IF(tblDowntime[[#This Row],[Production Downtime Hours]]="","",tblDowntime[[#This Row],[Equipment ID]])</f>
        <v/>
      </c>
      <c r="P49" s="10" t="n"/>
    </row>
    <row r="50">
      <c r="B50">
        <f t="array" ref="B50">_xlfn.XLOOKUP(C50,INDIRECT("tblEquipment[Equipment ID]"),INDIRECT("tblEquipment[Production Department]"),"")</f>
        <v/>
      </c>
      <c r="D50">
        <f t="array" ref="D50">_xlfn.XLOOKUP(C50,INDIRECT("tblEquipment[Equipment ID]"),INDIRECT("tblEquipment[Equipment Name]"),"")</f>
        <v/>
      </c>
      <c r="F50" s="16" t="n"/>
      <c r="G50" s="16" t="n"/>
      <c r="H50" s="1">
        <f>IF(OR(F50=0,G50=0),"",(G50-F50)*24)</f>
        <v/>
      </c>
      <c r="I50" s="10" t="n"/>
      <c r="J50" s="1">
        <f>IF(OR(tblDowntime[[#This Row],[Failure Type]]="Sawshop",tblDowntime[[#This Row],[Failure Type]]="Electrical",tblDowntime[[#This Row],[Failure Type]]="Mechanical"),tblDowntime[[#This Row],[Downtime Hours]],"")</f>
        <v/>
      </c>
      <c r="K50" s="10" t="n"/>
      <c r="L50" s="10" t="n"/>
      <c r="M50">
        <f>IF(tblDowntime[[#This Row],[Maintenance Downtime Hours]]="","",tblDowntime[[#This Row],[Equipment ID]])</f>
        <v/>
      </c>
      <c r="N50" s="1">
        <f>IF(tblDowntime[[#This Row],[Failure Type]]="Production",tblDowntime[[#This Row],[Downtime Hours]],"")</f>
        <v/>
      </c>
      <c r="O50">
        <f>IF(tblDowntime[[#This Row],[Production Downtime Hours]]="","",tblDowntime[[#This Row],[Equipment ID]])</f>
        <v/>
      </c>
      <c r="P50" s="10" t="n"/>
    </row>
    <row r="51">
      <c r="B51">
        <f t="array" ref="B51">_xlfn.XLOOKUP(C51,INDIRECT("tblEquipment[Equipment ID]"),INDIRECT("tblEquipment[Production Department]"),"")</f>
        <v/>
      </c>
      <c r="D51">
        <f t="array" ref="D51">_xlfn.XLOOKUP(C51,INDIRECT("tblEquipment[Equipment ID]"),INDIRECT("tblEquipment[Equipment Name]"),"")</f>
        <v/>
      </c>
      <c r="F51" s="16" t="n"/>
      <c r="G51" s="16" t="n"/>
      <c r="H51" s="1">
        <f>IF(OR(F51=0,G51=0),"",(G51-F51)*24)</f>
        <v/>
      </c>
      <c r="I51" s="10" t="n"/>
      <c r="J51" s="1">
        <f>IF(OR(tblDowntime[[#This Row],[Failure Type]]="Sawshop",tblDowntime[[#This Row],[Failure Type]]="Electrical",tblDowntime[[#This Row],[Failure Type]]="Mechanical"),tblDowntime[[#This Row],[Downtime Hours]],"")</f>
        <v/>
      </c>
      <c r="K51" s="10" t="n"/>
      <c r="L51" s="10" t="n"/>
      <c r="M51">
        <f>IF(tblDowntime[[#This Row],[Maintenance Downtime Hours]]="","",tblDowntime[[#This Row],[Equipment ID]])</f>
        <v/>
      </c>
      <c r="N51" s="1">
        <f>IF(tblDowntime[[#This Row],[Failure Type]]="Production",tblDowntime[[#This Row],[Downtime Hours]],"")</f>
        <v/>
      </c>
      <c r="O51">
        <f>IF(tblDowntime[[#This Row],[Production Downtime Hours]]="","",tblDowntime[[#This Row],[Equipment ID]])</f>
        <v/>
      </c>
      <c r="P51" s="10" t="n"/>
    </row>
    <row r="52">
      <c r="B52">
        <f t="array" ref="B52">_xlfn.XLOOKUP(C52,INDIRECT("tblEquipment[Equipment ID]"),INDIRECT("tblEquipment[Production Department]"),"")</f>
        <v/>
      </c>
      <c r="D52">
        <f t="array" ref="D52">_xlfn.XLOOKUP(C52,INDIRECT("tblEquipment[Equipment ID]"),INDIRECT("tblEquipment[Equipment Name]"),"")</f>
        <v/>
      </c>
      <c r="F52" s="16" t="n"/>
      <c r="G52" s="16" t="n"/>
      <c r="H52" s="1">
        <f>IF(OR(F52=0,G52=0),"",(G52-F52)*24)</f>
        <v/>
      </c>
      <c r="I52" s="10" t="n"/>
      <c r="J52" s="1">
        <f>IF(OR(tblDowntime[[#This Row],[Failure Type]]="Sawshop",tblDowntime[[#This Row],[Failure Type]]="Electrical",tblDowntime[[#This Row],[Failure Type]]="Mechanical"),tblDowntime[[#This Row],[Downtime Hours]],"")</f>
        <v/>
      </c>
      <c r="K52" s="10" t="n"/>
      <c r="L52" s="10" t="n"/>
      <c r="M52">
        <f>IF(tblDowntime[[#This Row],[Maintenance Downtime Hours]]="","",tblDowntime[[#This Row],[Equipment ID]])</f>
        <v/>
      </c>
      <c r="N52" s="1">
        <f>IF(tblDowntime[[#This Row],[Failure Type]]="Production",tblDowntime[[#This Row],[Downtime Hours]],"")</f>
        <v/>
      </c>
      <c r="O52">
        <f>IF(tblDowntime[[#This Row],[Production Downtime Hours]]="","",tblDowntime[[#This Row],[Equipment ID]])</f>
        <v/>
      </c>
      <c r="P52" s="10" t="n"/>
    </row>
    <row r="53">
      <c r="B53">
        <f t="array" ref="B53">_xlfn.XLOOKUP(C53,INDIRECT("tblEquipment[Equipment ID]"),INDIRECT("tblEquipment[Production Department]"),"")</f>
        <v/>
      </c>
      <c r="D53">
        <f t="array" ref="D53">_xlfn.XLOOKUP(C53,INDIRECT("tblEquipment[Equipment ID]"),INDIRECT("tblEquipment[Equipment Name]"),"")</f>
        <v/>
      </c>
      <c r="F53" s="16" t="n"/>
      <c r="G53" s="16" t="n"/>
      <c r="H53" s="1">
        <f>IF(OR(F53=0,G53=0),"",(G53-F53)*24)</f>
        <v/>
      </c>
      <c r="I53" s="10" t="n"/>
      <c r="J53" s="1">
        <f>IF(OR(tblDowntime[[#This Row],[Failure Type]]="Sawshop",tblDowntime[[#This Row],[Failure Type]]="Electrical",tblDowntime[[#This Row],[Failure Type]]="Mechanical"),tblDowntime[[#This Row],[Downtime Hours]],"")</f>
        <v/>
      </c>
      <c r="K53" s="10" t="n"/>
      <c r="L53" s="10" t="n"/>
      <c r="M53">
        <f>IF(tblDowntime[[#This Row],[Maintenance Downtime Hours]]="","",tblDowntime[[#This Row],[Equipment ID]])</f>
        <v/>
      </c>
      <c r="N53" s="1">
        <f>IF(tblDowntime[[#This Row],[Failure Type]]="Production",tblDowntime[[#This Row],[Downtime Hours]],"")</f>
        <v/>
      </c>
      <c r="O53">
        <f>IF(tblDowntime[[#This Row],[Production Downtime Hours]]="","",tblDowntime[[#This Row],[Equipment ID]])</f>
        <v/>
      </c>
      <c r="P53" s="10" t="n"/>
    </row>
    <row r="54">
      <c r="B54">
        <f t="array" ref="B54">_xlfn.XLOOKUP(C54,INDIRECT("tblEquipment[Equipment ID]"),INDIRECT("tblEquipment[Production Department]"),"")</f>
        <v/>
      </c>
      <c r="D54">
        <f t="array" ref="D54">_xlfn.XLOOKUP(C54,INDIRECT("tblEquipment[Equipment ID]"),INDIRECT("tblEquipment[Equipment Name]"),"")</f>
        <v/>
      </c>
      <c r="F54" s="16" t="n"/>
      <c r="G54" s="16" t="n"/>
      <c r="H54" s="1">
        <f>IF(OR(F54=0,G54=0),"",(G54-F54)*24)</f>
        <v/>
      </c>
      <c r="I54" s="10" t="n"/>
      <c r="J54" s="1">
        <f>IF(OR(tblDowntime[[#This Row],[Failure Type]]="Sawshop",tblDowntime[[#This Row],[Failure Type]]="Electrical",tblDowntime[[#This Row],[Failure Type]]="Mechanical"),tblDowntime[[#This Row],[Downtime Hours]],"")</f>
        <v/>
      </c>
      <c r="K54" s="10" t="n"/>
      <c r="L54" s="10" t="n"/>
      <c r="M54">
        <f>IF(tblDowntime[[#This Row],[Maintenance Downtime Hours]]="","",tblDowntime[[#This Row],[Equipment ID]])</f>
        <v/>
      </c>
      <c r="N54" s="1">
        <f>IF(tblDowntime[[#This Row],[Failure Type]]="Production",tblDowntime[[#This Row],[Downtime Hours]],"")</f>
        <v/>
      </c>
      <c r="O54">
        <f>IF(tblDowntime[[#This Row],[Production Downtime Hours]]="","",tblDowntime[[#This Row],[Equipment ID]])</f>
        <v/>
      </c>
      <c r="P54" s="10" t="n"/>
    </row>
    <row r="55">
      <c r="B55">
        <f t="array" ref="B55">_xlfn.XLOOKUP(C55,INDIRECT("tblEquipment[Equipment ID]"),INDIRECT("tblEquipment[Production Department]"),"")</f>
        <v/>
      </c>
      <c r="D55">
        <f t="array" ref="D55">_xlfn.XLOOKUP(C55,INDIRECT("tblEquipment[Equipment ID]"),INDIRECT("tblEquipment[Equipment Name]"),"")</f>
        <v/>
      </c>
      <c r="F55" s="16" t="n"/>
      <c r="G55" s="16" t="n"/>
      <c r="H55" s="1">
        <f>IF(OR(F55=0,G55=0),"",(G55-F55)*24)</f>
        <v/>
      </c>
      <c r="I55" s="10" t="n"/>
      <c r="J55" s="1">
        <f>IF(OR(tblDowntime[[#This Row],[Failure Type]]="Sawshop",tblDowntime[[#This Row],[Failure Type]]="Electrical",tblDowntime[[#This Row],[Failure Type]]="Mechanical"),tblDowntime[[#This Row],[Downtime Hours]],"")</f>
        <v/>
      </c>
      <c r="K55" s="10" t="n"/>
      <c r="L55" s="10" t="n"/>
      <c r="M55">
        <f>IF(tblDowntime[[#This Row],[Maintenance Downtime Hours]]="","",tblDowntime[[#This Row],[Equipment ID]])</f>
        <v/>
      </c>
      <c r="N55" s="1">
        <f>IF(tblDowntime[[#This Row],[Failure Type]]="Production",tblDowntime[[#This Row],[Downtime Hours]],"")</f>
        <v/>
      </c>
      <c r="O55">
        <f>IF(tblDowntime[[#This Row],[Production Downtime Hours]]="","",tblDowntime[[#This Row],[Equipment ID]])</f>
        <v/>
      </c>
      <c r="P55" s="10" t="n"/>
    </row>
    <row r="56">
      <c r="B56">
        <f t="array" ref="B56">_xlfn.XLOOKUP(C56,INDIRECT("tblEquipment[Equipment ID]"),INDIRECT("tblEquipment[Production Department]"),"")</f>
        <v/>
      </c>
      <c r="D56">
        <f t="array" ref="D56">_xlfn.XLOOKUP(C56,INDIRECT("tblEquipment[Equipment ID]"),INDIRECT("tblEquipment[Equipment Name]"),"")</f>
        <v/>
      </c>
      <c r="F56" s="16" t="n"/>
      <c r="G56" s="16" t="n"/>
      <c r="H56" s="1">
        <f>IF(OR(F56=0,G56=0),"",(G56-F56)*24)</f>
        <v/>
      </c>
      <c r="I56" s="10" t="n"/>
      <c r="J56" s="1">
        <f>IF(OR(tblDowntime[[#This Row],[Failure Type]]="Sawshop",tblDowntime[[#This Row],[Failure Type]]="Electrical",tblDowntime[[#This Row],[Failure Type]]="Mechanical"),tblDowntime[[#This Row],[Downtime Hours]],"")</f>
        <v/>
      </c>
      <c r="K56" s="10" t="n"/>
      <c r="L56" s="10" t="n"/>
      <c r="M56">
        <f>IF(tblDowntime[[#This Row],[Maintenance Downtime Hours]]="","",tblDowntime[[#This Row],[Equipment ID]])</f>
        <v/>
      </c>
      <c r="N56" s="1">
        <f>IF(tblDowntime[[#This Row],[Failure Type]]="Production",tblDowntime[[#This Row],[Downtime Hours]],"")</f>
        <v/>
      </c>
      <c r="O56">
        <f>IF(tblDowntime[[#This Row],[Production Downtime Hours]]="","",tblDowntime[[#This Row],[Equipment ID]])</f>
        <v/>
      </c>
      <c r="P56" s="10" t="n"/>
    </row>
    <row r="57">
      <c r="B57">
        <f t="array" ref="B57">_xlfn.XLOOKUP(C57,INDIRECT("tblEquipment[Equipment ID]"),INDIRECT("tblEquipment[Production Department]"),"")</f>
        <v/>
      </c>
      <c r="D57">
        <f t="array" ref="D57">_xlfn.XLOOKUP(C57,INDIRECT("tblEquipment[Equipment ID]"),INDIRECT("tblEquipment[Equipment Name]"),"")</f>
        <v/>
      </c>
      <c r="F57" s="16" t="n"/>
      <c r="G57" s="16" t="n"/>
      <c r="H57" s="1">
        <f>IF(OR(F57=0,G57=0),"",(G57-F57)*24)</f>
        <v/>
      </c>
      <c r="I57" s="10" t="n"/>
      <c r="J57" s="1">
        <f>IF(OR(tblDowntime[[#This Row],[Failure Type]]="Sawshop",tblDowntime[[#This Row],[Failure Type]]="Electrical",tblDowntime[[#This Row],[Failure Type]]="Mechanical"),tblDowntime[[#This Row],[Downtime Hours]],"")</f>
        <v/>
      </c>
      <c r="K57" s="10" t="n"/>
      <c r="L57" s="10" t="n"/>
      <c r="M57">
        <f>IF(tblDowntime[[#This Row],[Maintenance Downtime Hours]]="","",tblDowntime[[#This Row],[Equipment ID]])</f>
        <v/>
      </c>
      <c r="N57" s="1">
        <f>IF(tblDowntime[[#This Row],[Failure Type]]="Production",tblDowntime[[#This Row],[Downtime Hours]],"")</f>
        <v/>
      </c>
      <c r="O57">
        <f>IF(tblDowntime[[#This Row],[Production Downtime Hours]]="","",tblDowntime[[#This Row],[Equipment ID]])</f>
        <v/>
      </c>
      <c r="P57" s="10" t="n"/>
    </row>
    <row r="58">
      <c r="B58">
        <f t="array" ref="B58">_xlfn.XLOOKUP(C58,INDIRECT("tblEquipment[Equipment ID]"),INDIRECT("tblEquipment[Production Department]"),"")</f>
        <v/>
      </c>
      <c r="D58">
        <f t="array" ref="D58">_xlfn.XLOOKUP(C58,INDIRECT("tblEquipment[Equipment ID]"),INDIRECT("tblEquipment[Equipment Name]"),"")</f>
        <v/>
      </c>
      <c r="F58" s="16" t="n"/>
      <c r="G58" s="16" t="n"/>
      <c r="H58" s="1">
        <f>IF(OR(F58=0,G58=0),"",(G58-F58)*24)</f>
        <v/>
      </c>
      <c r="I58" s="10" t="n"/>
      <c r="J58" s="1">
        <f>IF(OR(tblDowntime[[#This Row],[Failure Type]]="Sawshop",tblDowntime[[#This Row],[Failure Type]]="Electrical",tblDowntime[[#This Row],[Failure Type]]="Mechanical"),tblDowntime[[#This Row],[Downtime Hours]],"")</f>
        <v/>
      </c>
      <c r="K58" s="10" t="n"/>
      <c r="L58" s="10" t="n"/>
      <c r="M58">
        <f>IF(tblDowntime[[#This Row],[Maintenance Downtime Hours]]="","",tblDowntime[[#This Row],[Equipment ID]])</f>
        <v/>
      </c>
      <c r="N58" s="1">
        <f>IF(tblDowntime[[#This Row],[Failure Type]]="Production",tblDowntime[[#This Row],[Downtime Hours]],"")</f>
        <v/>
      </c>
      <c r="O58">
        <f>IF(tblDowntime[[#This Row],[Production Downtime Hours]]="","",tblDowntime[[#This Row],[Equipment ID]])</f>
        <v/>
      </c>
      <c r="P58" s="10" t="n"/>
    </row>
    <row r="59">
      <c r="B59">
        <f t="array" ref="B59">_xlfn.XLOOKUP(C59,INDIRECT("tblEquipment[Equipment ID]"),INDIRECT("tblEquipment[Production Department]"),"")</f>
        <v/>
      </c>
      <c r="D59">
        <f t="array" ref="D59">_xlfn.XLOOKUP(C59,INDIRECT("tblEquipment[Equipment ID]"),INDIRECT("tblEquipment[Equipment Name]"),"")</f>
        <v/>
      </c>
      <c r="F59" s="16" t="n"/>
      <c r="G59" s="16" t="n"/>
      <c r="H59" s="1">
        <f>IF(OR(F59=0,G59=0),"",(G59-F59)*24)</f>
        <v/>
      </c>
      <c r="I59" s="10" t="n"/>
      <c r="J59" s="1">
        <f>IF(OR(tblDowntime[[#This Row],[Failure Type]]="Sawshop",tblDowntime[[#This Row],[Failure Type]]="Electrical",tblDowntime[[#This Row],[Failure Type]]="Mechanical"),tblDowntime[[#This Row],[Downtime Hours]],"")</f>
        <v/>
      </c>
      <c r="K59" s="10" t="n"/>
      <c r="L59" s="10" t="n"/>
      <c r="M59">
        <f>IF(tblDowntime[[#This Row],[Maintenance Downtime Hours]]="","",tblDowntime[[#This Row],[Equipment ID]])</f>
        <v/>
      </c>
      <c r="N59" s="1">
        <f>IF(tblDowntime[[#This Row],[Failure Type]]="Production",tblDowntime[[#This Row],[Downtime Hours]],"")</f>
        <v/>
      </c>
      <c r="O59">
        <f>IF(tblDowntime[[#This Row],[Production Downtime Hours]]="","",tblDowntime[[#This Row],[Equipment ID]])</f>
        <v/>
      </c>
      <c r="P59" s="10" t="n"/>
    </row>
    <row r="60">
      <c r="B60">
        <f t="array" ref="B60">_xlfn.XLOOKUP(C60,INDIRECT("tblEquipment[Equipment ID]"),INDIRECT("tblEquipment[Production Department]"),"")</f>
        <v/>
      </c>
      <c r="D60">
        <f t="array" ref="D60">_xlfn.XLOOKUP(C60,INDIRECT("tblEquipment[Equipment ID]"),INDIRECT("tblEquipment[Equipment Name]"),"")</f>
        <v/>
      </c>
      <c r="F60" s="16" t="n"/>
      <c r="G60" s="16" t="n"/>
      <c r="H60" s="1">
        <f>IF(OR(F60=0,G60=0),"",(G60-F60)*24)</f>
        <v/>
      </c>
      <c r="I60" s="10" t="n"/>
      <c r="J60" s="1">
        <f>IF(OR(tblDowntime[[#This Row],[Failure Type]]="Sawshop",tblDowntime[[#This Row],[Failure Type]]="Electrical",tblDowntime[[#This Row],[Failure Type]]="Mechanical"),tblDowntime[[#This Row],[Downtime Hours]],"")</f>
        <v/>
      </c>
      <c r="K60" s="10" t="n"/>
      <c r="L60" s="10" t="n"/>
      <c r="M60">
        <f>IF(tblDowntime[[#This Row],[Maintenance Downtime Hours]]="","",tblDowntime[[#This Row],[Equipment ID]])</f>
        <v/>
      </c>
      <c r="N60" s="1">
        <f>IF(tblDowntime[[#This Row],[Failure Type]]="Production",tblDowntime[[#This Row],[Downtime Hours]],"")</f>
        <v/>
      </c>
      <c r="O60">
        <f>IF(tblDowntime[[#This Row],[Production Downtime Hours]]="","",tblDowntime[[#This Row],[Equipment ID]])</f>
        <v/>
      </c>
      <c r="P60" s="10" t="n"/>
    </row>
    <row r="61">
      <c r="B61">
        <f t="array" ref="B61">_xlfn.XLOOKUP(C61,INDIRECT("tblEquipment[Equipment ID]"),INDIRECT("tblEquipment[Production Department]"),"")</f>
        <v/>
      </c>
      <c r="D61">
        <f t="array" ref="D61">_xlfn.XLOOKUP(C61,INDIRECT("tblEquipment[Equipment ID]"),INDIRECT("tblEquipment[Equipment Name]"),"")</f>
        <v/>
      </c>
      <c r="F61" s="16" t="n"/>
      <c r="G61" s="16" t="n"/>
      <c r="H61" s="1">
        <f>IF(OR(F61=0,G61=0),"",(G61-F61)*24)</f>
        <v/>
      </c>
      <c r="I61" s="10" t="n"/>
      <c r="J61" s="1">
        <f>IF(OR(tblDowntime[[#This Row],[Failure Type]]="Sawshop",tblDowntime[[#This Row],[Failure Type]]="Electrical",tblDowntime[[#This Row],[Failure Type]]="Mechanical"),tblDowntime[[#This Row],[Downtime Hours]],"")</f>
        <v/>
      </c>
      <c r="K61" s="10" t="n"/>
      <c r="L61" s="10" t="n"/>
      <c r="M61">
        <f>IF(tblDowntime[[#This Row],[Maintenance Downtime Hours]]="","",tblDowntime[[#This Row],[Equipment ID]])</f>
        <v/>
      </c>
      <c r="N61" s="1">
        <f>IF(tblDowntime[[#This Row],[Failure Type]]="Production",tblDowntime[[#This Row],[Downtime Hours]],"")</f>
        <v/>
      </c>
      <c r="O61">
        <f>IF(tblDowntime[[#This Row],[Production Downtime Hours]]="","",tblDowntime[[#This Row],[Equipment ID]])</f>
        <v/>
      </c>
      <c r="P61" s="10" t="n"/>
    </row>
    <row r="62">
      <c r="B62">
        <f t="array" ref="B62">_xlfn.XLOOKUP(C62,INDIRECT("tblEquipment[Equipment ID]"),INDIRECT("tblEquipment[Production Department]"),"")</f>
        <v/>
      </c>
      <c r="D62">
        <f t="array" ref="D62">_xlfn.XLOOKUP(C62,INDIRECT("tblEquipment[Equipment ID]"),INDIRECT("tblEquipment[Equipment Name]"),"")</f>
        <v/>
      </c>
      <c r="F62" s="16" t="n"/>
      <c r="G62" s="16" t="n"/>
      <c r="H62" s="1">
        <f>IF(OR(F62=0,G62=0),"",(G62-F62)*24)</f>
        <v/>
      </c>
      <c r="I62" s="10" t="n"/>
      <c r="J62" s="1">
        <f>IF(OR(tblDowntime[[#This Row],[Failure Type]]="Sawshop",tblDowntime[[#This Row],[Failure Type]]="Electrical",tblDowntime[[#This Row],[Failure Type]]="Mechanical"),tblDowntime[[#This Row],[Downtime Hours]],"")</f>
        <v/>
      </c>
      <c r="K62" s="10" t="n"/>
      <c r="L62" s="10" t="n"/>
      <c r="M62">
        <f>IF(tblDowntime[[#This Row],[Maintenance Downtime Hours]]="","",tblDowntime[[#This Row],[Equipment ID]])</f>
        <v/>
      </c>
      <c r="N62" s="1">
        <f>IF(tblDowntime[[#This Row],[Failure Type]]="Production",tblDowntime[[#This Row],[Downtime Hours]],"")</f>
        <v/>
      </c>
      <c r="O62">
        <f>IF(tblDowntime[[#This Row],[Production Downtime Hours]]="","",tblDowntime[[#This Row],[Equipment ID]])</f>
        <v/>
      </c>
      <c r="P62" s="10" t="n"/>
    </row>
    <row r="63">
      <c r="B63">
        <f t="array" ref="B63">_xlfn.XLOOKUP(C63,INDIRECT("tblEquipment[Equipment ID]"),INDIRECT("tblEquipment[Production Department]"),"")</f>
        <v/>
      </c>
      <c r="D63">
        <f t="array" ref="D63">_xlfn.XLOOKUP(C63,INDIRECT("tblEquipment[Equipment ID]"),INDIRECT("tblEquipment[Equipment Name]"),"")</f>
        <v/>
      </c>
      <c r="F63" s="16" t="n"/>
      <c r="G63" s="16" t="n"/>
      <c r="H63" s="1">
        <f>IF(OR(F63=0,G63=0),"",(G63-F63)*24)</f>
        <v/>
      </c>
      <c r="I63" s="10" t="n"/>
      <c r="J63" s="1">
        <f>IF(OR(tblDowntime[[#This Row],[Failure Type]]="Sawshop",tblDowntime[[#This Row],[Failure Type]]="Electrical",tblDowntime[[#This Row],[Failure Type]]="Mechanical"),tblDowntime[[#This Row],[Downtime Hours]],"")</f>
        <v/>
      </c>
      <c r="K63" s="10" t="n"/>
      <c r="L63" s="10" t="n"/>
      <c r="M63">
        <f>IF(tblDowntime[[#This Row],[Maintenance Downtime Hours]]="","",tblDowntime[[#This Row],[Equipment ID]])</f>
        <v/>
      </c>
      <c r="N63" s="1">
        <f>IF(tblDowntime[[#This Row],[Failure Type]]="Production",tblDowntime[[#This Row],[Downtime Hours]],"")</f>
        <v/>
      </c>
      <c r="O63">
        <f>IF(tblDowntime[[#This Row],[Production Downtime Hours]]="","",tblDowntime[[#This Row],[Equipment ID]])</f>
        <v/>
      </c>
      <c r="P63" s="10" t="n"/>
    </row>
    <row r="64">
      <c r="B64">
        <f t="array" ref="B64">_xlfn.XLOOKUP(C64,INDIRECT("tblEquipment[Equipment ID]"),INDIRECT("tblEquipment[Production Department]"),"")</f>
        <v/>
      </c>
      <c r="D64">
        <f t="array" ref="D64">_xlfn.XLOOKUP(C64,INDIRECT("tblEquipment[Equipment ID]"),INDIRECT("tblEquipment[Equipment Name]"),"")</f>
        <v/>
      </c>
      <c r="F64" s="16" t="n"/>
      <c r="G64" s="16" t="n"/>
      <c r="H64" s="1">
        <f>IF(OR(F64=0,G64=0),"",(G64-F64)*24)</f>
        <v/>
      </c>
      <c r="I64" s="10" t="n"/>
      <c r="J64" s="1">
        <f>IF(OR(tblDowntime[[#This Row],[Failure Type]]="Sawshop",tblDowntime[[#This Row],[Failure Type]]="Electrical",tblDowntime[[#This Row],[Failure Type]]="Mechanical"),tblDowntime[[#This Row],[Downtime Hours]],"")</f>
        <v/>
      </c>
      <c r="K64" s="10" t="n"/>
      <c r="L64" s="10" t="n"/>
      <c r="M64">
        <f>IF(tblDowntime[[#This Row],[Maintenance Downtime Hours]]="","",tblDowntime[[#This Row],[Equipment ID]])</f>
        <v/>
      </c>
      <c r="N64" s="1">
        <f>IF(tblDowntime[[#This Row],[Failure Type]]="Production",tblDowntime[[#This Row],[Downtime Hours]],"")</f>
        <v/>
      </c>
      <c r="O64">
        <f>IF(tblDowntime[[#This Row],[Production Downtime Hours]]="","",tblDowntime[[#This Row],[Equipment ID]])</f>
        <v/>
      </c>
      <c r="P64" s="10" t="n"/>
    </row>
    <row r="65">
      <c r="B65">
        <f t="array" ref="B65">_xlfn.XLOOKUP(C65,INDIRECT("tblEquipment[Equipment ID]"),INDIRECT("tblEquipment[Production Department]"),"")</f>
        <v/>
      </c>
      <c r="D65">
        <f t="array" ref="D65">_xlfn.XLOOKUP(C65,INDIRECT("tblEquipment[Equipment ID]"),INDIRECT("tblEquipment[Equipment Name]"),"")</f>
        <v/>
      </c>
      <c r="F65" s="16" t="n"/>
      <c r="G65" s="16" t="n"/>
      <c r="H65" s="1">
        <f>IF(OR(F65=0,G65=0),"",(G65-F65)*24)</f>
        <v/>
      </c>
      <c r="I65" s="10" t="n"/>
      <c r="J65" s="1">
        <f>IF(OR(tblDowntime[[#This Row],[Failure Type]]="Sawshop",tblDowntime[[#This Row],[Failure Type]]="Electrical",tblDowntime[[#This Row],[Failure Type]]="Mechanical"),tblDowntime[[#This Row],[Downtime Hours]],"")</f>
        <v/>
      </c>
      <c r="K65" s="10" t="n"/>
      <c r="L65" s="10" t="n"/>
      <c r="M65">
        <f>IF(tblDowntime[[#This Row],[Maintenance Downtime Hours]]="","",tblDowntime[[#This Row],[Equipment ID]])</f>
        <v/>
      </c>
      <c r="N65" s="1">
        <f>IF(tblDowntime[[#This Row],[Failure Type]]="Production",tblDowntime[[#This Row],[Downtime Hours]],"")</f>
        <v/>
      </c>
      <c r="O65">
        <f>IF(tblDowntime[[#This Row],[Production Downtime Hours]]="","",tblDowntime[[#This Row],[Equipment ID]])</f>
        <v/>
      </c>
      <c r="P65" s="10" t="n"/>
    </row>
    <row r="66">
      <c r="B66">
        <f t="array" ref="B66">_xlfn.XLOOKUP(C66,INDIRECT("tblEquipment[Equipment ID]"),INDIRECT("tblEquipment[Production Department]"),"")</f>
        <v/>
      </c>
      <c r="D66">
        <f t="array" ref="D66">_xlfn.XLOOKUP(C66,INDIRECT("tblEquipment[Equipment ID]"),INDIRECT("tblEquipment[Equipment Name]"),"")</f>
        <v/>
      </c>
      <c r="F66" s="16" t="n"/>
      <c r="G66" s="16" t="n"/>
      <c r="H66" s="1">
        <f>IF(OR(F66=0,G66=0),"",(G66-F66)*24)</f>
        <v/>
      </c>
      <c r="I66" s="10" t="n"/>
      <c r="J66" s="1">
        <f>IF(OR(tblDowntime[[#This Row],[Failure Type]]="Sawshop",tblDowntime[[#This Row],[Failure Type]]="Electrical",tblDowntime[[#This Row],[Failure Type]]="Mechanical"),tblDowntime[[#This Row],[Downtime Hours]],"")</f>
        <v/>
      </c>
      <c r="K66" s="10" t="n"/>
      <c r="L66" s="10" t="n"/>
      <c r="M66">
        <f>IF(tblDowntime[[#This Row],[Maintenance Downtime Hours]]="","",tblDowntime[[#This Row],[Equipment ID]])</f>
        <v/>
      </c>
      <c r="N66" s="1">
        <f>IF(tblDowntime[[#This Row],[Failure Type]]="Production",tblDowntime[[#This Row],[Downtime Hours]],"")</f>
        <v/>
      </c>
      <c r="O66">
        <f>IF(tblDowntime[[#This Row],[Production Downtime Hours]]="","",tblDowntime[[#This Row],[Equipment ID]])</f>
        <v/>
      </c>
      <c r="P66" s="10" t="n"/>
    </row>
    <row r="67">
      <c r="B67">
        <f t="array" ref="B67">_xlfn.XLOOKUP(C67,INDIRECT("tblEquipment[Equipment ID]"),INDIRECT("tblEquipment[Production Department]"),"")</f>
        <v/>
      </c>
      <c r="D67">
        <f t="array" ref="D67">_xlfn.XLOOKUP(C67,INDIRECT("tblEquipment[Equipment ID]"),INDIRECT("tblEquipment[Equipment Name]"),"")</f>
        <v/>
      </c>
      <c r="F67" s="16" t="n"/>
      <c r="G67" s="16" t="n"/>
      <c r="H67" s="1">
        <f>IF(OR(F67=0,G67=0),"",(G67-F67)*24)</f>
        <v/>
      </c>
      <c r="I67" s="10" t="n"/>
      <c r="J67" s="1">
        <f>IF(OR(tblDowntime[[#This Row],[Failure Type]]="Sawshop",tblDowntime[[#This Row],[Failure Type]]="Electrical",tblDowntime[[#This Row],[Failure Type]]="Mechanical"),tblDowntime[[#This Row],[Downtime Hours]],"")</f>
        <v/>
      </c>
      <c r="K67" s="10" t="n"/>
      <c r="L67" s="10" t="n"/>
      <c r="M67">
        <f>IF(tblDowntime[[#This Row],[Maintenance Downtime Hours]]="","",tblDowntime[[#This Row],[Equipment ID]])</f>
        <v/>
      </c>
      <c r="N67" s="1">
        <f>IF(tblDowntime[[#This Row],[Failure Type]]="Production",tblDowntime[[#This Row],[Downtime Hours]],"")</f>
        <v/>
      </c>
      <c r="O67">
        <f>IF(tblDowntime[[#This Row],[Production Downtime Hours]]="","",tblDowntime[[#This Row],[Equipment ID]])</f>
        <v/>
      </c>
      <c r="P67" s="10" t="n"/>
    </row>
    <row r="68">
      <c r="B68">
        <f t="array" ref="B68">_xlfn.XLOOKUP(C68,INDIRECT("tblEquipment[Equipment ID]"),INDIRECT("tblEquipment[Production Department]"),"")</f>
        <v/>
      </c>
      <c r="D68">
        <f t="array" ref="D68">_xlfn.XLOOKUP(C68,INDIRECT("tblEquipment[Equipment ID]"),INDIRECT("tblEquipment[Equipment Name]"),"")</f>
        <v/>
      </c>
      <c r="F68" s="16" t="n"/>
      <c r="G68" s="16" t="n"/>
      <c r="H68" s="1">
        <f>IF(OR(F68=0,G68=0),"",(G68-F68)*24)</f>
        <v/>
      </c>
      <c r="I68" s="10" t="n"/>
      <c r="J68" s="1">
        <f>IF(OR(tblDowntime[[#This Row],[Failure Type]]="Sawshop",tblDowntime[[#This Row],[Failure Type]]="Electrical",tblDowntime[[#This Row],[Failure Type]]="Mechanical"),tblDowntime[[#This Row],[Downtime Hours]],"")</f>
        <v/>
      </c>
      <c r="K68" s="10" t="n"/>
      <c r="L68" s="10" t="n"/>
      <c r="M68">
        <f>IF(tblDowntime[[#This Row],[Maintenance Downtime Hours]]="","",tblDowntime[[#This Row],[Equipment ID]])</f>
        <v/>
      </c>
      <c r="N68" s="1">
        <f>IF(tblDowntime[[#This Row],[Failure Type]]="Production",tblDowntime[[#This Row],[Downtime Hours]],"")</f>
        <v/>
      </c>
      <c r="O68">
        <f>IF(tblDowntime[[#This Row],[Production Downtime Hours]]="","",tblDowntime[[#This Row],[Equipment ID]])</f>
        <v/>
      </c>
      <c r="P68" s="10" t="n"/>
    </row>
    <row r="69">
      <c r="B69">
        <f t="array" ref="B69">_xlfn.XLOOKUP(C69,INDIRECT("tblEquipment[Equipment ID]"),INDIRECT("tblEquipment[Production Department]"),"")</f>
        <v/>
      </c>
      <c r="D69">
        <f t="array" ref="D69">_xlfn.XLOOKUP(C69,INDIRECT("tblEquipment[Equipment ID]"),INDIRECT("tblEquipment[Equipment Name]"),"")</f>
        <v/>
      </c>
      <c r="F69" s="16" t="n"/>
      <c r="G69" s="16" t="n"/>
      <c r="H69" s="1">
        <f>IF(OR(F69=0,G69=0),"",(G69-F69)*24)</f>
        <v/>
      </c>
      <c r="I69" s="10" t="n"/>
      <c r="J69" s="1">
        <f>IF(OR(tblDowntime[[#This Row],[Failure Type]]="Sawshop",tblDowntime[[#This Row],[Failure Type]]="Electrical",tblDowntime[[#This Row],[Failure Type]]="Mechanical"),tblDowntime[[#This Row],[Downtime Hours]],"")</f>
        <v/>
      </c>
      <c r="K69" s="10" t="n"/>
      <c r="L69" s="10" t="n"/>
      <c r="M69">
        <f>IF(tblDowntime[[#This Row],[Maintenance Downtime Hours]]="","",tblDowntime[[#This Row],[Equipment ID]])</f>
        <v/>
      </c>
      <c r="N69" s="1">
        <f>IF(tblDowntime[[#This Row],[Failure Type]]="Production",tblDowntime[[#This Row],[Downtime Hours]],"")</f>
        <v/>
      </c>
      <c r="O69">
        <f>IF(tblDowntime[[#This Row],[Production Downtime Hours]]="","",tblDowntime[[#This Row],[Equipment ID]])</f>
        <v/>
      </c>
      <c r="P69" s="10" t="n"/>
    </row>
    <row r="70">
      <c r="B70">
        <f t="array" ref="B70">_xlfn.XLOOKUP(C70,INDIRECT("tblEquipment[Equipment ID]"),INDIRECT("tblEquipment[Production Department]"),"")</f>
        <v/>
      </c>
      <c r="D70">
        <f t="array" ref="D70">_xlfn.XLOOKUP(C70,INDIRECT("tblEquipment[Equipment ID]"),INDIRECT("tblEquipment[Equipment Name]"),"")</f>
        <v/>
      </c>
      <c r="F70" s="16" t="n"/>
      <c r="G70" s="16" t="n"/>
      <c r="H70" s="1">
        <f>IF(OR(F70=0,G70=0),"",(G70-F70)*24)</f>
        <v/>
      </c>
      <c r="I70" s="10" t="n"/>
      <c r="J70" s="1">
        <f>IF(OR(tblDowntime[[#This Row],[Failure Type]]="Sawshop",tblDowntime[[#This Row],[Failure Type]]="Electrical",tblDowntime[[#This Row],[Failure Type]]="Mechanical"),tblDowntime[[#This Row],[Downtime Hours]],"")</f>
        <v/>
      </c>
      <c r="K70" s="10" t="n"/>
      <c r="L70" s="10" t="n"/>
      <c r="M70">
        <f>IF(tblDowntime[[#This Row],[Maintenance Downtime Hours]]="","",tblDowntime[[#This Row],[Equipment ID]])</f>
        <v/>
      </c>
      <c r="N70" s="1">
        <f>IF(tblDowntime[[#This Row],[Failure Type]]="Production",tblDowntime[[#This Row],[Downtime Hours]],"")</f>
        <v/>
      </c>
      <c r="O70">
        <f>IF(tblDowntime[[#This Row],[Production Downtime Hours]]="","",tblDowntime[[#This Row],[Equipment ID]])</f>
        <v/>
      </c>
      <c r="P70" s="10" t="n"/>
    </row>
    <row r="71">
      <c r="B71">
        <f t="array" ref="B71">_xlfn.XLOOKUP(C71,INDIRECT("tblEquipment[Equipment ID]"),INDIRECT("tblEquipment[Production Department]"),"")</f>
        <v/>
      </c>
      <c r="D71">
        <f t="array" ref="D71">_xlfn.XLOOKUP(C71,INDIRECT("tblEquipment[Equipment ID]"),INDIRECT("tblEquipment[Equipment Name]"),"")</f>
        <v/>
      </c>
      <c r="F71" s="16" t="n"/>
      <c r="G71" s="16" t="n"/>
      <c r="H71" s="1">
        <f>IF(OR(F71=0,G71=0),"",(G71-F71)*24)</f>
        <v/>
      </c>
      <c r="I71" s="10" t="n"/>
      <c r="J71" s="1">
        <f>IF(OR(tblDowntime[[#This Row],[Failure Type]]="Sawshop",tblDowntime[[#This Row],[Failure Type]]="Electrical",tblDowntime[[#This Row],[Failure Type]]="Mechanical"),tblDowntime[[#This Row],[Downtime Hours]],"")</f>
        <v/>
      </c>
      <c r="K71" s="10" t="n"/>
      <c r="L71" s="10" t="n"/>
      <c r="M71">
        <f>IF(tblDowntime[[#This Row],[Maintenance Downtime Hours]]="","",tblDowntime[[#This Row],[Equipment ID]])</f>
        <v/>
      </c>
      <c r="N71" s="1">
        <f>IF(tblDowntime[[#This Row],[Failure Type]]="Production",tblDowntime[[#This Row],[Downtime Hours]],"")</f>
        <v/>
      </c>
      <c r="O71">
        <f>IF(tblDowntime[[#This Row],[Production Downtime Hours]]="","",tblDowntime[[#This Row],[Equipment ID]])</f>
        <v/>
      </c>
      <c r="P71" s="10" t="n"/>
    </row>
    <row r="72">
      <c r="B72">
        <f t="array" ref="B72">_xlfn.XLOOKUP(C72,INDIRECT("tblEquipment[Equipment ID]"),INDIRECT("tblEquipment[Production Department]"),"")</f>
        <v/>
      </c>
      <c r="D72">
        <f t="array" ref="D72">_xlfn.XLOOKUP(C72,INDIRECT("tblEquipment[Equipment ID]"),INDIRECT("tblEquipment[Equipment Name]"),"")</f>
        <v/>
      </c>
      <c r="F72" s="16" t="n"/>
      <c r="G72" s="16" t="n"/>
      <c r="H72" s="1">
        <f>IF(OR(F72=0,G72=0),"",(G72-F72)*24)</f>
        <v/>
      </c>
      <c r="I72" s="10" t="n"/>
      <c r="J72" s="1">
        <f>IF(OR(tblDowntime[[#This Row],[Failure Type]]="Sawshop",tblDowntime[[#This Row],[Failure Type]]="Electrical",tblDowntime[[#This Row],[Failure Type]]="Mechanical"),tblDowntime[[#This Row],[Downtime Hours]],"")</f>
        <v/>
      </c>
      <c r="K72" s="10" t="n"/>
      <c r="L72" s="10" t="n"/>
      <c r="M72">
        <f>IF(tblDowntime[[#This Row],[Maintenance Downtime Hours]]="","",tblDowntime[[#This Row],[Equipment ID]])</f>
        <v/>
      </c>
      <c r="N72" s="1">
        <f>IF(tblDowntime[[#This Row],[Failure Type]]="Production",tblDowntime[[#This Row],[Downtime Hours]],"")</f>
        <v/>
      </c>
      <c r="O72">
        <f>IF(tblDowntime[[#This Row],[Production Downtime Hours]]="","",tblDowntime[[#This Row],[Equipment ID]])</f>
        <v/>
      </c>
      <c r="P72" s="10" t="n"/>
    </row>
    <row r="73">
      <c r="B73">
        <f t="array" ref="B73">_xlfn.XLOOKUP(C73,INDIRECT("tblEquipment[Equipment ID]"),INDIRECT("tblEquipment[Production Department]"),"")</f>
        <v/>
      </c>
      <c r="D73">
        <f t="array" ref="D73">_xlfn.XLOOKUP(C73,INDIRECT("tblEquipment[Equipment ID]"),INDIRECT("tblEquipment[Equipment Name]"),"")</f>
        <v/>
      </c>
      <c r="F73" s="16" t="n"/>
      <c r="G73" s="16" t="n"/>
      <c r="H73" s="1">
        <f>IF(OR(F73=0,G73=0),"",(G73-F73)*24)</f>
        <v/>
      </c>
      <c r="I73" s="10" t="n"/>
      <c r="J73" s="1">
        <f>IF(OR(tblDowntime[[#This Row],[Failure Type]]="Sawshop",tblDowntime[[#This Row],[Failure Type]]="Electrical",tblDowntime[[#This Row],[Failure Type]]="Mechanical"),tblDowntime[[#This Row],[Downtime Hours]],"")</f>
        <v/>
      </c>
      <c r="K73" s="10" t="n"/>
      <c r="L73" s="10" t="n"/>
      <c r="M73">
        <f>IF(tblDowntime[[#This Row],[Maintenance Downtime Hours]]="","",tblDowntime[[#This Row],[Equipment ID]])</f>
        <v/>
      </c>
      <c r="N73" s="1">
        <f>IF(tblDowntime[[#This Row],[Failure Type]]="Production",tblDowntime[[#This Row],[Downtime Hours]],"")</f>
        <v/>
      </c>
      <c r="O73">
        <f>IF(tblDowntime[[#This Row],[Production Downtime Hours]]="","",tblDowntime[[#This Row],[Equipment ID]])</f>
        <v/>
      </c>
      <c r="P73" s="10" t="n"/>
    </row>
    <row r="74">
      <c r="B74">
        <f t="array" ref="B74">_xlfn.XLOOKUP(C74,INDIRECT("tblEquipment[Equipment ID]"),INDIRECT("tblEquipment[Production Department]"),"")</f>
        <v/>
      </c>
      <c r="D74">
        <f t="array" ref="D74">_xlfn.XLOOKUP(C74,INDIRECT("tblEquipment[Equipment ID]"),INDIRECT("tblEquipment[Equipment Name]"),"")</f>
        <v/>
      </c>
      <c r="F74" s="16" t="n"/>
      <c r="G74" s="16" t="n"/>
      <c r="H74" s="1">
        <f>IF(OR(F74=0,G74=0),"",(G74-F74)*24)</f>
        <v/>
      </c>
      <c r="I74" s="10" t="n"/>
      <c r="J74" s="1">
        <f>IF(OR(tblDowntime[[#This Row],[Failure Type]]="Sawshop",tblDowntime[[#This Row],[Failure Type]]="Electrical",tblDowntime[[#This Row],[Failure Type]]="Mechanical"),tblDowntime[[#This Row],[Downtime Hours]],"")</f>
        <v/>
      </c>
      <c r="K74" s="10" t="n"/>
      <c r="L74" s="10" t="n"/>
      <c r="M74">
        <f>IF(tblDowntime[[#This Row],[Maintenance Downtime Hours]]="","",tblDowntime[[#This Row],[Equipment ID]])</f>
        <v/>
      </c>
      <c r="N74" s="1">
        <f>IF(tblDowntime[[#This Row],[Failure Type]]="Production",tblDowntime[[#This Row],[Downtime Hours]],"")</f>
        <v/>
      </c>
      <c r="O74">
        <f>IF(tblDowntime[[#This Row],[Production Downtime Hours]]="","",tblDowntime[[#This Row],[Equipment ID]])</f>
        <v/>
      </c>
      <c r="P74" s="10" t="n"/>
    </row>
    <row r="75">
      <c r="B75">
        <f t="array" ref="B75">_xlfn.XLOOKUP(C75,INDIRECT("tblEquipment[Equipment ID]"),INDIRECT("tblEquipment[Production Department]"),"")</f>
        <v/>
      </c>
      <c r="D75">
        <f t="array" ref="D75">_xlfn.XLOOKUP(C75,INDIRECT("tblEquipment[Equipment ID]"),INDIRECT("tblEquipment[Equipment Name]"),"")</f>
        <v/>
      </c>
      <c r="F75" s="16" t="n"/>
      <c r="G75" s="16" t="n"/>
      <c r="H75" s="1">
        <f>IF(OR(F75=0,G75=0),"",(G75-F75)*24)</f>
        <v/>
      </c>
      <c r="I75" s="10" t="n"/>
      <c r="J75" s="1">
        <f>IF(OR(tblDowntime[[#This Row],[Failure Type]]="Sawshop",tblDowntime[[#This Row],[Failure Type]]="Electrical",tblDowntime[[#This Row],[Failure Type]]="Mechanical"),tblDowntime[[#This Row],[Downtime Hours]],"")</f>
        <v/>
      </c>
      <c r="K75" s="10" t="n"/>
      <c r="L75" s="10" t="n"/>
      <c r="M75">
        <f>IF(tblDowntime[[#This Row],[Maintenance Downtime Hours]]="","",tblDowntime[[#This Row],[Equipment ID]])</f>
        <v/>
      </c>
      <c r="N75" s="1">
        <f>IF(tblDowntime[[#This Row],[Failure Type]]="Production",tblDowntime[[#This Row],[Downtime Hours]],"")</f>
        <v/>
      </c>
      <c r="O75">
        <f>IF(tblDowntime[[#This Row],[Production Downtime Hours]]="","",tblDowntime[[#This Row],[Equipment ID]])</f>
        <v/>
      </c>
      <c r="P75" s="10" t="n"/>
    </row>
    <row r="76">
      <c r="B76">
        <f t="array" ref="B76">_xlfn.XLOOKUP(C76,INDIRECT("tblEquipment[Equipment ID]"),INDIRECT("tblEquipment[Production Department]"),"")</f>
        <v/>
      </c>
      <c r="D76">
        <f t="array" ref="D76">_xlfn.XLOOKUP(C76,INDIRECT("tblEquipment[Equipment ID]"),INDIRECT("tblEquipment[Equipment Name]"),"")</f>
        <v/>
      </c>
      <c r="F76" s="16" t="n"/>
      <c r="G76" s="16" t="n"/>
      <c r="H76" s="1">
        <f>IF(OR(F76=0,G76=0),"",(G76-F76)*24)</f>
        <v/>
      </c>
      <c r="I76" s="10" t="n"/>
      <c r="J76" s="1">
        <f>IF(OR(tblDowntime[[#This Row],[Failure Type]]="Sawshop",tblDowntime[[#This Row],[Failure Type]]="Electrical",tblDowntime[[#This Row],[Failure Type]]="Mechanical"),tblDowntime[[#This Row],[Downtime Hours]],"")</f>
        <v/>
      </c>
      <c r="K76" s="10" t="n"/>
      <c r="L76" s="10" t="n"/>
      <c r="M76">
        <f>IF(tblDowntime[[#This Row],[Maintenance Downtime Hours]]="","",tblDowntime[[#This Row],[Equipment ID]])</f>
        <v/>
      </c>
      <c r="N76" s="1">
        <f>IF(tblDowntime[[#This Row],[Failure Type]]="Production",tblDowntime[[#This Row],[Downtime Hours]],"")</f>
        <v/>
      </c>
      <c r="O76">
        <f>IF(tblDowntime[[#This Row],[Production Downtime Hours]]="","",tblDowntime[[#This Row],[Equipment ID]])</f>
        <v/>
      </c>
      <c r="P76" s="10" t="n"/>
    </row>
    <row r="77">
      <c r="B77">
        <f t="array" ref="B77">_xlfn.XLOOKUP(C77,INDIRECT("tblEquipment[Equipment ID]"),INDIRECT("tblEquipment[Production Department]"),"")</f>
        <v/>
      </c>
      <c r="D77">
        <f t="array" ref="D77">_xlfn.XLOOKUP(C77,INDIRECT("tblEquipment[Equipment ID]"),INDIRECT("tblEquipment[Equipment Name]"),"")</f>
        <v/>
      </c>
      <c r="F77" s="16" t="n"/>
      <c r="G77" s="16" t="n"/>
      <c r="H77" s="1">
        <f>IF(OR(F77=0,G77=0),"",(G77-F77)*24)</f>
        <v/>
      </c>
      <c r="I77" s="10" t="n"/>
      <c r="J77" s="1">
        <f>IF(OR(tblDowntime[[#This Row],[Failure Type]]="Sawshop",tblDowntime[[#This Row],[Failure Type]]="Electrical",tblDowntime[[#This Row],[Failure Type]]="Mechanical"),tblDowntime[[#This Row],[Downtime Hours]],"")</f>
        <v/>
      </c>
      <c r="K77" s="10" t="n"/>
      <c r="L77" s="10" t="n"/>
      <c r="M77">
        <f>IF(tblDowntime[[#This Row],[Maintenance Downtime Hours]]="","",tblDowntime[[#This Row],[Equipment ID]])</f>
        <v/>
      </c>
      <c r="N77" s="1">
        <f>IF(tblDowntime[[#This Row],[Failure Type]]="Production",tblDowntime[[#This Row],[Downtime Hours]],"")</f>
        <v/>
      </c>
      <c r="O77">
        <f>IF(tblDowntime[[#This Row],[Production Downtime Hours]]="","",tblDowntime[[#This Row],[Equipment ID]])</f>
        <v/>
      </c>
      <c r="P77" s="10" t="n"/>
    </row>
    <row r="78">
      <c r="B78">
        <f t="array" ref="B78">_xlfn.XLOOKUP(C78,INDIRECT("tblEquipment[Equipment ID]"),INDIRECT("tblEquipment[Production Department]"),"")</f>
        <v/>
      </c>
      <c r="D78">
        <f t="array" ref="D78">_xlfn.XLOOKUP(C78,INDIRECT("tblEquipment[Equipment ID]"),INDIRECT("tblEquipment[Equipment Name]"),"")</f>
        <v/>
      </c>
      <c r="F78" s="16" t="n"/>
      <c r="G78" s="16" t="n"/>
      <c r="H78" s="1">
        <f>IF(OR(F78=0,G78=0),"",(G78-F78)*24)</f>
        <v/>
      </c>
      <c r="I78" s="10" t="n"/>
      <c r="J78" s="1">
        <f>IF(OR(tblDowntime[[#This Row],[Failure Type]]="Sawshop",tblDowntime[[#This Row],[Failure Type]]="Electrical",tblDowntime[[#This Row],[Failure Type]]="Mechanical"),tblDowntime[[#This Row],[Downtime Hours]],"")</f>
        <v/>
      </c>
      <c r="K78" s="10" t="n"/>
      <c r="L78" s="10" t="n"/>
      <c r="M78">
        <f>IF(tblDowntime[[#This Row],[Maintenance Downtime Hours]]="","",tblDowntime[[#This Row],[Equipment ID]])</f>
        <v/>
      </c>
      <c r="N78" s="1">
        <f>IF(tblDowntime[[#This Row],[Failure Type]]="Production",tblDowntime[[#This Row],[Downtime Hours]],"")</f>
        <v/>
      </c>
      <c r="O78">
        <f>IF(tblDowntime[[#This Row],[Production Downtime Hours]]="","",tblDowntime[[#This Row],[Equipment ID]])</f>
        <v/>
      </c>
      <c r="P78" s="10" t="n"/>
    </row>
    <row r="79">
      <c r="B79">
        <f t="array" ref="B79">_xlfn.XLOOKUP(C79,INDIRECT("tblEquipment[Equipment ID]"),INDIRECT("tblEquipment[Production Department]"),"")</f>
        <v/>
      </c>
      <c r="D79">
        <f t="array" ref="D79">_xlfn.XLOOKUP(C79,INDIRECT("tblEquipment[Equipment ID]"),INDIRECT("tblEquipment[Equipment Name]"),"")</f>
        <v/>
      </c>
      <c r="F79" s="16" t="n"/>
      <c r="G79" s="16" t="n"/>
      <c r="H79" s="1">
        <f>IF(OR(F79=0,G79=0),"",(G79-F79)*24)</f>
        <v/>
      </c>
      <c r="I79" s="10" t="n"/>
      <c r="J79" s="1">
        <f>IF(OR(tblDowntime[[#This Row],[Failure Type]]="Sawshop",tblDowntime[[#This Row],[Failure Type]]="Electrical",tblDowntime[[#This Row],[Failure Type]]="Mechanical"),tblDowntime[[#This Row],[Downtime Hours]],"")</f>
        <v/>
      </c>
      <c r="K79" s="10" t="n"/>
      <c r="L79" s="10" t="n"/>
      <c r="M79">
        <f>IF(tblDowntime[[#This Row],[Maintenance Downtime Hours]]="","",tblDowntime[[#This Row],[Equipment ID]])</f>
        <v/>
      </c>
      <c r="N79" s="1">
        <f>IF(tblDowntime[[#This Row],[Failure Type]]="Production",tblDowntime[[#This Row],[Downtime Hours]],"")</f>
        <v/>
      </c>
      <c r="O79">
        <f>IF(tblDowntime[[#This Row],[Production Downtime Hours]]="","",tblDowntime[[#This Row],[Equipment ID]])</f>
        <v/>
      </c>
      <c r="P79" s="10" t="n"/>
    </row>
    <row r="80">
      <c r="B80">
        <f t="array" ref="B80">_xlfn.XLOOKUP(C80,INDIRECT("tblEquipment[Equipment ID]"),INDIRECT("tblEquipment[Production Department]"),"")</f>
        <v/>
      </c>
      <c r="D80">
        <f t="array" ref="D80">_xlfn.XLOOKUP(C80,INDIRECT("tblEquipment[Equipment ID]"),INDIRECT("tblEquipment[Equipment Name]"),"")</f>
        <v/>
      </c>
      <c r="F80" s="16" t="n"/>
      <c r="G80" s="16" t="n"/>
      <c r="H80" s="1">
        <f>IF(OR(F80=0,G80=0),"",(G80-F80)*24)</f>
        <v/>
      </c>
      <c r="I80" s="10" t="n"/>
      <c r="J80" s="1">
        <f>IF(OR(tblDowntime[[#This Row],[Failure Type]]="Sawshop",tblDowntime[[#This Row],[Failure Type]]="Electrical",tblDowntime[[#This Row],[Failure Type]]="Mechanical"),tblDowntime[[#This Row],[Downtime Hours]],"")</f>
        <v/>
      </c>
      <c r="K80" s="10" t="n"/>
      <c r="L80" s="10" t="n"/>
      <c r="M80">
        <f>IF(tblDowntime[[#This Row],[Maintenance Downtime Hours]]="","",tblDowntime[[#This Row],[Equipment ID]])</f>
        <v/>
      </c>
      <c r="N80" s="1">
        <f>IF(tblDowntime[[#This Row],[Failure Type]]="Production",tblDowntime[[#This Row],[Downtime Hours]],"")</f>
        <v/>
      </c>
      <c r="O80">
        <f>IF(tblDowntime[[#This Row],[Production Downtime Hours]]="","",tblDowntime[[#This Row],[Equipment ID]])</f>
        <v/>
      </c>
      <c r="P80" s="10" t="n"/>
    </row>
    <row r="81">
      <c r="B81">
        <f t="array" ref="B81">_xlfn.XLOOKUP(C81,INDIRECT("tblEquipment[Equipment ID]"),INDIRECT("tblEquipment[Production Department]"),"")</f>
        <v/>
      </c>
      <c r="D81">
        <f t="array" ref="D81">_xlfn.XLOOKUP(C81,INDIRECT("tblEquipment[Equipment ID]"),INDIRECT("tblEquipment[Equipment Name]"),"")</f>
        <v/>
      </c>
      <c r="F81" s="16" t="n"/>
      <c r="G81" s="16" t="n"/>
      <c r="H81" s="1">
        <f>IF(OR(F81=0,G81=0),"",(G81-F81)*24)</f>
        <v/>
      </c>
      <c r="I81" s="10" t="n"/>
      <c r="J81" s="1">
        <f>IF(OR(tblDowntime[[#This Row],[Failure Type]]="Sawshop",tblDowntime[[#This Row],[Failure Type]]="Electrical",tblDowntime[[#This Row],[Failure Type]]="Mechanical"),tblDowntime[[#This Row],[Downtime Hours]],"")</f>
        <v/>
      </c>
      <c r="K81" s="10" t="n"/>
      <c r="L81" s="10" t="n"/>
      <c r="M81">
        <f>IF(tblDowntime[[#This Row],[Maintenance Downtime Hours]]="","",tblDowntime[[#This Row],[Equipment ID]])</f>
        <v/>
      </c>
      <c r="N81" s="1">
        <f>IF(tblDowntime[[#This Row],[Failure Type]]="Production",tblDowntime[[#This Row],[Downtime Hours]],"")</f>
        <v/>
      </c>
      <c r="O81">
        <f>IF(tblDowntime[[#This Row],[Production Downtime Hours]]="","",tblDowntime[[#This Row],[Equipment ID]])</f>
        <v/>
      </c>
      <c r="P81" s="10" t="n"/>
    </row>
    <row r="82">
      <c r="B82">
        <f t="array" ref="B82">_xlfn.XLOOKUP(C82,INDIRECT("tblEquipment[Equipment ID]"),INDIRECT("tblEquipment[Production Department]"),"")</f>
        <v/>
      </c>
      <c r="D82">
        <f t="array" ref="D82">_xlfn.XLOOKUP(C82,INDIRECT("tblEquipment[Equipment ID]"),INDIRECT("tblEquipment[Equipment Name]"),"")</f>
        <v/>
      </c>
      <c r="F82" s="16" t="n"/>
      <c r="G82" s="16" t="n"/>
      <c r="H82" s="1">
        <f>IF(OR(F82=0,G82=0),"",(G82-F82)*24)</f>
        <v/>
      </c>
      <c r="I82" s="10" t="n"/>
      <c r="J82" s="1">
        <f>IF(OR(tblDowntime[[#This Row],[Failure Type]]="Sawshop",tblDowntime[[#This Row],[Failure Type]]="Electrical",tblDowntime[[#This Row],[Failure Type]]="Mechanical"),tblDowntime[[#This Row],[Downtime Hours]],"")</f>
        <v/>
      </c>
      <c r="K82" s="10" t="n"/>
      <c r="L82" s="10" t="n"/>
      <c r="M82">
        <f>IF(tblDowntime[[#This Row],[Maintenance Downtime Hours]]="","",tblDowntime[[#This Row],[Equipment ID]])</f>
        <v/>
      </c>
      <c r="N82" s="1">
        <f>IF(tblDowntime[[#This Row],[Failure Type]]="Production",tblDowntime[[#This Row],[Downtime Hours]],"")</f>
        <v/>
      </c>
      <c r="O82">
        <f>IF(tblDowntime[[#This Row],[Production Downtime Hours]]="","",tblDowntime[[#This Row],[Equipment ID]])</f>
        <v/>
      </c>
      <c r="P82" s="10" t="n"/>
    </row>
    <row r="83">
      <c r="B83">
        <f t="array" ref="B83">_xlfn.XLOOKUP(C83,INDIRECT("tblEquipment[Equipment ID]"),INDIRECT("tblEquipment[Production Department]"),"")</f>
        <v/>
      </c>
      <c r="D83">
        <f t="array" ref="D83">_xlfn.XLOOKUP(C83,INDIRECT("tblEquipment[Equipment ID]"),INDIRECT("tblEquipment[Equipment Name]"),"")</f>
        <v/>
      </c>
      <c r="F83" s="16" t="n"/>
      <c r="G83" s="16" t="n"/>
      <c r="H83" s="1">
        <f>IF(OR(F83=0,G83=0),"",(G83-F83)*24)</f>
        <v/>
      </c>
      <c r="I83" s="10" t="n"/>
      <c r="J83" s="1">
        <f>IF(OR(tblDowntime[[#This Row],[Failure Type]]="Sawshop",tblDowntime[[#This Row],[Failure Type]]="Electrical",tblDowntime[[#This Row],[Failure Type]]="Mechanical"),tblDowntime[[#This Row],[Downtime Hours]],"")</f>
        <v/>
      </c>
      <c r="K83" s="10" t="n"/>
      <c r="L83" s="10" t="n"/>
      <c r="M83">
        <f>IF(tblDowntime[[#This Row],[Maintenance Downtime Hours]]="","",tblDowntime[[#This Row],[Equipment ID]])</f>
        <v/>
      </c>
      <c r="N83" s="1">
        <f>IF(tblDowntime[[#This Row],[Failure Type]]="Production",tblDowntime[[#This Row],[Downtime Hours]],"")</f>
        <v/>
      </c>
      <c r="O83">
        <f>IF(tblDowntime[[#This Row],[Production Downtime Hours]]="","",tblDowntime[[#This Row],[Equipment ID]])</f>
        <v/>
      </c>
      <c r="P83" s="10" t="n"/>
    </row>
    <row r="84">
      <c r="B84">
        <f t="array" ref="B84">_xlfn.XLOOKUP(C84,INDIRECT("tblEquipment[Equipment ID]"),INDIRECT("tblEquipment[Production Department]"),"")</f>
        <v/>
      </c>
      <c r="D84">
        <f t="array" ref="D84">_xlfn.XLOOKUP(C84,INDIRECT("tblEquipment[Equipment ID]"),INDIRECT("tblEquipment[Equipment Name]"),"")</f>
        <v/>
      </c>
      <c r="F84" s="16" t="n"/>
      <c r="G84" s="16" t="n"/>
      <c r="H84" s="1">
        <f>IF(OR(F84=0,G84=0),"",(G84-F84)*24)</f>
        <v/>
      </c>
      <c r="I84" s="10" t="n"/>
      <c r="J84" s="1">
        <f>IF(OR(tblDowntime[[#This Row],[Failure Type]]="Sawshop",tblDowntime[[#This Row],[Failure Type]]="Electrical",tblDowntime[[#This Row],[Failure Type]]="Mechanical"),tblDowntime[[#This Row],[Downtime Hours]],"")</f>
        <v/>
      </c>
      <c r="K84" s="10" t="n"/>
      <c r="L84" s="10" t="n"/>
      <c r="M84">
        <f>IF(tblDowntime[[#This Row],[Maintenance Downtime Hours]]="","",tblDowntime[[#This Row],[Equipment ID]])</f>
        <v/>
      </c>
      <c r="N84" s="1">
        <f>IF(tblDowntime[[#This Row],[Failure Type]]="Production",tblDowntime[[#This Row],[Downtime Hours]],"")</f>
        <v/>
      </c>
      <c r="O84">
        <f>IF(tblDowntime[[#This Row],[Production Downtime Hours]]="","",tblDowntime[[#This Row],[Equipment ID]])</f>
        <v/>
      </c>
      <c r="P84" s="10" t="n"/>
    </row>
    <row r="85">
      <c r="B85">
        <f t="array" ref="B85">_xlfn.XLOOKUP(C85,INDIRECT("tblEquipment[Equipment ID]"),INDIRECT("tblEquipment[Production Department]"),"")</f>
        <v/>
      </c>
      <c r="D85">
        <f t="array" ref="D85">_xlfn.XLOOKUP(C85,INDIRECT("tblEquipment[Equipment ID]"),INDIRECT("tblEquipment[Equipment Name]"),"")</f>
        <v/>
      </c>
      <c r="F85" s="16" t="n"/>
      <c r="G85" s="16" t="n"/>
      <c r="H85" s="1">
        <f>IF(OR(F85=0,G85=0),"",(G85-F85)*24)</f>
        <v/>
      </c>
      <c r="I85" s="10" t="n"/>
      <c r="J85" s="1">
        <f>IF(OR(tblDowntime[[#This Row],[Failure Type]]="Sawshop",tblDowntime[[#This Row],[Failure Type]]="Electrical",tblDowntime[[#This Row],[Failure Type]]="Mechanical"),tblDowntime[[#This Row],[Downtime Hours]],"")</f>
        <v/>
      </c>
      <c r="K85" s="10" t="n"/>
      <c r="L85" s="10" t="n"/>
      <c r="M85">
        <f>IF(tblDowntime[[#This Row],[Maintenance Downtime Hours]]="","",tblDowntime[[#This Row],[Equipment ID]])</f>
        <v/>
      </c>
      <c r="N85" s="1">
        <f>IF(tblDowntime[[#This Row],[Failure Type]]="Production",tblDowntime[[#This Row],[Downtime Hours]],"")</f>
        <v/>
      </c>
      <c r="O85">
        <f>IF(tblDowntime[[#This Row],[Production Downtime Hours]]="","",tblDowntime[[#This Row],[Equipment ID]])</f>
        <v/>
      </c>
      <c r="P85" s="10" t="n"/>
    </row>
    <row r="86">
      <c r="B86">
        <f t="array" ref="B86">_xlfn.XLOOKUP(C86,INDIRECT("tblEquipment[Equipment ID]"),INDIRECT("tblEquipment[Production Department]"),"")</f>
        <v/>
      </c>
      <c r="D86">
        <f t="array" ref="D86">_xlfn.XLOOKUP(C86,INDIRECT("tblEquipment[Equipment ID]"),INDIRECT("tblEquipment[Equipment Name]"),"")</f>
        <v/>
      </c>
      <c r="F86" s="16" t="n"/>
      <c r="G86" s="16" t="n"/>
      <c r="H86" s="1">
        <f>IF(OR(F86=0,G86=0),"",(G86-F86)*24)</f>
        <v/>
      </c>
      <c r="I86" s="10" t="n"/>
      <c r="J86" s="1">
        <f>IF(OR(tblDowntime[[#This Row],[Failure Type]]="Sawshop",tblDowntime[[#This Row],[Failure Type]]="Electrical",tblDowntime[[#This Row],[Failure Type]]="Mechanical"),tblDowntime[[#This Row],[Downtime Hours]],"")</f>
        <v/>
      </c>
      <c r="K86" s="10" t="n"/>
      <c r="L86" s="10" t="n"/>
      <c r="M86">
        <f>IF(tblDowntime[[#This Row],[Maintenance Downtime Hours]]="","",tblDowntime[[#This Row],[Equipment ID]])</f>
        <v/>
      </c>
      <c r="N86" s="1">
        <f>IF(tblDowntime[[#This Row],[Failure Type]]="Production",tblDowntime[[#This Row],[Downtime Hours]],"")</f>
        <v/>
      </c>
      <c r="O86">
        <f>IF(tblDowntime[[#This Row],[Production Downtime Hours]]="","",tblDowntime[[#This Row],[Equipment ID]])</f>
        <v/>
      </c>
      <c r="P86" s="10" t="n"/>
    </row>
    <row r="87">
      <c r="B87">
        <f t="array" ref="B87">_xlfn.XLOOKUP(C87,INDIRECT("tblEquipment[Equipment ID]"),INDIRECT("tblEquipment[Production Department]"),"")</f>
        <v/>
      </c>
      <c r="D87">
        <f t="array" ref="D87">_xlfn.XLOOKUP(C87,INDIRECT("tblEquipment[Equipment ID]"),INDIRECT("tblEquipment[Equipment Name]"),"")</f>
        <v/>
      </c>
      <c r="F87" s="16" t="n"/>
      <c r="G87" s="16" t="n"/>
      <c r="H87" s="1">
        <f>IF(OR(F87=0,G87=0),"",(G87-F87)*24)</f>
        <v/>
      </c>
      <c r="I87" s="10" t="n"/>
      <c r="J87" s="1">
        <f>IF(OR(tblDowntime[[#This Row],[Failure Type]]="Sawshop",tblDowntime[[#This Row],[Failure Type]]="Electrical",tblDowntime[[#This Row],[Failure Type]]="Mechanical"),tblDowntime[[#This Row],[Downtime Hours]],"")</f>
        <v/>
      </c>
      <c r="K87" s="10" t="n"/>
      <c r="L87" s="10" t="n"/>
      <c r="M87">
        <f>IF(tblDowntime[[#This Row],[Maintenance Downtime Hours]]="","",tblDowntime[[#This Row],[Equipment ID]])</f>
        <v/>
      </c>
      <c r="N87" s="1">
        <f>IF(tblDowntime[[#This Row],[Failure Type]]="Production",tblDowntime[[#This Row],[Downtime Hours]],"")</f>
        <v/>
      </c>
      <c r="O87">
        <f>IF(tblDowntime[[#This Row],[Production Downtime Hours]]="","",tblDowntime[[#This Row],[Equipment ID]])</f>
        <v/>
      </c>
      <c r="P87" s="10" t="n"/>
    </row>
    <row r="88">
      <c r="B88">
        <f t="array" ref="B88">_xlfn.XLOOKUP(C88,INDIRECT("tblEquipment[Equipment ID]"),INDIRECT("tblEquipment[Production Department]"),"")</f>
        <v/>
      </c>
      <c r="D88">
        <f t="array" ref="D88">_xlfn.XLOOKUP(C88,INDIRECT("tblEquipment[Equipment ID]"),INDIRECT("tblEquipment[Equipment Name]"),"")</f>
        <v/>
      </c>
      <c r="F88" s="16" t="n"/>
      <c r="G88" s="16" t="n"/>
      <c r="H88" s="1">
        <f>IF(OR(F88=0,G88=0),"",(G88-F88)*24)</f>
        <v/>
      </c>
      <c r="I88" s="10" t="n"/>
      <c r="J88" s="1">
        <f>IF(OR(tblDowntime[[#This Row],[Failure Type]]="Sawshop",tblDowntime[[#This Row],[Failure Type]]="Electrical",tblDowntime[[#This Row],[Failure Type]]="Mechanical"),tblDowntime[[#This Row],[Downtime Hours]],"")</f>
        <v/>
      </c>
      <c r="K88" s="10" t="n"/>
      <c r="L88" s="10" t="n"/>
      <c r="M88">
        <f>IF(tblDowntime[[#This Row],[Maintenance Downtime Hours]]="","",tblDowntime[[#This Row],[Equipment ID]])</f>
        <v/>
      </c>
      <c r="N88" s="1">
        <f>IF(tblDowntime[[#This Row],[Failure Type]]="Production",tblDowntime[[#This Row],[Downtime Hours]],"")</f>
        <v/>
      </c>
      <c r="O88">
        <f>IF(tblDowntime[[#This Row],[Production Downtime Hours]]="","",tblDowntime[[#This Row],[Equipment ID]])</f>
        <v/>
      </c>
      <c r="P88" s="10" t="n"/>
    </row>
    <row r="89">
      <c r="B89">
        <f t="array" ref="B89">_xlfn.XLOOKUP(C89,INDIRECT("tblEquipment[Equipment ID]"),INDIRECT("tblEquipment[Production Department]"),"")</f>
        <v/>
      </c>
      <c r="D89">
        <f t="array" ref="D89">_xlfn.XLOOKUP(C89,INDIRECT("tblEquipment[Equipment ID]"),INDIRECT("tblEquipment[Equipment Name]"),"")</f>
        <v/>
      </c>
      <c r="F89" s="16" t="n"/>
      <c r="G89" s="16" t="n"/>
      <c r="H89" s="1">
        <f>IF(OR(F89=0,G89=0),"",(G89-F89)*24)</f>
        <v/>
      </c>
      <c r="I89" s="10" t="n"/>
      <c r="J89" s="1">
        <f>IF(OR(tblDowntime[[#This Row],[Failure Type]]="Sawshop",tblDowntime[[#This Row],[Failure Type]]="Electrical",tblDowntime[[#This Row],[Failure Type]]="Mechanical"),tblDowntime[[#This Row],[Downtime Hours]],"")</f>
        <v/>
      </c>
      <c r="K89" s="10" t="n"/>
      <c r="L89" s="10" t="n"/>
      <c r="M89">
        <f>IF(tblDowntime[[#This Row],[Maintenance Downtime Hours]]="","",tblDowntime[[#This Row],[Equipment ID]])</f>
        <v/>
      </c>
      <c r="N89" s="1">
        <f>IF(tblDowntime[[#This Row],[Failure Type]]="Production",tblDowntime[[#This Row],[Downtime Hours]],"")</f>
        <v/>
      </c>
      <c r="O89">
        <f>IF(tblDowntime[[#This Row],[Production Downtime Hours]]="","",tblDowntime[[#This Row],[Equipment ID]])</f>
        <v/>
      </c>
      <c r="P89" s="10" t="n"/>
    </row>
    <row r="90">
      <c r="B90">
        <f t="array" ref="B90">_xlfn.XLOOKUP(C90,INDIRECT("tblEquipment[Equipment ID]"),INDIRECT("tblEquipment[Production Department]"),"")</f>
        <v/>
      </c>
      <c r="D90">
        <f t="array" ref="D90">_xlfn.XLOOKUP(C90,INDIRECT("tblEquipment[Equipment ID]"),INDIRECT("tblEquipment[Equipment Name]"),"")</f>
        <v/>
      </c>
      <c r="F90" s="16" t="n"/>
      <c r="G90" s="16" t="n"/>
      <c r="H90" s="1">
        <f>IF(OR(F90=0,G90=0),"",(G90-F90)*24)</f>
        <v/>
      </c>
      <c r="I90" s="10" t="n"/>
      <c r="J90" s="1">
        <f>IF(OR(tblDowntime[[#This Row],[Failure Type]]="Sawshop",tblDowntime[[#This Row],[Failure Type]]="Electrical",tblDowntime[[#This Row],[Failure Type]]="Mechanical"),tblDowntime[[#This Row],[Downtime Hours]],"")</f>
        <v/>
      </c>
      <c r="K90" s="10" t="n"/>
      <c r="L90" s="10" t="n"/>
      <c r="M90">
        <f>IF(tblDowntime[[#This Row],[Maintenance Downtime Hours]]="","",tblDowntime[[#This Row],[Equipment ID]])</f>
        <v/>
      </c>
      <c r="N90" s="1">
        <f>IF(tblDowntime[[#This Row],[Failure Type]]="Production",tblDowntime[[#This Row],[Downtime Hours]],"")</f>
        <v/>
      </c>
      <c r="O90">
        <f>IF(tblDowntime[[#This Row],[Production Downtime Hours]]="","",tblDowntime[[#This Row],[Equipment ID]])</f>
        <v/>
      </c>
      <c r="P90" s="10" t="n"/>
    </row>
    <row r="91">
      <c r="B91">
        <f t="array" ref="B91">_xlfn.XLOOKUP(C91,INDIRECT("tblEquipment[Equipment ID]"),INDIRECT("tblEquipment[Production Department]"),"")</f>
        <v/>
      </c>
      <c r="D91">
        <f t="array" ref="D91">_xlfn.XLOOKUP(C91,INDIRECT("tblEquipment[Equipment ID]"),INDIRECT("tblEquipment[Equipment Name]"),"")</f>
        <v/>
      </c>
      <c r="F91" s="16" t="n"/>
      <c r="G91" s="16" t="n"/>
      <c r="H91" s="1">
        <f>IF(OR(F91=0,G91=0),"",(G91-F91)*24)</f>
        <v/>
      </c>
      <c r="I91" s="10" t="n"/>
      <c r="J91" s="1">
        <f>IF(OR(tblDowntime[[#This Row],[Failure Type]]="Sawshop",tblDowntime[[#This Row],[Failure Type]]="Electrical",tblDowntime[[#This Row],[Failure Type]]="Mechanical"),tblDowntime[[#This Row],[Downtime Hours]],"")</f>
        <v/>
      </c>
      <c r="K91" s="10" t="n"/>
      <c r="L91" s="10" t="n"/>
      <c r="M91">
        <f>IF(tblDowntime[[#This Row],[Maintenance Downtime Hours]]="","",tblDowntime[[#This Row],[Equipment ID]])</f>
        <v/>
      </c>
      <c r="N91" s="1">
        <f>IF(tblDowntime[[#This Row],[Failure Type]]="Production",tblDowntime[[#This Row],[Downtime Hours]],"")</f>
        <v/>
      </c>
      <c r="O91">
        <f>IF(tblDowntime[[#This Row],[Production Downtime Hours]]="","",tblDowntime[[#This Row],[Equipment ID]])</f>
        <v/>
      </c>
      <c r="P91" s="10" t="n"/>
    </row>
    <row r="92">
      <c r="B92">
        <f t="array" ref="B92">_xlfn.XLOOKUP(C92,INDIRECT("tblEquipment[Equipment ID]"),INDIRECT("tblEquipment[Production Department]"),"")</f>
        <v/>
      </c>
      <c r="D92">
        <f t="array" ref="D92">_xlfn.XLOOKUP(C92,INDIRECT("tblEquipment[Equipment ID]"),INDIRECT("tblEquipment[Equipment Name]"),"")</f>
        <v/>
      </c>
      <c r="F92" s="16" t="n"/>
      <c r="G92" s="16" t="n"/>
      <c r="H92" s="1">
        <f>IF(OR(F92=0,G92=0),"",(G92-F92)*24)</f>
        <v/>
      </c>
      <c r="I92" s="10" t="n"/>
      <c r="J92" s="1">
        <f>IF(OR(tblDowntime[[#This Row],[Failure Type]]="Sawshop",tblDowntime[[#This Row],[Failure Type]]="Electrical",tblDowntime[[#This Row],[Failure Type]]="Mechanical"),tblDowntime[[#This Row],[Downtime Hours]],"")</f>
        <v/>
      </c>
      <c r="K92" s="10" t="n"/>
      <c r="L92" s="10" t="n"/>
      <c r="M92">
        <f>IF(tblDowntime[[#This Row],[Maintenance Downtime Hours]]="","",tblDowntime[[#This Row],[Equipment ID]])</f>
        <v/>
      </c>
      <c r="N92" s="1">
        <f>IF(tblDowntime[[#This Row],[Failure Type]]="Production",tblDowntime[[#This Row],[Downtime Hours]],"")</f>
        <v/>
      </c>
      <c r="O92">
        <f>IF(tblDowntime[[#This Row],[Production Downtime Hours]]="","",tblDowntime[[#This Row],[Equipment ID]])</f>
        <v/>
      </c>
      <c r="P92" s="10" t="n"/>
    </row>
    <row r="93">
      <c r="B93">
        <f t="array" ref="B93">_xlfn.XLOOKUP(C93,INDIRECT("tblEquipment[Equipment ID]"),INDIRECT("tblEquipment[Production Department]"),"")</f>
        <v/>
      </c>
      <c r="D93">
        <f t="array" ref="D93">_xlfn.XLOOKUP(C93,INDIRECT("tblEquipment[Equipment ID]"),INDIRECT("tblEquipment[Equipment Name]"),"")</f>
        <v/>
      </c>
      <c r="F93" s="16" t="n"/>
      <c r="G93" s="16" t="n"/>
      <c r="H93" s="1">
        <f>IF(OR(F93=0,G93=0),"",(G93-F93)*24)</f>
        <v/>
      </c>
      <c r="I93" s="10" t="n"/>
      <c r="J93" s="1">
        <f>IF(OR(tblDowntime[[#This Row],[Failure Type]]="Sawshop",tblDowntime[[#This Row],[Failure Type]]="Electrical",tblDowntime[[#This Row],[Failure Type]]="Mechanical"),tblDowntime[[#This Row],[Downtime Hours]],"")</f>
        <v/>
      </c>
      <c r="K93" s="10" t="n"/>
      <c r="L93" s="10" t="n"/>
      <c r="M93">
        <f>IF(tblDowntime[[#This Row],[Maintenance Downtime Hours]]="","",tblDowntime[[#This Row],[Equipment ID]])</f>
        <v/>
      </c>
      <c r="N93" s="1">
        <f>IF(tblDowntime[[#This Row],[Failure Type]]="Production",tblDowntime[[#This Row],[Downtime Hours]],"")</f>
        <v/>
      </c>
      <c r="O93">
        <f>IF(tblDowntime[[#This Row],[Production Downtime Hours]]="","",tblDowntime[[#This Row],[Equipment ID]])</f>
        <v/>
      </c>
      <c r="P93" s="10" t="n"/>
    </row>
    <row r="94">
      <c r="B94">
        <f t="array" ref="B94">_xlfn.XLOOKUP(C94,INDIRECT("tblEquipment[Equipment ID]"),INDIRECT("tblEquipment[Production Department]"),"")</f>
        <v/>
      </c>
      <c r="D94">
        <f t="array" ref="D94">_xlfn.XLOOKUP(C94,INDIRECT("tblEquipment[Equipment ID]"),INDIRECT("tblEquipment[Equipment Name]"),"")</f>
        <v/>
      </c>
      <c r="F94" s="16" t="n"/>
      <c r="G94" s="16" t="n"/>
      <c r="H94" s="1">
        <f>IF(OR(F94=0,G94=0),"",(G94-F94)*24)</f>
        <v/>
      </c>
      <c r="I94" s="10" t="n"/>
      <c r="J94" s="1">
        <f>IF(OR(tblDowntime[[#This Row],[Failure Type]]="Sawshop",tblDowntime[[#This Row],[Failure Type]]="Electrical",tblDowntime[[#This Row],[Failure Type]]="Mechanical"),tblDowntime[[#This Row],[Downtime Hours]],"")</f>
        <v/>
      </c>
      <c r="K94" s="10" t="n"/>
      <c r="L94" s="10" t="n"/>
      <c r="M94">
        <f>IF(tblDowntime[[#This Row],[Maintenance Downtime Hours]]="","",tblDowntime[[#This Row],[Equipment ID]])</f>
        <v/>
      </c>
      <c r="N94" s="1">
        <f>IF(tblDowntime[[#This Row],[Failure Type]]="Production",tblDowntime[[#This Row],[Downtime Hours]],"")</f>
        <v/>
      </c>
      <c r="O94">
        <f>IF(tblDowntime[[#This Row],[Production Downtime Hours]]="","",tblDowntime[[#This Row],[Equipment ID]])</f>
        <v/>
      </c>
      <c r="P94" s="10" t="n"/>
    </row>
    <row r="95">
      <c r="B95">
        <f t="array" ref="B95">_xlfn.XLOOKUP(C95,INDIRECT("tblEquipment[Equipment ID]"),INDIRECT("tblEquipment[Production Department]"),"")</f>
        <v/>
      </c>
      <c r="D95">
        <f t="array" ref="D95">_xlfn.XLOOKUP(C95,INDIRECT("tblEquipment[Equipment ID]"),INDIRECT("tblEquipment[Equipment Name]"),"")</f>
        <v/>
      </c>
      <c r="F95" s="16" t="n"/>
      <c r="G95" s="16" t="n"/>
      <c r="H95" s="1">
        <f>IF(OR(F95=0,G95=0),"",(G95-F95)*24)</f>
        <v/>
      </c>
      <c r="I95" s="10" t="n"/>
      <c r="J95" s="1">
        <f>IF(OR(tblDowntime[[#This Row],[Failure Type]]="Sawshop",tblDowntime[[#This Row],[Failure Type]]="Electrical",tblDowntime[[#This Row],[Failure Type]]="Mechanical"),tblDowntime[[#This Row],[Downtime Hours]],"")</f>
        <v/>
      </c>
      <c r="K95" s="10" t="n"/>
      <c r="L95" s="10" t="n"/>
      <c r="M95">
        <f>IF(tblDowntime[[#This Row],[Maintenance Downtime Hours]]="","",tblDowntime[[#This Row],[Equipment ID]])</f>
        <v/>
      </c>
      <c r="N95" s="1">
        <f>IF(tblDowntime[[#This Row],[Failure Type]]="Production",tblDowntime[[#This Row],[Downtime Hours]],"")</f>
        <v/>
      </c>
      <c r="O95">
        <f>IF(tblDowntime[[#This Row],[Production Downtime Hours]]="","",tblDowntime[[#This Row],[Equipment ID]])</f>
        <v/>
      </c>
      <c r="P95" s="10" t="n"/>
    </row>
    <row r="96">
      <c r="B96">
        <f t="array" ref="B96">_xlfn.XLOOKUP(C96,INDIRECT("tblEquipment[Equipment ID]"),INDIRECT("tblEquipment[Production Department]"),"")</f>
        <v/>
      </c>
      <c r="D96">
        <f t="array" ref="D96">_xlfn.XLOOKUP(C96,INDIRECT("tblEquipment[Equipment ID]"),INDIRECT("tblEquipment[Equipment Name]"),"")</f>
        <v/>
      </c>
      <c r="F96" s="16" t="n"/>
      <c r="G96" s="16" t="n"/>
      <c r="H96" s="1">
        <f>IF(OR(F96=0,G96=0),"",(G96-F96)*24)</f>
        <v/>
      </c>
      <c r="I96" s="10" t="n"/>
      <c r="J96" s="1">
        <f>IF(OR(tblDowntime[[#This Row],[Failure Type]]="Sawshop",tblDowntime[[#This Row],[Failure Type]]="Electrical",tblDowntime[[#This Row],[Failure Type]]="Mechanical"),tblDowntime[[#This Row],[Downtime Hours]],"")</f>
        <v/>
      </c>
      <c r="K96" s="10" t="n"/>
      <c r="L96" s="10" t="n"/>
      <c r="M96">
        <f>IF(tblDowntime[[#This Row],[Maintenance Downtime Hours]]="","",tblDowntime[[#This Row],[Equipment ID]])</f>
        <v/>
      </c>
      <c r="N96" s="1">
        <f>IF(tblDowntime[[#This Row],[Failure Type]]="Production",tblDowntime[[#This Row],[Downtime Hours]],"")</f>
        <v/>
      </c>
      <c r="O96">
        <f>IF(tblDowntime[[#This Row],[Production Downtime Hours]]="","",tblDowntime[[#This Row],[Equipment ID]])</f>
        <v/>
      </c>
      <c r="P96" s="10" t="n"/>
    </row>
    <row r="97">
      <c r="B97">
        <f t="array" ref="B97">_xlfn.XLOOKUP(C97,INDIRECT("tblEquipment[Equipment ID]"),INDIRECT("tblEquipment[Production Department]"),"")</f>
        <v/>
      </c>
      <c r="D97">
        <f t="array" ref="D97">_xlfn.XLOOKUP(C97,INDIRECT("tblEquipment[Equipment ID]"),INDIRECT("tblEquipment[Equipment Name]"),"")</f>
        <v/>
      </c>
      <c r="F97" s="16" t="n"/>
      <c r="G97" s="16" t="n"/>
      <c r="H97" s="1">
        <f>IF(OR(F97=0,G97=0),"",(G97-F97)*24)</f>
        <v/>
      </c>
      <c r="I97" s="10" t="n"/>
      <c r="J97" s="1">
        <f>IF(OR(tblDowntime[[#This Row],[Failure Type]]="Sawshop",tblDowntime[[#This Row],[Failure Type]]="Electrical",tblDowntime[[#This Row],[Failure Type]]="Mechanical"),tblDowntime[[#This Row],[Downtime Hours]],"")</f>
        <v/>
      </c>
      <c r="K97" s="10" t="n"/>
      <c r="L97" s="10" t="n"/>
      <c r="M97">
        <f>IF(tblDowntime[[#This Row],[Maintenance Downtime Hours]]="","",tblDowntime[[#This Row],[Equipment ID]])</f>
        <v/>
      </c>
      <c r="N97" s="1">
        <f>IF(tblDowntime[[#This Row],[Failure Type]]="Production",tblDowntime[[#This Row],[Downtime Hours]],"")</f>
        <v/>
      </c>
      <c r="O97">
        <f>IF(tblDowntime[[#This Row],[Production Downtime Hours]]="","",tblDowntime[[#This Row],[Equipment ID]])</f>
        <v/>
      </c>
      <c r="P97" s="10" t="n"/>
    </row>
    <row r="98">
      <c r="B98">
        <f t="array" ref="B98">_xlfn.XLOOKUP(C98,INDIRECT("tblEquipment[Equipment ID]"),INDIRECT("tblEquipment[Production Department]"),"")</f>
        <v/>
      </c>
      <c r="D98">
        <f t="array" ref="D98">_xlfn.XLOOKUP(C98,INDIRECT("tblEquipment[Equipment ID]"),INDIRECT("tblEquipment[Equipment Name]"),"")</f>
        <v/>
      </c>
      <c r="F98" s="16" t="n"/>
      <c r="G98" s="16" t="n"/>
      <c r="H98" s="1">
        <f>IF(OR(F98=0,G98=0),"",(G98-F98)*24)</f>
        <v/>
      </c>
      <c r="I98" s="10" t="n"/>
      <c r="J98" s="1">
        <f>IF(OR(tblDowntime[[#This Row],[Failure Type]]="Sawshop",tblDowntime[[#This Row],[Failure Type]]="Electrical",tblDowntime[[#This Row],[Failure Type]]="Mechanical"),tblDowntime[[#This Row],[Downtime Hours]],"")</f>
        <v/>
      </c>
      <c r="K98" s="10" t="n"/>
      <c r="L98" s="10" t="n"/>
      <c r="M98">
        <f>IF(tblDowntime[[#This Row],[Maintenance Downtime Hours]]="","",tblDowntime[[#This Row],[Equipment ID]])</f>
        <v/>
      </c>
      <c r="N98" s="1">
        <f>IF(tblDowntime[[#This Row],[Failure Type]]="Production",tblDowntime[[#This Row],[Downtime Hours]],"")</f>
        <v/>
      </c>
      <c r="O98">
        <f>IF(tblDowntime[[#This Row],[Production Downtime Hours]]="","",tblDowntime[[#This Row],[Equipment ID]])</f>
        <v/>
      </c>
      <c r="P98" s="10" t="n"/>
    </row>
    <row r="99">
      <c r="B99">
        <f t="array" ref="B99">_xlfn.XLOOKUP(C99,INDIRECT("tblEquipment[Equipment ID]"),INDIRECT("tblEquipment[Production Department]"),"")</f>
        <v/>
      </c>
      <c r="D99">
        <f t="array" ref="D99">_xlfn.XLOOKUP(C99,INDIRECT("tblEquipment[Equipment ID]"),INDIRECT("tblEquipment[Equipment Name]"),"")</f>
        <v/>
      </c>
      <c r="F99" s="16" t="n"/>
      <c r="G99" s="16" t="n"/>
      <c r="H99" s="1">
        <f>IF(OR(F99=0,G99=0),"",(G99-F99)*24)</f>
        <v/>
      </c>
      <c r="I99" s="10" t="n"/>
      <c r="J99" s="1">
        <f>IF(OR(tblDowntime[[#This Row],[Failure Type]]="Sawshop",tblDowntime[[#This Row],[Failure Type]]="Electrical",tblDowntime[[#This Row],[Failure Type]]="Mechanical"),tblDowntime[[#This Row],[Downtime Hours]],"")</f>
        <v/>
      </c>
      <c r="K99" s="10" t="n"/>
      <c r="L99" s="10" t="n"/>
      <c r="M99">
        <f>IF(tblDowntime[[#This Row],[Maintenance Downtime Hours]]="","",tblDowntime[[#This Row],[Equipment ID]])</f>
        <v/>
      </c>
      <c r="N99" s="1">
        <f>IF(tblDowntime[[#This Row],[Failure Type]]="Production",tblDowntime[[#This Row],[Downtime Hours]],"")</f>
        <v/>
      </c>
      <c r="O99">
        <f>IF(tblDowntime[[#This Row],[Production Downtime Hours]]="","",tblDowntime[[#This Row],[Equipment ID]])</f>
        <v/>
      </c>
      <c r="P99" s="10" t="n"/>
    </row>
    <row r="100">
      <c r="B100">
        <f t="array" ref="B100">_xlfn.XLOOKUP(C100,INDIRECT("tblEquipment[Equipment ID]"),INDIRECT("tblEquipment[Production Department]"),"")</f>
        <v/>
      </c>
      <c r="D100">
        <f t="array" ref="D100">_xlfn.XLOOKUP(C100,INDIRECT("tblEquipment[Equipment ID]"),INDIRECT("tblEquipment[Equipment Name]"),"")</f>
        <v/>
      </c>
      <c r="F100" s="16" t="n"/>
      <c r="G100" s="16" t="n"/>
      <c r="H100" s="1">
        <f>IF(OR(F100=0,G100=0),"",(G100-F100)*24)</f>
        <v/>
      </c>
      <c r="I100" s="10" t="n"/>
      <c r="J100" s="1">
        <f>IF(OR(tblDowntime[[#This Row],[Failure Type]]="Sawshop",tblDowntime[[#This Row],[Failure Type]]="Electrical",tblDowntime[[#This Row],[Failure Type]]="Mechanical"),tblDowntime[[#This Row],[Downtime Hours]],"")</f>
        <v/>
      </c>
      <c r="K100" s="10" t="n"/>
      <c r="L100" s="10" t="n"/>
      <c r="M100">
        <f>IF(tblDowntime[[#This Row],[Maintenance Downtime Hours]]="","",tblDowntime[[#This Row],[Equipment ID]])</f>
        <v/>
      </c>
      <c r="N100" s="1">
        <f>IF(tblDowntime[[#This Row],[Failure Type]]="Production",tblDowntime[[#This Row],[Downtime Hours]],"")</f>
        <v/>
      </c>
      <c r="O100">
        <f>IF(tblDowntime[[#This Row],[Production Downtime Hours]]="","",tblDowntime[[#This Row],[Equipment ID]])</f>
        <v/>
      </c>
      <c r="P100" s="10" t="n"/>
    </row>
    <row r="101">
      <c r="B101">
        <f t="array" ref="B101">_xlfn.XLOOKUP(C101,INDIRECT("tblEquipment[Equipment ID]"),INDIRECT("tblEquipment[Production Department]"),"")</f>
        <v/>
      </c>
      <c r="D101">
        <f t="array" ref="D101">_xlfn.XLOOKUP(C101,INDIRECT("tblEquipment[Equipment ID]"),INDIRECT("tblEquipment[Equipment Name]"),"")</f>
        <v/>
      </c>
      <c r="F101" s="16" t="n"/>
      <c r="G101" s="16" t="n"/>
      <c r="H101" s="1">
        <f>IF(OR(F101=0,G101=0),"",(G101-F101)*24)</f>
        <v/>
      </c>
      <c r="I101" s="10" t="n"/>
      <c r="J101" s="1">
        <f>IF(OR(tblDowntime[[#This Row],[Failure Type]]="Sawshop",tblDowntime[[#This Row],[Failure Type]]="Electrical",tblDowntime[[#This Row],[Failure Type]]="Mechanical"),tblDowntime[[#This Row],[Downtime Hours]],"")</f>
        <v/>
      </c>
      <c r="K101" s="10" t="n"/>
      <c r="L101" s="10" t="n"/>
      <c r="M101">
        <f>IF(tblDowntime[[#This Row],[Maintenance Downtime Hours]]="","",tblDowntime[[#This Row],[Equipment ID]])</f>
        <v/>
      </c>
      <c r="N101" s="1">
        <f>IF(tblDowntime[[#This Row],[Failure Type]]="Production",tblDowntime[[#This Row],[Downtime Hours]],"")</f>
        <v/>
      </c>
      <c r="O101">
        <f>IF(tblDowntime[[#This Row],[Production Downtime Hours]]="","",tblDowntime[[#This Row],[Equipment ID]])</f>
        <v/>
      </c>
      <c r="P101" s="10" t="n"/>
    </row>
    <row r="102">
      <c r="B102">
        <f t="array" ref="B102">_xlfn.XLOOKUP(C102,INDIRECT("tblEquipment[Equipment ID]"),INDIRECT("tblEquipment[Production Department]"),"")</f>
        <v/>
      </c>
      <c r="D102">
        <f t="array" ref="D102">_xlfn.XLOOKUP(C102,INDIRECT("tblEquipment[Equipment ID]"),INDIRECT("tblEquipment[Equipment Name]"),"")</f>
        <v/>
      </c>
      <c r="F102" s="16" t="n"/>
      <c r="G102" s="16" t="n"/>
      <c r="H102" s="1">
        <f>IF(OR(F102=0,G102=0),"",(G102-F102)*24)</f>
        <v/>
      </c>
      <c r="I102" s="10" t="n"/>
      <c r="J102" s="1">
        <f>IF(OR(tblDowntime[[#This Row],[Failure Type]]="Sawshop",tblDowntime[[#This Row],[Failure Type]]="Electrical",tblDowntime[[#This Row],[Failure Type]]="Mechanical"),tblDowntime[[#This Row],[Downtime Hours]],"")</f>
        <v/>
      </c>
      <c r="K102" s="10" t="n"/>
      <c r="L102" s="10" t="n"/>
      <c r="M102">
        <f>IF(tblDowntime[[#This Row],[Maintenance Downtime Hours]]="","",tblDowntime[[#This Row],[Equipment ID]])</f>
        <v/>
      </c>
      <c r="N102" s="1">
        <f>IF(tblDowntime[[#This Row],[Failure Type]]="Production",tblDowntime[[#This Row],[Downtime Hours]],"")</f>
        <v/>
      </c>
      <c r="O102">
        <f>IF(tblDowntime[[#This Row],[Production Downtime Hours]]="","",tblDowntime[[#This Row],[Equipment ID]])</f>
        <v/>
      </c>
      <c r="P102" s="10" t="n"/>
    </row>
    <row r="103">
      <c r="B103">
        <f t="array" ref="B103">_xlfn.XLOOKUP(C103,INDIRECT("tblEquipment[Equipment ID]"),INDIRECT("tblEquipment[Production Department]"),"")</f>
        <v/>
      </c>
      <c r="D103">
        <f t="array" ref="D103">_xlfn.XLOOKUP(C103,INDIRECT("tblEquipment[Equipment ID]"),INDIRECT("tblEquipment[Equipment Name]"),"")</f>
        <v/>
      </c>
      <c r="F103" s="16" t="n"/>
      <c r="G103" s="16" t="n"/>
      <c r="H103" s="1">
        <f>IF(OR(F103=0,G103=0),"",(G103-F103)*24)</f>
        <v/>
      </c>
      <c r="I103" s="10" t="n"/>
      <c r="J103" s="1">
        <f>IF(OR(tblDowntime[[#This Row],[Failure Type]]="Sawshop",tblDowntime[[#This Row],[Failure Type]]="Electrical",tblDowntime[[#This Row],[Failure Type]]="Mechanical"),tblDowntime[[#This Row],[Downtime Hours]],"")</f>
        <v/>
      </c>
      <c r="K103" s="10" t="n"/>
      <c r="L103" s="10" t="n"/>
      <c r="M103">
        <f>IF(tblDowntime[[#This Row],[Maintenance Downtime Hours]]="","",tblDowntime[[#This Row],[Equipment ID]])</f>
        <v/>
      </c>
      <c r="N103" s="1">
        <f>IF(tblDowntime[[#This Row],[Failure Type]]="Production",tblDowntime[[#This Row],[Downtime Hours]],"")</f>
        <v/>
      </c>
      <c r="O103">
        <f>IF(tblDowntime[[#This Row],[Production Downtime Hours]]="","",tblDowntime[[#This Row],[Equipment ID]])</f>
        <v/>
      </c>
      <c r="P103" s="10" t="n"/>
    </row>
    <row r="104">
      <c r="B104">
        <f t="array" ref="B104">_xlfn.XLOOKUP(C104,INDIRECT("tblEquipment[Equipment ID]"),INDIRECT("tblEquipment[Production Department]"),"")</f>
        <v/>
      </c>
      <c r="D104">
        <f t="array" ref="D104">_xlfn.XLOOKUP(C104,INDIRECT("tblEquipment[Equipment ID]"),INDIRECT("tblEquipment[Equipment Name]"),"")</f>
        <v/>
      </c>
      <c r="F104" s="16" t="n"/>
      <c r="G104" s="16" t="n"/>
      <c r="H104" s="1">
        <f>IF(OR(F104=0,G104=0),"",(G104-F104)*24)</f>
        <v/>
      </c>
      <c r="I104" s="10" t="n"/>
      <c r="J104" s="1">
        <f>IF(OR(tblDowntime[[#This Row],[Failure Type]]="Sawshop",tblDowntime[[#This Row],[Failure Type]]="Electrical",tblDowntime[[#This Row],[Failure Type]]="Mechanical"),tblDowntime[[#This Row],[Downtime Hours]],"")</f>
        <v/>
      </c>
      <c r="K104" s="10" t="n"/>
      <c r="L104" s="10" t="n"/>
      <c r="M104">
        <f>IF(tblDowntime[[#This Row],[Maintenance Downtime Hours]]="","",tblDowntime[[#This Row],[Equipment ID]])</f>
        <v/>
      </c>
      <c r="N104" s="1">
        <f>IF(tblDowntime[[#This Row],[Failure Type]]="Production",tblDowntime[[#This Row],[Downtime Hours]],"")</f>
        <v/>
      </c>
      <c r="O104">
        <f>IF(tblDowntime[[#This Row],[Production Downtime Hours]]="","",tblDowntime[[#This Row],[Equipment ID]])</f>
        <v/>
      </c>
      <c r="P104" s="10" t="n"/>
    </row>
    <row r="105">
      <c r="B105">
        <f t="array" ref="B105">_xlfn.XLOOKUP(C105,INDIRECT("tblEquipment[Equipment ID]"),INDIRECT("tblEquipment[Production Department]"),"")</f>
        <v/>
      </c>
      <c r="D105">
        <f t="array" ref="D105">_xlfn.XLOOKUP(C105,INDIRECT("tblEquipment[Equipment ID]"),INDIRECT("tblEquipment[Equipment Name]"),"")</f>
        <v/>
      </c>
      <c r="F105" s="16" t="n"/>
      <c r="G105" s="16" t="n"/>
      <c r="H105" s="1">
        <f>IF(OR(F105=0,G105=0),"",(G105-F105)*24)</f>
        <v/>
      </c>
      <c r="I105" s="10" t="n"/>
      <c r="J105" s="1">
        <f>IF(OR(tblDowntime[[#This Row],[Failure Type]]="Sawshop",tblDowntime[[#This Row],[Failure Type]]="Electrical",tblDowntime[[#This Row],[Failure Type]]="Mechanical"),tblDowntime[[#This Row],[Downtime Hours]],"")</f>
        <v/>
      </c>
      <c r="K105" s="10" t="n"/>
      <c r="L105" s="10" t="n"/>
      <c r="M105">
        <f>IF(tblDowntime[[#This Row],[Maintenance Downtime Hours]]="","",tblDowntime[[#This Row],[Equipment ID]])</f>
        <v/>
      </c>
      <c r="N105" s="1">
        <f>IF(tblDowntime[[#This Row],[Failure Type]]="Production",tblDowntime[[#This Row],[Downtime Hours]],"")</f>
        <v/>
      </c>
      <c r="O105">
        <f>IF(tblDowntime[[#This Row],[Production Downtime Hours]]="","",tblDowntime[[#This Row],[Equipment ID]])</f>
        <v/>
      </c>
      <c r="P105" s="10" t="n"/>
    </row>
    <row r="106">
      <c r="B106">
        <f t="array" ref="B106">_xlfn.XLOOKUP(C106,INDIRECT("tblEquipment[Equipment ID]"),INDIRECT("tblEquipment[Production Department]"),"")</f>
        <v/>
      </c>
      <c r="D106">
        <f t="array" ref="D106">_xlfn.XLOOKUP(C106,INDIRECT("tblEquipment[Equipment ID]"),INDIRECT("tblEquipment[Equipment Name]"),"")</f>
        <v/>
      </c>
      <c r="F106" s="16" t="n"/>
      <c r="G106" s="16" t="n"/>
      <c r="H106" s="1">
        <f>IF(OR(F106=0,G106=0),"",(G106-F106)*24)</f>
        <v/>
      </c>
      <c r="I106" s="10" t="n"/>
      <c r="J106" s="1">
        <f>IF(OR(tblDowntime[[#This Row],[Failure Type]]="Sawshop",tblDowntime[[#This Row],[Failure Type]]="Electrical",tblDowntime[[#This Row],[Failure Type]]="Mechanical"),tblDowntime[[#This Row],[Downtime Hours]],"")</f>
        <v/>
      </c>
      <c r="K106" s="10" t="n"/>
      <c r="L106" s="10" t="n"/>
      <c r="M106">
        <f>IF(tblDowntime[[#This Row],[Maintenance Downtime Hours]]="","",tblDowntime[[#This Row],[Equipment ID]])</f>
        <v/>
      </c>
      <c r="N106" s="1">
        <f>IF(tblDowntime[[#This Row],[Failure Type]]="Production",tblDowntime[[#This Row],[Downtime Hours]],"")</f>
        <v/>
      </c>
      <c r="O106">
        <f>IF(tblDowntime[[#This Row],[Production Downtime Hours]]="","",tblDowntime[[#This Row],[Equipment ID]])</f>
        <v/>
      </c>
      <c r="P106" s="10" t="n"/>
    </row>
    <row r="107">
      <c r="B107">
        <f t="array" ref="B107">_xlfn.XLOOKUP(C107,INDIRECT("tblEquipment[Equipment ID]"),INDIRECT("tblEquipment[Production Department]"),"")</f>
        <v/>
      </c>
      <c r="D107">
        <f t="array" ref="D107">_xlfn.XLOOKUP(C107,INDIRECT("tblEquipment[Equipment ID]"),INDIRECT("tblEquipment[Equipment Name]"),"")</f>
        <v/>
      </c>
      <c r="F107" s="16" t="n"/>
      <c r="G107" s="16" t="n"/>
      <c r="H107" s="1">
        <f>IF(OR(F107=0,G107=0),"",(G107-F107)*24)</f>
        <v/>
      </c>
      <c r="I107" s="10" t="n"/>
      <c r="J107" s="1">
        <f>IF(OR(tblDowntime[[#This Row],[Failure Type]]="Sawshop",tblDowntime[[#This Row],[Failure Type]]="Electrical",tblDowntime[[#This Row],[Failure Type]]="Mechanical"),tblDowntime[[#This Row],[Downtime Hours]],"")</f>
        <v/>
      </c>
      <c r="K107" s="10" t="n"/>
      <c r="L107" s="10" t="n"/>
      <c r="M107">
        <f>IF(tblDowntime[[#This Row],[Maintenance Downtime Hours]]="","",tblDowntime[[#This Row],[Equipment ID]])</f>
        <v/>
      </c>
      <c r="N107" s="1">
        <f>IF(tblDowntime[[#This Row],[Failure Type]]="Production",tblDowntime[[#This Row],[Downtime Hours]],"")</f>
        <v/>
      </c>
      <c r="O107">
        <f>IF(tblDowntime[[#This Row],[Production Downtime Hours]]="","",tblDowntime[[#This Row],[Equipment ID]])</f>
        <v/>
      </c>
      <c r="P107" s="10" t="n"/>
    </row>
    <row r="108">
      <c r="B108">
        <f t="array" ref="B108">_xlfn.XLOOKUP(C108,INDIRECT("tblEquipment[Equipment ID]"),INDIRECT("tblEquipment[Production Department]"),"")</f>
        <v/>
      </c>
      <c r="D108">
        <f t="array" ref="D108">_xlfn.XLOOKUP(C108,INDIRECT("tblEquipment[Equipment ID]"),INDIRECT("tblEquipment[Equipment Name]"),"")</f>
        <v/>
      </c>
      <c r="F108" s="16" t="n"/>
      <c r="G108" s="16" t="n"/>
      <c r="H108" s="1">
        <f>IF(OR(F108=0,G108=0),"",(G108-F108)*24)</f>
        <v/>
      </c>
      <c r="I108" s="10" t="n"/>
      <c r="J108" s="1">
        <f>IF(OR(tblDowntime[[#This Row],[Failure Type]]="Sawshop",tblDowntime[[#This Row],[Failure Type]]="Electrical",tblDowntime[[#This Row],[Failure Type]]="Mechanical"),tblDowntime[[#This Row],[Downtime Hours]],"")</f>
        <v/>
      </c>
      <c r="K108" s="10" t="n"/>
      <c r="L108" s="10" t="n"/>
      <c r="M108">
        <f>IF(tblDowntime[[#This Row],[Maintenance Downtime Hours]]="","",tblDowntime[[#This Row],[Equipment ID]])</f>
        <v/>
      </c>
      <c r="N108" s="1">
        <f>IF(tblDowntime[[#This Row],[Failure Type]]="Production",tblDowntime[[#This Row],[Downtime Hours]],"")</f>
        <v/>
      </c>
      <c r="O108">
        <f>IF(tblDowntime[[#This Row],[Production Downtime Hours]]="","",tblDowntime[[#This Row],[Equipment ID]])</f>
        <v/>
      </c>
      <c r="P108" s="10" t="n"/>
    </row>
    <row r="109">
      <c r="B109">
        <f t="array" ref="B109">_xlfn.XLOOKUP(C109,INDIRECT("tblEquipment[Equipment ID]"),INDIRECT("tblEquipment[Production Department]"),"")</f>
        <v/>
      </c>
      <c r="D109">
        <f t="array" ref="D109">_xlfn.XLOOKUP(C109,INDIRECT("tblEquipment[Equipment ID]"),INDIRECT("tblEquipment[Equipment Name]"),"")</f>
        <v/>
      </c>
      <c r="F109" s="16" t="n"/>
      <c r="G109" s="16" t="n"/>
      <c r="H109" s="1">
        <f>IF(OR(F109=0,G109=0),"",(G109-F109)*24)</f>
        <v/>
      </c>
      <c r="I109" s="10" t="n"/>
      <c r="J109" s="1">
        <f>IF(OR(tblDowntime[[#This Row],[Failure Type]]="Sawshop",tblDowntime[[#This Row],[Failure Type]]="Electrical",tblDowntime[[#This Row],[Failure Type]]="Mechanical"),tblDowntime[[#This Row],[Downtime Hours]],"")</f>
        <v/>
      </c>
      <c r="K109" s="10" t="n"/>
      <c r="L109" s="10" t="n"/>
      <c r="M109">
        <f>IF(tblDowntime[[#This Row],[Maintenance Downtime Hours]]="","",tblDowntime[[#This Row],[Equipment ID]])</f>
        <v/>
      </c>
      <c r="N109" s="1">
        <f>IF(tblDowntime[[#This Row],[Failure Type]]="Production",tblDowntime[[#This Row],[Downtime Hours]],"")</f>
        <v/>
      </c>
      <c r="O109">
        <f>IF(tblDowntime[[#This Row],[Production Downtime Hours]]="","",tblDowntime[[#This Row],[Equipment ID]])</f>
        <v/>
      </c>
      <c r="P109" s="10" t="n"/>
    </row>
    <row r="110">
      <c r="B110">
        <f t="array" ref="B110">_xlfn.XLOOKUP(C110,INDIRECT("tblEquipment[Equipment ID]"),INDIRECT("tblEquipment[Production Department]"),"")</f>
        <v/>
      </c>
      <c r="D110">
        <f t="array" ref="D110">_xlfn.XLOOKUP(C110,INDIRECT("tblEquipment[Equipment ID]"),INDIRECT("tblEquipment[Equipment Name]"),"")</f>
        <v/>
      </c>
      <c r="F110" s="16" t="n"/>
      <c r="G110" s="16" t="n"/>
      <c r="H110" s="1">
        <f>IF(OR(F110=0,G110=0),"",(G110-F110)*24)</f>
        <v/>
      </c>
      <c r="I110" s="10" t="n"/>
      <c r="J110" s="1">
        <f>IF(OR(tblDowntime[[#This Row],[Failure Type]]="Sawshop",tblDowntime[[#This Row],[Failure Type]]="Electrical",tblDowntime[[#This Row],[Failure Type]]="Mechanical"),tblDowntime[[#This Row],[Downtime Hours]],"")</f>
        <v/>
      </c>
      <c r="K110" s="10" t="n"/>
      <c r="L110" s="10" t="n"/>
      <c r="M110">
        <f>IF(tblDowntime[[#This Row],[Maintenance Downtime Hours]]="","",tblDowntime[[#This Row],[Equipment ID]])</f>
        <v/>
      </c>
      <c r="N110" s="1">
        <f>IF(tblDowntime[[#This Row],[Failure Type]]="Production",tblDowntime[[#This Row],[Downtime Hours]],"")</f>
        <v/>
      </c>
      <c r="O110">
        <f>IF(tblDowntime[[#This Row],[Production Downtime Hours]]="","",tblDowntime[[#This Row],[Equipment ID]])</f>
        <v/>
      </c>
      <c r="P110" s="10" t="n"/>
    </row>
    <row r="111">
      <c r="B111">
        <f t="array" ref="B111">_xlfn.XLOOKUP(C111,INDIRECT("tblEquipment[Equipment ID]"),INDIRECT("tblEquipment[Production Department]"),"")</f>
        <v/>
      </c>
      <c r="D111">
        <f t="array" ref="D111">_xlfn.XLOOKUP(C111,INDIRECT("tblEquipment[Equipment ID]"),INDIRECT("tblEquipment[Equipment Name]"),"")</f>
        <v/>
      </c>
      <c r="F111" s="16" t="n"/>
      <c r="G111" s="16" t="n"/>
      <c r="H111" s="1">
        <f>IF(OR(F111=0,G111=0),"",(G111-F111)*24)</f>
        <v/>
      </c>
      <c r="I111" s="10" t="n"/>
      <c r="J111" s="1">
        <f>IF(OR(tblDowntime[[#This Row],[Failure Type]]="Sawshop",tblDowntime[[#This Row],[Failure Type]]="Electrical",tblDowntime[[#This Row],[Failure Type]]="Mechanical"),tblDowntime[[#This Row],[Downtime Hours]],"")</f>
        <v/>
      </c>
      <c r="K111" s="10" t="n"/>
      <c r="L111" s="10" t="n"/>
      <c r="M111">
        <f>IF(tblDowntime[[#This Row],[Maintenance Downtime Hours]]="","",tblDowntime[[#This Row],[Equipment ID]])</f>
        <v/>
      </c>
      <c r="N111" s="1">
        <f>IF(tblDowntime[[#This Row],[Failure Type]]="Production",tblDowntime[[#This Row],[Downtime Hours]],"")</f>
        <v/>
      </c>
      <c r="O111">
        <f>IF(tblDowntime[[#This Row],[Production Downtime Hours]]="","",tblDowntime[[#This Row],[Equipment ID]])</f>
        <v/>
      </c>
      <c r="P111" s="10" t="n"/>
    </row>
    <row r="112">
      <c r="B112">
        <f t="array" ref="B112">_xlfn.XLOOKUP(C112,INDIRECT("tblEquipment[Equipment ID]"),INDIRECT("tblEquipment[Production Department]"),"")</f>
        <v/>
      </c>
      <c r="D112">
        <f t="array" ref="D112">_xlfn.XLOOKUP(C112,INDIRECT("tblEquipment[Equipment ID]"),INDIRECT("tblEquipment[Equipment Name]"),"")</f>
        <v/>
      </c>
      <c r="F112" s="16" t="n"/>
      <c r="G112" s="16" t="n"/>
      <c r="H112" s="1">
        <f>IF(OR(F112=0,G112=0),"",(G112-F112)*24)</f>
        <v/>
      </c>
      <c r="I112" s="10" t="n"/>
      <c r="J112" s="1">
        <f>IF(OR(tblDowntime[[#This Row],[Failure Type]]="Sawshop",tblDowntime[[#This Row],[Failure Type]]="Electrical",tblDowntime[[#This Row],[Failure Type]]="Mechanical"),tblDowntime[[#This Row],[Downtime Hours]],"")</f>
        <v/>
      </c>
      <c r="K112" s="10" t="n"/>
      <c r="L112" s="10" t="n"/>
      <c r="M112">
        <f>IF(tblDowntime[[#This Row],[Maintenance Downtime Hours]]="","",tblDowntime[[#This Row],[Equipment ID]])</f>
        <v/>
      </c>
      <c r="N112" s="1">
        <f>IF(tblDowntime[[#This Row],[Failure Type]]="Production",tblDowntime[[#This Row],[Downtime Hours]],"")</f>
        <v/>
      </c>
      <c r="O112">
        <f>IF(tblDowntime[[#This Row],[Production Downtime Hours]]="","",tblDowntime[[#This Row],[Equipment ID]])</f>
        <v/>
      </c>
      <c r="P112" s="10" t="n"/>
    </row>
    <row r="113">
      <c r="B113">
        <f t="array" ref="B113">_xlfn.XLOOKUP(C113,INDIRECT("tblEquipment[Equipment ID]"),INDIRECT("tblEquipment[Production Department]"),"")</f>
        <v/>
      </c>
      <c r="D113">
        <f t="array" ref="D113">_xlfn.XLOOKUP(C113,INDIRECT("tblEquipment[Equipment ID]"),INDIRECT("tblEquipment[Equipment Name]"),"")</f>
        <v/>
      </c>
      <c r="F113" s="16" t="n"/>
      <c r="G113" s="16" t="n"/>
      <c r="H113" s="1">
        <f>IF(OR(F113=0,G113=0),"",(G113-F113)*24)</f>
        <v/>
      </c>
      <c r="I113" s="10" t="n"/>
      <c r="J113" s="1">
        <f>IF(OR(tblDowntime[[#This Row],[Failure Type]]="Sawshop",tblDowntime[[#This Row],[Failure Type]]="Electrical",tblDowntime[[#This Row],[Failure Type]]="Mechanical"),tblDowntime[[#This Row],[Downtime Hours]],"")</f>
        <v/>
      </c>
      <c r="K113" s="10" t="n"/>
      <c r="L113" s="10" t="n"/>
      <c r="M113">
        <f>IF(tblDowntime[[#This Row],[Maintenance Downtime Hours]]="","",tblDowntime[[#This Row],[Equipment ID]])</f>
        <v/>
      </c>
      <c r="N113" s="1">
        <f>IF(tblDowntime[[#This Row],[Failure Type]]="Production",tblDowntime[[#This Row],[Downtime Hours]],"")</f>
        <v/>
      </c>
      <c r="O113">
        <f>IF(tblDowntime[[#This Row],[Production Downtime Hours]]="","",tblDowntime[[#This Row],[Equipment ID]])</f>
        <v/>
      </c>
      <c r="P113" s="10" t="n"/>
    </row>
    <row r="114">
      <c r="B114">
        <f t="array" ref="B114">_xlfn.XLOOKUP(C114,INDIRECT("tblEquipment[Equipment ID]"),INDIRECT("tblEquipment[Production Department]"),"")</f>
        <v/>
      </c>
      <c r="D114">
        <f t="array" ref="D114">_xlfn.XLOOKUP(C114,INDIRECT("tblEquipment[Equipment ID]"),INDIRECT("tblEquipment[Equipment Name]"),"")</f>
        <v/>
      </c>
      <c r="F114" s="16" t="n"/>
      <c r="G114" s="16" t="n"/>
      <c r="H114" s="1">
        <f>IF(OR(F114=0,G114=0),"",(G114-F114)*24)</f>
        <v/>
      </c>
      <c r="I114" s="10" t="n"/>
      <c r="J114" s="1">
        <f>IF(OR(tblDowntime[[#This Row],[Failure Type]]="Sawshop",tblDowntime[[#This Row],[Failure Type]]="Electrical",tblDowntime[[#This Row],[Failure Type]]="Mechanical"),tblDowntime[[#This Row],[Downtime Hours]],"")</f>
        <v/>
      </c>
      <c r="K114" s="10" t="n"/>
      <c r="L114" s="10" t="n"/>
      <c r="M114">
        <f>IF(tblDowntime[[#This Row],[Maintenance Downtime Hours]]="","",tblDowntime[[#This Row],[Equipment ID]])</f>
        <v/>
      </c>
      <c r="N114" s="1">
        <f>IF(tblDowntime[[#This Row],[Failure Type]]="Production",tblDowntime[[#This Row],[Downtime Hours]],"")</f>
        <v/>
      </c>
      <c r="O114">
        <f>IF(tblDowntime[[#This Row],[Production Downtime Hours]]="","",tblDowntime[[#This Row],[Equipment ID]])</f>
        <v/>
      </c>
      <c r="P114" s="10" t="n"/>
    </row>
    <row r="115">
      <c r="B115">
        <f t="array" ref="B115">_xlfn.XLOOKUP(C115,INDIRECT("tblEquipment[Equipment ID]"),INDIRECT("tblEquipment[Production Department]"),"")</f>
        <v/>
      </c>
      <c r="D115">
        <f t="array" ref="D115">_xlfn.XLOOKUP(C115,INDIRECT("tblEquipment[Equipment ID]"),INDIRECT("tblEquipment[Equipment Name]"),"")</f>
        <v/>
      </c>
      <c r="F115" s="16" t="n"/>
      <c r="G115" s="16" t="n"/>
      <c r="H115" s="1">
        <f>IF(OR(F115=0,G115=0),"",(G115-F115)*24)</f>
        <v/>
      </c>
      <c r="I115" s="10" t="n"/>
      <c r="J115" s="1">
        <f>IF(OR(tblDowntime[[#This Row],[Failure Type]]="Sawshop",tblDowntime[[#This Row],[Failure Type]]="Electrical",tblDowntime[[#This Row],[Failure Type]]="Mechanical"),tblDowntime[[#This Row],[Downtime Hours]],"")</f>
        <v/>
      </c>
      <c r="K115" s="10" t="n"/>
      <c r="L115" s="10" t="n"/>
      <c r="M115">
        <f>IF(tblDowntime[[#This Row],[Maintenance Downtime Hours]]="","",tblDowntime[[#This Row],[Equipment ID]])</f>
        <v/>
      </c>
      <c r="N115" s="1">
        <f>IF(tblDowntime[[#This Row],[Failure Type]]="Production",tblDowntime[[#This Row],[Downtime Hours]],"")</f>
        <v/>
      </c>
      <c r="O115">
        <f>IF(tblDowntime[[#This Row],[Production Downtime Hours]]="","",tblDowntime[[#This Row],[Equipment ID]])</f>
        <v/>
      </c>
      <c r="P115" s="10" t="n"/>
    </row>
    <row r="116">
      <c r="B116">
        <f t="array" ref="B116">_xlfn.XLOOKUP(C116,INDIRECT("tblEquipment[Equipment ID]"),INDIRECT("tblEquipment[Production Department]"),"")</f>
        <v/>
      </c>
      <c r="D116">
        <f t="array" ref="D116">_xlfn.XLOOKUP(C116,INDIRECT("tblEquipment[Equipment ID]"),INDIRECT("tblEquipment[Equipment Name]"),"")</f>
        <v/>
      </c>
      <c r="F116" s="16" t="n"/>
      <c r="G116" s="16" t="n"/>
      <c r="H116" s="1">
        <f>IF(OR(F116=0,G116=0),"",(G116-F116)*24)</f>
        <v/>
      </c>
      <c r="I116" s="10" t="n"/>
      <c r="J116" s="1">
        <f>IF(OR(tblDowntime[[#This Row],[Failure Type]]="Sawshop",tblDowntime[[#This Row],[Failure Type]]="Electrical",tblDowntime[[#This Row],[Failure Type]]="Mechanical"),tblDowntime[[#This Row],[Downtime Hours]],"")</f>
        <v/>
      </c>
      <c r="K116" s="10" t="n"/>
      <c r="L116" s="10" t="n"/>
      <c r="M116">
        <f>IF(tblDowntime[[#This Row],[Maintenance Downtime Hours]]="","",tblDowntime[[#This Row],[Equipment ID]])</f>
        <v/>
      </c>
      <c r="N116" s="1">
        <f>IF(tblDowntime[[#This Row],[Failure Type]]="Production",tblDowntime[[#This Row],[Downtime Hours]],"")</f>
        <v/>
      </c>
      <c r="O116">
        <f>IF(tblDowntime[[#This Row],[Production Downtime Hours]]="","",tblDowntime[[#This Row],[Equipment ID]])</f>
        <v/>
      </c>
      <c r="P116" s="10" t="n"/>
    </row>
    <row r="117">
      <c r="B117">
        <f t="array" ref="B117">_xlfn.XLOOKUP(C117,INDIRECT("tblEquipment[Equipment ID]"),INDIRECT("tblEquipment[Production Department]"),"")</f>
        <v/>
      </c>
      <c r="D117">
        <f t="array" ref="D117">_xlfn.XLOOKUP(C117,INDIRECT("tblEquipment[Equipment ID]"),INDIRECT("tblEquipment[Equipment Name]"),"")</f>
        <v/>
      </c>
      <c r="F117" s="16" t="n"/>
      <c r="G117" s="16" t="n"/>
      <c r="H117" s="1">
        <f>IF(OR(F117=0,G117=0),"",(G117-F117)*24)</f>
        <v/>
      </c>
      <c r="I117" s="10" t="n"/>
      <c r="J117" s="1">
        <f>IF(OR(tblDowntime[[#This Row],[Failure Type]]="Sawshop",tblDowntime[[#This Row],[Failure Type]]="Electrical",tblDowntime[[#This Row],[Failure Type]]="Mechanical"),tblDowntime[[#This Row],[Downtime Hours]],"")</f>
        <v/>
      </c>
      <c r="K117" s="10" t="n"/>
      <c r="L117" s="10" t="n"/>
      <c r="M117">
        <f>IF(tblDowntime[[#This Row],[Maintenance Downtime Hours]]="","",tblDowntime[[#This Row],[Equipment ID]])</f>
        <v/>
      </c>
      <c r="N117" s="1">
        <f>IF(tblDowntime[[#This Row],[Failure Type]]="Production",tblDowntime[[#This Row],[Downtime Hours]],"")</f>
        <v/>
      </c>
      <c r="O117">
        <f>IF(tblDowntime[[#This Row],[Production Downtime Hours]]="","",tblDowntime[[#This Row],[Equipment ID]])</f>
        <v/>
      </c>
      <c r="P117" s="10" t="n"/>
    </row>
    <row r="118">
      <c r="B118">
        <f t="array" ref="B118">_xlfn.XLOOKUP(C118,INDIRECT("tblEquipment[Equipment ID]"),INDIRECT("tblEquipment[Production Department]"),"")</f>
        <v/>
      </c>
      <c r="D118">
        <f t="array" ref="D118">_xlfn.XLOOKUP(C118,INDIRECT("tblEquipment[Equipment ID]"),INDIRECT("tblEquipment[Equipment Name]"),"")</f>
        <v/>
      </c>
      <c r="F118" s="16" t="n"/>
      <c r="G118" s="16" t="n"/>
      <c r="H118" s="1">
        <f>IF(OR(F118=0,G118=0),"",(G118-F118)*24)</f>
        <v/>
      </c>
      <c r="I118" s="10" t="n"/>
      <c r="J118" s="1">
        <f>IF(OR(tblDowntime[[#This Row],[Failure Type]]="Sawshop",tblDowntime[[#This Row],[Failure Type]]="Electrical",tblDowntime[[#This Row],[Failure Type]]="Mechanical"),tblDowntime[[#This Row],[Downtime Hours]],"")</f>
        <v/>
      </c>
      <c r="K118" s="10" t="n"/>
      <c r="L118" s="10" t="n"/>
      <c r="M118">
        <f>IF(tblDowntime[[#This Row],[Maintenance Downtime Hours]]="","",tblDowntime[[#This Row],[Equipment ID]])</f>
        <v/>
      </c>
      <c r="N118" s="1">
        <f>IF(tblDowntime[[#This Row],[Failure Type]]="Production",tblDowntime[[#This Row],[Downtime Hours]],"")</f>
        <v/>
      </c>
      <c r="O118">
        <f>IF(tblDowntime[[#This Row],[Production Downtime Hours]]="","",tblDowntime[[#This Row],[Equipment ID]])</f>
        <v/>
      </c>
      <c r="P118" s="10" t="n"/>
    </row>
    <row r="119">
      <c r="B119">
        <f t="array" ref="B119">_xlfn.XLOOKUP(C119,INDIRECT("tblEquipment[Equipment ID]"),INDIRECT("tblEquipment[Production Department]"),"")</f>
        <v/>
      </c>
      <c r="D119">
        <f t="array" ref="D119">_xlfn.XLOOKUP(C119,INDIRECT("tblEquipment[Equipment ID]"),INDIRECT("tblEquipment[Equipment Name]"),"")</f>
        <v/>
      </c>
      <c r="F119" s="16" t="n"/>
      <c r="G119" s="16" t="n"/>
      <c r="H119" s="1">
        <f>IF(OR(F119=0,G119=0),"",(G119-F119)*24)</f>
        <v/>
      </c>
      <c r="I119" s="10" t="n"/>
      <c r="J119" s="1">
        <f>IF(OR(tblDowntime[[#This Row],[Failure Type]]="Sawshop",tblDowntime[[#This Row],[Failure Type]]="Electrical",tblDowntime[[#This Row],[Failure Type]]="Mechanical"),tblDowntime[[#This Row],[Downtime Hours]],"")</f>
        <v/>
      </c>
      <c r="K119" s="10" t="n"/>
      <c r="L119" s="10" t="n"/>
      <c r="M119">
        <f>IF(tblDowntime[[#This Row],[Maintenance Downtime Hours]]="","",tblDowntime[[#This Row],[Equipment ID]])</f>
        <v/>
      </c>
      <c r="N119" s="1">
        <f>IF(tblDowntime[[#This Row],[Failure Type]]="Production",tblDowntime[[#This Row],[Downtime Hours]],"")</f>
        <v/>
      </c>
      <c r="O119">
        <f>IF(tblDowntime[[#This Row],[Production Downtime Hours]]="","",tblDowntime[[#This Row],[Equipment ID]])</f>
        <v/>
      </c>
      <c r="P119" s="10" t="n"/>
    </row>
    <row r="120">
      <c r="B120">
        <f t="array" ref="B120">_xlfn.XLOOKUP(C120,INDIRECT("tblEquipment[Equipment ID]"),INDIRECT("tblEquipment[Production Department]"),"")</f>
        <v/>
      </c>
      <c r="D120">
        <f t="array" ref="D120">_xlfn.XLOOKUP(C120,INDIRECT("tblEquipment[Equipment ID]"),INDIRECT("tblEquipment[Equipment Name]"),"")</f>
        <v/>
      </c>
      <c r="F120" s="16" t="n"/>
      <c r="G120" s="16" t="n"/>
      <c r="H120" s="1">
        <f>IF(OR(F120=0,G120=0),"",(G120-F120)*24)</f>
        <v/>
      </c>
      <c r="I120" s="10" t="n"/>
      <c r="J120" s="1">
        <f>IF(OR(tblDowntime[[#This Row],[Failure Type]]="Sawshop",tblDowntime[[#This Row],[Failure Type]]="Electrical",tblDowntime[[#This Row],[Failure Type]]="Mechanical"),tblDowntime[[#This Row],[Downtime Hours]],"")</f>
        <v/>
      </c>
      <c r="K120" s="10" t="n"/>
      <c r="L120" s="10" t="n"/>
      <c r="M120">
        <f>IF(tblDowntime[[#This Row],[Maintenance Downtime Hours]]="","",tblDowntime[[#This Row],[Equipment ID]])</f>
        <v/>
      </c>
      <c r="N120" s="1">
        <f>IF(tblDowntime[[#This Row],[Failure Type]]="Production",tblDowntime[[#This Row],[Downtime Hours]],"")</f>
        <v/>
      </c>
      <c r="O120">
        <f>IF(tblDowntime[[#This Row],[Production Downtime Hours]]="","",tblDowntime[[#This Row],[Equipment ID]])</f>
        <v/>
      </c>
      <c r="P120" s="10" t="n"/>
    </row>
    <row r="121">
      <c r="B121">
        <f t="array" ref="B121">_xlfn.XLOOKUP(C121,INDIRECT("tblEquipment[Equipment ID]"),INDIRECT("tblEquipment[Production Department]"),"")</f>
        <v/>
      </c>
      <c r="D121">
        <f t="array" ref="D121">_xlfn.XLOOKUP(C121,INDIRECT("tblEquipment[Equipment ID]"),INDIRECT("tblEquipment[Equipment Name]"),"")</f>
        <v/>
      </c>
      <c r="F121" s="16" t="n"/>
      <c r="G121" s="16" t="n"/>
      <c r="H121" s="1">
        <f>IF(OR(F121=0,G121=0),"",(G121-F121)*24)</f>
        <v/>
      </c>
      <c r="I121" s="10" t="n"/>
      <c r="J121" s="1">
        <f>IF(OR(tblDowntime[[#This Row],[Failure Type]]="Sawshop",tblDowntime[[#This Row],[Failure Type]]="Electrical",tblDowntime[[#This Row],[Failure Type]]="Mechanical"),tblDowntime[[#This Row],[Downtime Hours]],"")</f>
        <v/>
      </c>
      <c r="K121" s="10" t="n"/>
      <c r="L121" s="10" t="n"/>
      <c r="M121">
        <f>IF(tblDowntime[[#This Row],[Maintenance Downtime Hours]]="","",tblDowntime[[#This Row],[Equipment ID]])</f>
        <v/>
      </c>
      <c r="N121" s="1">
        <f>IF(tblDowntime[[#This Row],[Failure Type]]="Production",tblDowntime[[#This Row],[Downtime Hours]],"")</f>
        <v/>
      </c>
      <c r="O121">
        <f>IF(tblDowntime[[#This Row],[Production Downtime Hours]]="","",tblDowntime[[#This Row],[Equipment ID]])</f>
        <v/>
      </c>
      <c r="P121" s="10" t="n"/>
    </row>
    <row r="122">
      <c r="B122">
        <f t="array" ref="B122">_xlfn.XLOOKUP(C122,INDIRECT("tblEquipment[Equipment ID]"),INDIRECT("tblEquipment[Production Department]"),"")</f>
        <v/>
      </c>
      <c r="D122">
        <f t="array" ref="D122">_xlfn.XLOOKUP(C122,INDIRECT("tblEquipment[Equipment ID]"),INDIRECT("tblEquipment[Equipment Name]"),"")</f>
        <v/>
      </c>
      <c r="F122" s="16" t="n"/>
      <c r="G122" s="16" t="n"/>
      <c r="H122" s="1">
        <f>IF(OR(F122=0,G122=0),"",(G122-F122)*24)</f>
        <v/>
      </c>
      <c r="I122" s="10" t="n"/>
      <c r="J122" s="1">
        <f>IF(OR(tblDowntime[[#This Row],[Failure Type]]="Sawshop",tblDowntime[[#This Row],[Failure Type]]="Electrical",tblDowntime[[#This Row],[Failure Type]]="Mechanical"),tblDowntime[[#This Row],[Downtime Hours]],"")</f>
        <v/>
      </c>
      <c r="K122" s="10" t="n"/>
      <c r="L122" s="10" t="n"/>
      <c r="M122">
        <f>IF(tblDowntime[[#This Row],[Maintenance Downtime Hours]]="","",tblDowntime[[#This Row],[Equipment ID]])</f>
        <v/>
      </c>
      <c r="N122" s="1">
        <f>IF(tblDowntime[[#This Row],[Failure Type]]="Production",tblDowntime[[#This Row],[Downtime Hours]],"")</f>
        <v/>
      </c>
      <c r="O122">
        <f>IF(tblDowntime[[#This Row],[Production Downtime Hours]]="","",tblDowntime[[#This Row],[Equipment ID]])</f>
        <v/>
      </c>
      <c r="P122" s="10" t="n"/>
    </row>
    <row r="123">
      <c r="B123">
        <f t="array" ref="B123">_xlfn.XLOOKUP(C123,INDIRECT("tblEquipment[Equipment ID]"),INDIRECT("tblEquipment[Production Department]"),"")</f>
        <v/>
      </c>
      <c r="D123">
        <f t="array" ref="D123">_xlfn.XLOOKUP(C123,INDIRECT("tblEquipment[Equipment ID]"),INDIRECT("tblEquipment[Equipment Name]"),"")</f>
        <v/>
      </c>
      <c r="F123" s="16" t="n"/>
      <c r="G123" s="16" t="n"/>
      <c r="H123" s="1">
        <f>IF(OR(F123=0,G123=0),"",(G123-F123)*24)</f>
        <v/>
      </c>
      <c r="I123" s="10" t="n"/>
      <c r="J123" s="1">
        <f>IF(OR(tblDowntime[[#This Row],[Failure Type]]="Sawshop",tblDowntime[[#This Row],[Failure Type]]="Electrical",tblDowntime[[#This Row],[Failure Type]]="Mechanical"),tblDowntime[[#This Row],[Downtime Hours]],"")</f>
        <v/>
      </c>
      <c r="K123" s="10" t="n"/>
      <c r="L123" s="10" t="n"/>
      <c r="M123">
        <f>IF(tblDowntime[[#This Row],[Maintenance Downtime Hours]]="","",tblDowntime[[#This Row],[Equipment ID]])</f>
        <v/>
      </c>
      <c r="N123" s="1">
        <f>IF(tblDowntime[[#This Row],[Failure Type]]="Production",tblDowntime[[#This Row],[Downtime Hours]],"")</f>
        <v/>
      </c>
      <c r="O123">
        <f>IF(tblDowntime[[#This Row],[Production Downtime Hours]]="","",tblDowntime[[#This Row],[Equipment ID]])</f>
        <v/>
      </c>
      <c r="P123" s="10" t="n"/>
    </row>
    <row r="124">
      <c r="B124">
        <f t="array" ref="B124">_xlfn.XLOOKUP(C124,INDIRECT("tblEquipment[Equipment ID]"),INDIRECT("tblEquipment[Production Department]"),"")</f>
        <v/>
      </c>
      <c r="D124">
        <f t="array" ref="D124">_xlfn.XLOOKUP(C124,INDIRECT("tblEquipment[Equipment ID]"),INDIRECT("tblEquipment[Equipment Name]"),"")</f>
        <v/>
      </c>
      <c r="F124" s="16" t="n"/>
      <c r="G124" s="16" t="n"/>
      <c r="H124" s="1">
        <f>IF(OR(F124=0,G124=0),"",(G124-F124)*24)</f>
        <v/>
      </c>
      <c r="I124" s="10" t="n"/>
      <c r="J124" s="1">
        <f>IF(OR(tblDowntime[[#This Row],[Failure Type]]="Sawshop",tblDowntime[[#This Row],[Failure Type]]="Electrical",tblDowntime[[#This Row],[Failure Type]]="Mechanical"),tblDowntime[[#This Row],[Downtime Hours]],"")</f>
        <v/>
      </c>
      <c r="K124" s="10" t="n"/>
      <c r="L124" s="10" t="n"/>
      <c r="M124">
        <f>IF(tblDowntime[[#This Row],[Maintenance Downtime Hours]]="","",tblDowntime[[#This Row],[Equipment ID]])</f>
        <v/>
      </c>
      <c r="N124" s="1">
        <f>IF(tblDowntime[[#This Row],[Failure Type]]="Production",tblDowntime[[#This Row],[Downtime Hours]],"")</f>
        <v/>
      </c>
      <c r="O124">
        <f>IF(tblDowntime[[#This Row],[Production Downtime Hours]]="","",tblDowntime[[#This Row],[Equipment ID]])</f>
        <v/>
      </c>
      <c r="P124" s="10" t="n"/>
    </row>
    <row r="125">
      <c r="B125">
        <f t="array" ref="B125">_xlfn.XLOOKUP(C125,INDIRECT("tblEquipment[Equipment ID]"),INDIRECT("tblEquipment[Production Department]"),"")</f>
        <v/>
      </c>
      <c r="D125">
        <f t="array" ref="D125">_xlfn.XLOOKUP(C125,INDIRECT("tblEquipment[Equipment ID]"),INDIRECT("tblEquipment[Equipment Name]"),"")</f>
        <v/>
      </c>
      <c r="F125" s="16" t="n"/>
      <c r="G125" s="16" t="n"/>
      <c r="H125" s="1">
        <f>IF(OR(F125=0,G125=0),"",(G125-F125)*24)</f>
        <v/>
      </c>
      <c r="I125" s="10" t="n"/>
      <c r="J125" s="1">
        <f>IF(OR(tblDowntime[[#This Row],[Failure Type]]="Sawshop",tblDowntime[[#This Row],[Failure Type]]="Electrical",tblDowntime[[#This Row],[Failure Type]]="Mechanical"),tblDowntime[[#This Row],[Downtime Hours]],"")</f>
        <v/>
      </c>
      <c r="K125" s="10" t="n"/>
      <c r="L125" s="10" t="n"/>
      <c r="M125">
        <f>IF(tblDowntime[[#This Row],[Maintenance Downtime Hours]]="","",tblDowntime[[#This Row],[Equipment ID]])</f>
        <v/>
      </c>
      <c r="N125" s="1">
        <f>IF(tblDowntime[[#This Row],[Failure Type]]="Production",tblDowntime[[#This Row],[Downtime Hours]],"")</f>
        <v/>
      </c>
      <c r="O125">
        <f>IF(tblDowntime[[#This Row],[Production Downtime Hours]]="","",tblDowntime[[#This Row],[Equipment ID]])</f>
        <v/>
      </c>
      <c r="P125" s="10" t="n"/>
    </row>
    <row r="126">
      <c r="B126">
        <f t="array" ref="B126">_xlfn.XLOOKUP(C126,INDIRECT("tblEquipment[Equipment ID]"),INDIRECT("tblEquipment[Production Department]"),"")</f>
        <v/>
      </c>
      <c r="D126">
        <f t="array" ref="D126">_xlfn.XLOOKUP(C126,INDIRECT("tblEquipment[Equipment ID]"),INDIRECT("tblEquipment[Equipment Name]"),"")</f>
        <v/>
      </c>
      <c r="F126" s="16" t="n"/>
      <c r="G126" s="16" t="n"/>
      <c r="H126" s="1">
        <f>IF(OR(F126=0,G126=0),"",(G126-F126)*24)</f>
        <v/>
      </c>
      <c r="I126" s="10" t="n"/>
      <c r="J126" s="1">
        <f>IF(OR(tblDowntime[[#This Row],[Failure Type]]="Sawshop",tblDowntime[[#This Row],[Failure Type]]="Electrical",tblDowntime[[#This Row],[Failure Type]]="Mechanical"),tblDowntime[[#This Row],[Downtime Hours]],"")</f>
        <v/>
      </c>
      <c r="K126" s="10" t="n"/>
      <c r="L126" s="10" t="n"/>
      <c r="M126">
        <f>IF(tblDowntime[[#This Row],[Maintenance Downtime Hours]]="","",tblDowntime[[#This Row],[Equipment ID]])</f>
        <v/>
      </c>
      <c r="N126" s="1">
        <f>IF(tblDowntime[[#This Row],[Failure Type]]="Production",tblDowntime[[#This Row],[Downtime Hours]],"")</f>
        <v/>
      </c>
      <c r="O126">
        <f>IF(tblDowntime[[#This Row],[Production Downtime Hours]]="","",tblDowntime[[#This Row],[Equipment ID]])</f>
        <v/>
      </c>
      <c r="P126" s="10" t="n"/>
    </row>
    <row r="127">
      <c r="B127">
        <f t="array" ref="B127">_xlfn.XLOOKUP(C127,INDIRECT("tblEquipment[Equipment ID]"),INDIRECT("tblEquipment[Production Department]"),"")</f>
        <v/>
      </c>
      <c r="D127">
        <f t="array" ref="D127">_xlfn.XLOOKUP(C127,INDIRECT("tblEquipment[Equipment ID]"),INDIRECT("tblEquipment[Equipment Name]"),"")</f>
        <v/>
      </c>
      <c r="F127" s="16" t="n"/>
      <c r="G127" s="16" t="n"/>
      <c r="H127" s="1">
        <f>IF(OR(F127=0,G127=0),"",(G127-F127)*24)</f>
        <v/>
      </c>
      <c r="I127" s="10" t="n"/>
      <c r="J127" s="1">
        <f>IF(OR(tblDowntime[[#This Row],[Failure Type]]="Sawshop",tblDowntime[[#This Row],[Failure Type]]="Electrical",tblDowntime[[#This Row],[Failure Type]]="Mechanical"),tblDowntime[[#This Row],[Downtime Hours]],"")</f>
        <v/>
      </c>
      <c r="K127" s="10" t="n"/>
      <c r="L127" s="10" t="n"/>
      <c r="M127">
        <f>IF(tblDowntime[[#This Row],[Maintenance Downtime Hours]]="","",tblDowntime[[#This Row],[Equipment ID]])</f>
        <v/>
      </c>
      <c r="N127" s="1">
        <f>IF(tblDowntime[[#This Row],[Failure Type]]="Production",tblDowntime[[#This Row],[Downtime Hours]],"")</f>
        <v/>
      </c>
      <c r="O127">
        <f>IF(tblDowntime[[#This Row],[Production Downtime Hours]]="","",tblDowntime[[#This Row],[Equipment ID]])</f>
        <v/>
      </c>
      <c r="P127" s="10" t="n"/>
    </row>
    <row r="128">
      <c r="B128">
        <f t="array" ref="B128">_xlfn.XLOOKUP(C128,INDIRECT("tblEquipment[Equipment ID]"),INDIRECT("tblEquipment[Production Department]"),"")</f>
        <v/>
      </c>
      <c r="D128">
        <f t="array" ref="D128">_xlfn.XLOOKUP(C128,INDIRECT("tblEquipment[Equipment ID]"),INDIRECT("tblEquipment[Equipment Name]"),"")</f>
        <v/>
      </c>
      <c r="F128" s="16" t="n"/>
      <c r="G128" s="16" t="n"/>
      <c r="H128" s="1">
        <f>IF(OR(F128=0,G128=0),"",(G128-F128)*24)</f>
        <v/>
      </c>
      <c r="I128" s="10" t="n"/>
      <c r="J128" s="1">
        <f>IF(OR(tblDowntime[[#This Row],[Failure Type]]="Sawshop",tblDowntime[[#This Row],[Failure Type]]="Electrical",tblDowntime[[#This Row],[Failure Type]]="Mechanical"),tblDowntime[[#This Row],[Downtime Hours]],"")</f>
        <v/>
      </c>
      <c r="K128" s="10" t="n"/>
      <c r="L128" s="10" t="n"/>
      <c r="M128">
        <f>IF(tblDowntime[[#This Row],[Maintenance Downtime Hours]]="","",tblDowntime[[#This Row],[Equipment ID]])</f>
        <v/>
      </c>
      <c r="N128" s="1">
        <f>IF(tblDowntime[[#This Row],[Failure Type]]="Production",tblDowntime[[#This Row],[Downtime Hours]],"")</f>
        <v/>
      </c>
      <c r="O128">
        <f>IF(tblDowntime[[#This Row],[Production Downtime Hours]]="","",tblDowntime[[#This Row],[Equipment ID]])</f>
        <v/>
      </c>
      <c r="P128" s="10" t="n"/>
    </row>
    <row r="129">
      <c r="B129">
        <f t="array" ref="B129">_xlfn.XLOOKUP(C129,INDIRECT("tblEquipment[Equipment ID]"),INDIRECT("tblEquipment[Production Department]"),"")</f>
        <v/>
      </c>
      <c r="D129">
        <f t="array" ref="D129">_xlfn.XLOOKUP(C129,INDIRECT("tblEquipment[Equipment ID]"),INDIRECT("tblEquipment[Equipment Name]"),"")</f>
        <v/>
      </c>
      <c r="F129" s="16" t="n"/>
      <c r="G129" s="16" t="n"/>
      <c r="H129" s="1">
        <f>IF(OR(F129=0,G129=0),"",(G129-F129)*24)</f>
        <v/>
      </c>
      <c r="I129" s="10" t="n"/>
      <c r="J129" s="1">
        <f>IF(OR(tblDowntime[[#This Row],[Failure Type]]="Sawshop",tblDowntime[[#This Row],[Failure Type]]="Electrical",tblDowntime[[#This Row],[Failure Type]]="Mechanical"),tblDowntime[[#This Row],[Downtime Hours]],"")</f>
        <v/>
      </c>
      <c r="K129" s="10" t="n"/>
      <c r="L129" s="10" t="n"/>
      <c r="M129">
        <f>IF(tblDowntime[[#This Row],[Maintenance Downtime Hours]]="","",tblDowntime[[#This Row],[Equipment ID]])</f>
        <v/>
      </c>
      <c r="N129" s="1">
        <f>IF(tblDowntime[[#This Row],[Failure Type]]="Production",tblDowntime[[#This Row],[Downtime Hours]],"")</f>
        <v/>
      </c>
      <c r="O129">
        <f>IF(tblDowntime[[#This Row],[Production Downtime Hours]]="","",tblDowntime[[#This Row],[Equipment ID]])</f>
        <v/>
      </c>
      <c r="P129" s="10" t="n"/>
    </row>
    <row r="130">
      <c r="B130">
        <f t="array" ref="B130">_xlfn.XLOOKUP(C130,INDIRECT("tblEquipment[Equipment ID]"),INDIRECT("tblEquipment[Production Department]"),"")</f>
        <v/>
      </c>
      <c r="D130">
        <f t="array" ref="D130">_xlfn.XLOOKUP(C130,INDIRECT("tblEquipment[Equipment ID]"),INDIRECT("tblEquipment[Equipment Name]"),"")</f>
        <v/>
      </c>
      <c r="F130" s="16" t="n"/>
      <c r="G130" s="16" t="n"/>
      <c r="H130" s="1">
        <f>IF(OR(F130=0,G130=0),"",(G130-F130)*24)</f>
        <v/>
      </c>
      <c r="I130" s="10" t="n"/>
      <c r="J130" s="1">
        <f>IF(OR(tblDowntime[[#This Row],[Failure Type]]="Sawshop",tblDowntime[[#This Row],[Failure Type]]="Electrical",tblDowntime[[#This Row],[Failure Type]]="Mechanical"),tblDowntime[[#This Row],[Downtime Hours]],"")</f>
        <v/>
      </c>
      <c r="K130" s="10" t="n"/>
      <c r="L130" s="10" t="n"/>
      <c r="M130">
        <f>IF(tblDowntime[[#This Row],[Maintenance Downtime Hours]]="","",tblDowntime[[#This Row],[Equipment ID]])</f>
        <v/>
      </c>
      <c r="N130" s="1">
        <f>IF(tblDowntime[[#This Row],[Failure Type]]="Production",tblDowntime[[#This Row],[Downtime Hours]],"")</f>
        <v/>
      </c>
      <c r="O130">
        <f>IF(tblDowntime[[#This Row],[Production Downtime Hours]]="","",tblDowntime[[#This Row],[Equipment ID]])</f>
        <v/>
      </c>
      <c r="P130" s="10" t="n"/>
    </row>
    <row r="131">
      <c r="B131">
        <f t="array" ref="B131">_xlfn.XLOOKUP(C131,INDIRECT("tblEquipment[Equipment ID]"),INDIRECT("tblEquipment[Production Department]"),"")</f>
        <v/>
      </c>
      <c r="D131">
        <f t="array" ref="D131">_xlfn.XLOOKUP(C131,INDIRECT("tblEquipment[Equipment ID]"),INDIRECT("tblEquipment[Equipment Name]"),"")</f>
        <v/>
      </c>
      <c r="F131" s="16" t="n"/>
      <c r="G131" s="16" t="n"/>
      <c r="H131" s="1">
        <f>IF(OR(F131=0,G131=0),"",(G131-F131)*24)</f>
        <v/>
      </c>
      <c r="I131" s="10" t="n"/>
      <c r="J131" s="1">
        <f>IF(OR(tblDowntime[[#This Row],[Failure Type]]="Sawshop",tblDowntime[[#This Row],[Failure Type]]="Electrical",tblDowntime[[#This Row],[Failure Type]]="Mechanical"),tblDowntime[[#This Row],[Downtime Hours]],"")</f>
        <v/>
      </c>
      <c r="K131" s="10" t="n"/>
      <c r="L131" s="10" t="n"/>
      <c r="M131">
        <f>IF(tblDowntime[[#This Row],[Maintenance Downtime Hours]]="","",tblDowntime[[#This Row],[Equipment ID]])</f>
        <v/>
      </c>
      <c r="N131" s="1">
        <f>IF(tblDowntime[[#This Row],[Failure Type]]="Production",tblDowntime[[#This Row],[Downtime Hours]],"")</f>
        <v/>
      </c>
      <c r="O131">
        <f>IF(tblDowntime[[#This Row],[Production Downtime Hours]]="","",tblDowntime[[#This Row],[Equipment ID]])</f>
        <v/>
      </c>
      <c r="P131" s="10" t="n"/>
    </row>
    <row r="132">
      <c r="B132">
        <f t="array" ref="B132">_xlfn.XLOOKUP(C132,INDIRECT("tblEquipment[Equipment ID]"),INDIRECT("tblEquipment[Production Department]"),"")</f>
        <v/>
      </c>
      <c r="D132">
        <f t="array" ref="D132">_xlfn.XLOOKUP(C132,INDIRECT("tblEquipment[Equipment ID]"),INDIRECT("tblEquipment[Equipment Name]"),"")</f>
        <v/>
      </c>
      <c r="F132" s="16" t="n"/>
      <c r="G132" s="16" t="n"/>
      <c r="H132" s="1">
        <f>IF(OR(F132=0,G132=0),"",(G132-F132)*24)</f>
        <v/>
      </c>
      <c r="I132" s="10" t="n"/>
      <c r="J132" s="1">
        <f>IF(OR(tblDowntime[[#This Row],[Failure Type]]="Sawshop",tblDowntime[[#This Row],[Failure Type]]="Electrical",tblDowntime[[#This Row],[Failure Type]]="Mechanical"),tblDowntime[[#This Row],[Downtime Hours]],"")</f>
        <v/>
      </c>
      <c r="K132" s="10" t="n"/>
      <c r="L132" s="10" t="n"/>
      <c r="M132">
        <f>IF(tblDowntime[[#This Row],[Maintenance Downtime Hours]]="","",tblDowntime[[#This Row],[Equipment ID]])</f>
        <v/>
      </c>
      <c r="N132" s="1">
        <f>IF(tblDowntime[[#This Row],[Failure Type]]="Production",tblDowntime[[#This Row],[Downtime Hours]],"")</f>
        <v/>
      </c>
      <c r="O132">
        <f>IF(tblDowntime[[#This Row],[Production Downtime Hours]]="","",tblDowntime[[#This Row],[Equipment ID]])</f>
        <v/>
      </c>
      <c r="P132" s="10" t="n"/>
    </row>
    <row r="133">
      <c r="B133">
        <f t="array" ref="B133">_xlfn.XLOOKUP(C133,INDIRECT("tblEquipment[Equipment ID]"),INDIRECT("tblEquipment[Production Department]"),"")</f>
        <v/>
      </c>
      <c r="D133">
        <f t="array" ref="D133">_xlfn.XLOOKUP(C133,INDIRECT("tblEquipment[Equipment ID]"),INDIRECT("tblEquipment[Equipment Name]"),"")</f>
        <v/>
      </c>
      <c r="F133" s="16" t="n"/>
      <c r="G133" s="16" t="n"/>
      <c r="H133" s="1">
        <f>IF(OR(F133=0,G133=0),"",(G133-F133)*24)</f>
        <v/>
      </c>
      <c r="I133" s="10" t="n"/>
      <c r="J133" s="1">
        <f>IF(OR(tblDowntime[[#This Row],[Failure Type]]="Sawshop",tblDowntime[[#This Row],[Failure Type]]="Electrical",tblDowntime[[#This Row],[Failure Type]]="Mechanical"),tblDowntime[[#This Row],[Downtime Hours]],"")</f>
        <v/>
      </c>
      <c r="K133" s="10" t="n"/>
      <c r="L133" s="10" t="n"/>
      <c r="M133">
        <f>IF(tblDowntime[[#This Row],[Maintenance Downtime Hours]]="","",tblDowntime[[#This Row],[Equipment ID]])</f>
        <v/>
      </c>
      <c r="N133" s="1">
        <f>IF(tblDowntime[[#This Row],[Failure Type]]="Production",tblDowntime[[#This Row],[Downtime Hours]],"")</f>
        <v/>
      </c>
      <c r="O133">
        <f>IF(tblDowntime[[#This Row],[Production Downtime Hours]]="","",tblDowntime[[#This Row],[Equipment ID]])</f>
        <v/>
      </c>
      <c r="P133" s="10" t="n"/>
    </row>
    <row r="134">
      <c r="B134">
        <f t="array" ref="B134">_xlfn.XLOOKUP(C134,INDIRECT("tblEquipment[Equipment ID]"),INDIRECT("tblEquipment[Production Department]"),"")</f>
        <v/>
      </c>
      <c r="D134">
        <f t="array" ref="D134">_xlfn.XLOOKUP(C134,INDIRECT("tblEquipment[Equipment ID]"),INDIRECT("tblEquipment[Equipment Name]"),"")</f>
        <v/>
      </c>
      <c r="F134" s="16" t="n"/>
      <c r="G134" s="16" t="n"/>
      <c r="H134" s="1">
        <f>IF(OR(F134=0,G134=0),"",(G134-F134)*24)</f>
        <v/>
      </c>
      <c r="I134" s="10" t="n"/>
      <c r="J134" s="1">
        <f>IF(OR(tblDowntime[[#This Row],[Failure Type]]="Sawshop",tblDowntime[[#This Row],[Failure Type]]="Electrical",tblDowntime[[#This Row],[Failure Type]]="Mechanical"),tblDowntime[[#This Row],[Downtime Hours]],"")</f>
        <v/>
      </c>
      <c r="K134" s="10" t="n"/>
      <c r="L134" s="10" t="n"/>
      <c r="M134">
        <f>IF(tblDowntime[[#This Row],[Maintenance Downtime Hours]]="","",tblDowntime[[#This Row],[Equipment ID]])</f>
        <v/>
      </c>
      <c r="N134" s="1">
        <f>IF(tblDowntime[[#This Row],[Failure Type]]="Production",tblDowntime[[#This Row],[Downtime Hours]],"")</f>
        <v/>
      </c>
      <c r="O134">
        <f>IF(tblDowntime[[#This Row],[Production Downtime Hours]]="","",tblDowntime[[#This Row],[Equipment ID]])</f>
        <v/>
      </c>
      <c r="P134" s="10" t="n"/>
    </row>
    <row r="135">
      <c r="B135">
        <f t="array" ref="B135">_xlfn.XLOOKUP(C135,INDIRECT("tblEquipment[Equipment ID]"),INDIRECT("tblEquipment[Production Department]"),"")</f>
        <v/>
      </c>
      <c r="D135">
        <f t="array" ref="D135">_xlfn.XLOOKUP(C135,INDIRECT("tblEquipment[Equipment ID]"),INDIRECT("tblEquipment[Equipment Name]"),"")</f>
        <v/>
      </c>
      <c r="F135" s="16" t="n"/>
      <c r="G135" s="16" t="n"/>
      <c r="H135" s="1">
        <f>IF(OR(F135=0,G135=0),"",(G135-F135)*24)</f>
        <v/>
      </c>
      <c r="I135" s="10" t="n"/>
      <c r="J135" s="1">
        <f>IF(OR(tblDowntime[[#This Row],[Failure Type]]="Sawshop",tblDowntime[[#This Row],[Failure Type]]="Electrical",tblDowntime[[#This Row],[Failure Type]]="Mechanical"),tblDowntime[[#This Row],[Downtime Hours]],"")</f>
        <v/>
      </c>
      <c r="K135" s="10" t="n"/>
      <c r="L135" s="10" t="n"/>
      <c r="M135">
        <f>IF(tblDowntime[[#This Row],[Maintenance Downtime Hours]]="","",tblDowntime[[#This Row],[Equipment ID]])</f>
        <v/>
      </c>
      <c r="N135" s="1">
        <f>IF(tblDowntime[[#This Row],[Failure Type]]="Production",tblDowntime[[#This Row],[Downtime Hours]],"")</f>
        <v/>
      </c>
      <c r="O135">
        <f>IF(tblDowntime[[#This Row],[Production Downtime Hours]]="","",tblDowntime[[#This Row],[Equipment ID]])</f>
        <v/>
      </c>
      <c r="P135" s="10" t="n"/>
    </row>
    <row r="136">
      <c r="B136">
        <f t="array" ref="B136">_xlfn.XLOOKUP(C136,INDIRECT("tblEquipment[Equipment ID]"),INDIRECT("tblEquipment[Production Department]"),"")</f>
        <v/>
      </c>
      <c r="D136">
        <f t="array" ref="D136">_xlfn.XLOOKUP(C136,INDIRECT("tblEquipment[Equipment ID]"),INDIRECT("tblEquipment[Equipment Name]"),"")</f>
        <v/>
      </c>
      <c r="F136" s="16" t="n"/>
      <c r="G136" s="16" t="n"/>
      <c r="H136" s="1">
        <f>IF(OR(F136=0,G136=0),"",(G136-F136)*24)</f>
        <v/>
      </c>
      <c r="I136" s="10" t="n"/>
      <c r="J136" s="1">
        <f>IF(OR(tblDowntime[[#This Row],[Failure Type]]="Sawshop",tblDowntime[[#This Row],[Failure Type]]="Electrical",tblDowntime[[#This Row],[Failure Type]]="Mechanical"),tblDowntime[[#This Row],[Downtime Hours]],"")</f>
        <v/>
      </c>
      <c r="K136" s="10" t="n"/>
      <c r="L136" s="10" t="n"/>
      <c r="M136">
        <f>IF(tblDowntime[[#This Row],[Maintenance Downtime Hours]]="","",tblDowntime[[#This Row],[Equipment ID]])</f>
        <v/>
      </c>
      <c r="N136" s="1">
        <f>IF(tblDowntime[[#This Row],[Failure Type]]="Production",tblDowntime[[#This Row],[Downtime Hours]],"")</f>
        <v/>
      </c>
      <c r="O136">
        <f>IF(tblDowntime[[#This Row],[Production Downtime Hours]]="","",tblDowntime[[#This Row],[Equipment ID]])</f>
        <v/>
      </c>
      <c r="P136" s="10" t="n"/>
    </row>
    <row r="137">
      <c r="B137">
        <f t="array" ref="B137">_xlfn.XLOOKUP(C137,INDIRECT("tblEquipment[Equipment ID]"),INDIRECT("tblEquipment[Production Department]"),"")</f>
        <v/>
      </c>
      <c r="D137">
        <f t="array" ref="D137">_xlfn.XLOOKUP(C137,INDIRECT("tblEquipment[Equipment ID]"),INDIRECT("tblEquipment[Equipment Name]"),"")</f>
        <v/>
      </c>
      <c r="F137" s="16" t="n"/>
      <c r="G137" s="16" t="n"/>
      <c r="H137" s="1">
        <f>IF(OR(F137=0,G137=0),"",(G137-F137)*24)</f>
        <v/>
      </c>
      <c r="I137" s="10" t="n"/>
      <c r="J137" s="1">
        <f>IF(OR(tblDowntime[[#This Row],[Failure Type]]="Sawshop",tblDowntime[[#This Row],[Failure Type]]="Electrical",tblDowntime[[#This Row],[Failure Type]]="Mechanical"),tblDowntime[[#This Row],[Downtime Hours]],"")</f>
        <v/>
      </c>
      <c r="K137" s="10" t="n"/>
      <c r="L137" s="10" t="n"/>
      <c r="M137">
        <f>IF(tblDowntime[[#This Row],[Maintenance Downtime Hours]]="","",tblDowntime[[#This Row],[Equipment ID]])</f>
        <v/>
      </c>
      <c r="N137" s="1">
        <f>IF(tblDowntime[[#This Row],[Failure Type]]="Production",tblDowntime[[#This Row],[Downtime Hours]],"")</f>
        <v/>
      </c>
      <c r="O137">
        <f>IF(tblDowntime[[#This Row],[Production Downtime Hours]]="","",tblDowntime[[#This Row],[Equipment ID]])</f>
        <v/>
      </c>
      <c r="P137" s="10" t="n"/>
    </row>
    <row r="138">
      <c r="B138">
        <f t="array" ref="B138">_xlfn.XLOOKUP(C138,INDIRECT("tblEquipment[Equipment ID]"),INDIRECT("tblEquipment[Production Department]"),"")</f>
        <v/>
      </c>
      <c r="D138">
        <f t="array" ref="D138">_xlfn.XLOOKUP(C138,INDIRECT("tblEquipment[Equipment ID]"),INDIRECT("tblEquipment[Equipment Name]"),"")</f>
        <v/>
      </c>
      <c r="F138" s="16" t="n"/>
      <c r="G138" s="16" t="n"/>
      <c r="H138" s="1">
        <f>IF(OR(F138=0,G138=0),"",(G138-F138)*24)</f>
        <v/>
      </c>
      <c r="I138" s="10" t="n"/>
      <c r="J138" s="1">
        <f>IF(OR(tblDowntime[[#This Row],[Failure Type]]="Sawshop",tblDowntime[[#This Row],[Failure Type]]="Electrical",tblDowntime[[#This Row],[Failure Type]]="Mechanical"),tblDowntime[[#This Row],[Downtime Hours]],"")</f>
        <v/>
      </c>
      <c r="K138" s="10" t="n"/>
      <c r="L138" s="10" t="n"/>
      <c r="M138">
        <f>IF(tblDowntime[[#This Row],[Maintenance Downtime Hours]]="","",tblDowntime[[#This Row],[Equipment ID]])</f>
        <v/>
      </c>
      <c r="N138" s="1">
        <f>IF(tblDowntime[[#This Row],[Failure Type]]="Production",tblDowntime[[#This Row],[Downtime Hours]],"")</f>
        <v/>
      </c>
      <c r="O138">
        <f>IF(tblDowntime[[#This Row],[Production Downtime Hours]]="","",tblDowntime[[#This Row],[Equipment ID]])</f>
        <v/>
      </c>
      <c r="P138" s="10" t="n"/>
    </row>
    <row r="139">
      <c r="B139">
        <f t="array" ref="B139">_xlfn.XLOOKUP(C139,INDIRECT("tblEquipment[Equipment ID]"),INDIRECT("tblEquipment[Production Department]"),"")</f>
        <v/>
      </c>
      <c r="D139">
        <f t="array" ref="D139">_xlfn.XLOOKUP(C139,INDIRECT("tblEquipment[Equipment ID]"),INDIRECT("tblEquipment[Equipment Name]"),"")</f>
        <v/>
      </c>
      <c r="F139" s="16" t="n"/>
      <c r="G139" s="16" t="n"/>
      <c r="H139" s="1">
        <f>IF(OR(F139=0,G139=0),"",(G139-F139)*24)</f>
        <v/>
      </c>
      <c r="I139" s="10" t="n"/>
      <c r="J139" s="1">
        <f>IF(OR(tblDowntime[[#This Row],[Failure Type]]="Sawshop",tblDowntime[[#This Row],[Failure Type]]="Electrical",tblDowntime[[#This Row],[Failure Type]]="Mechanical"),tblDowntime[[#This Row],[Downtime Hours]],"")</f>
        <v/>
      </c>
      <c r="K139" s="10" t="n"/>
      <c r="L139" s="10" t="n"/>
      <c r="M139">
        <f>IF(tblDowntime[[#This Row],[Maintenance Downtime Hours]]="","",tblDowntime[[#This Row],[Equipment ID]])</f>
        <v/>
      </c>
      <c r="N139" s="1">
        <f>IF(tblDowntime[[#This Row],[Failure Type]]="Production",tblDowntime[[#This Row],[Downtime Hours]],"")</f>
        <v/>
      </c>
      <c r="O139">
        <f>IF(tblDowntime[[#This Row],[Production Downtime Hours]]="","",tblDowntime[[#This Row],[Equipment ID]])</f>
        <v/>
      </c>
      <c r="P139" s="10" t="n"/>
    </row>
    <row r="140">
      <c r="B140">
        <f t="array" ref="B140">_xlfn.XLOOKUP(C140,INDIRECT("tblEquipment[Equipment ID]"),INDIRECT("tblEquipment[Production Department]"),"")</f>
        <v/>
      </c>
      <c r="D140">
        <f t="array" ref="D140">_xlfn.XLOOKUP(C140,INDIRECT("tblEquipment[Equipment ID]"),INDIRECT("tblEquipment[Equipment Name]"),"")</f>
        <v/>
      </c>
      <c r="F140" s="16" t="n"/>
      <c r="G140" s="16" t="n"/>
      <c r="H140" s="1">
        <f>IF(OR(F140=0,G140=0),"",(G140-F140)*24)</f>
        <v/>
      </c>
      <c r="I140" s="10" t="n"/>
      <c r="J140" s="1">
        <f>IF(OR(tblDowntime[[#This Row],[Failure Type]]="Sawshop",tblDowntime[[#This Row],[Failure Type]]="Electrical",tblDowntime[[#This Row],[Failure Type]]="Mechanical"),tblDowntime[[#This Row],[Downtime Hours]],"")</f>
        <v/>
      </c>
      <c r="K140" s="10" t="n"/>
      <c r="L140" s="10" t="n"/>
      <c r="M140">
        <f>IF(tblDowntime[[#This Row],[Maintenance Downtime Hours]]="","",tblDowntime[[#This Row],[Equipment ID]])</f>
        <v/>
      </c>
      <c r="N140" s="1">
        <f>IF(tblDowntime[[#This Row],[Failure Type]]="Production",tblDowntime[[#This Row],[Downtime Hours]],"")</f>
        <v/>
      </c>
      <c r="O140">
        <f>IF(tblDowntime[[#This Row],[Production Downtime Hours]]="","",tblDowntime[[#This Row],[Equipment ID]])</f>
        <v/>
      </c>
      <c r="P140" s="10" t="n"/>
    </row>
    <row r="141">
      <c r="B141">
        <f t="array" ref="B141">_xlfn.XLOOKUP(C141,INDIRECT("tblEquipment[Equipment ID]"),INDIRECT("tblEquipment[Production Department]"),"")</f>
        <v/>
      </c>
      <c r="D141">
        <f t="array" ref="D141">_xlfn.XLOOKUP(C141,INDIRECT("tblEquipment[Equipment ID]"),INDIRECT("tblEquipment[Equipment Name]"),"")</f>
        <v/>
      </c>
      <c r="F141" s="16" t="n"/>
      <c r="G141" s="16" t="n"/>
      <c r="H141" s="1">
        <f>IF(OR(F141=0,G141=0),"",(G141-F141)*24)</f>
        <v/>
      </c>
      <c r="I141" s="10" t="n"/>
      <c r="J141" s="1">
        <f>IF(OR(tblDowntime[[#This Row],[Failure Type]]="Sawshop",tblDowntime[[#This Row],[Failure Type]]="Electrical",tblDowntime[[#This Row],[Failure Type]]="Mechanical"),tblDowntime[[#This Row],[Downtime Hours]],"")</f>
        <v/>
      </c>
      <c r="K141" s="10" t="n"/>
      <c r="L141" s="10" t="n"/>
      <c r="M141">
        <f>IF(tblDowntime[[#This Row],[Maintenance Downtime Hours]]="","",tblDowntime[[#This Row],[Equipment ID]])</f>
        <v/>
      </c>
      <c r="N141" s="1">
        <f>IF(tblDowntime[[#This Row],[Failure Type]]="Production",tblDowntime[[#This Row],[Downtime Hours]],"")</f>
        <v/>
      </c>
      <c r="O141">
        <f>IF(tblDowntime[[#This Row],[Production Downtime Hours]]="","",tblDowntime[[#This Row],[Equipment ID]])</f>
        <v/>
      </c>
      <c r="P141" s="10" t="n"/>
    </row>
    <row r="142">
      <c r="B142">
        <f t="array" ref="B142">_xlfn.XLOOKUP(C142,INDIRECT("tblEquipment[Equipment ID]"),INDIRECT("tblEquipment[Production Department]"),"")</f>
        <v/>
      </c>
      <c r="D142">
        <f t="array" ref="D142">_xlfn.XLOOKUP(C142,INDIRECT("tblEquipment[Equipment ID]"),INDIRECT("tblEquipment[Equipment Name]"),"")</f>
        <v/>
      </c>
      <c r="F142" s="16" t="n"/>
      <c r="G142" s="16" t="n"/>
      <c r="H142" s="1">
        <f>IF(OR(F142=0,G142=0),"",(G142-F142)*24)</f>
        <v/>
      </c>
      <c r="I142" s="10" t="n"/>
      <c r="J142" s="1">
        <f>IF(OR(tblDowntime[[#This Row],[Failure Type]]="Sawshop",tblDowntime[[#This Row],[Failure Type]]="Electrical",tblDowntime[[#This Row],[Failure Type]]="Mechanical"),tblDowntime[[#This Row],[Downtime Hours]],"")</f>
        <v/>
      </c>
      <c r="K142" s="10" t="n"/>
      <c r="L142" s="10" t="n"/>
      <c r="M142">
        <f>IF(tblDowntime[[#This Row],[Maintenance Downtime Hours]]="","",tblDowntime[[#This Row],[Equipment ID]])</f>
        <v/>
      </c>
      <c r="N142" s="1">
        <f>IF(tblDowntime[[#This Row],[Failure Type]]="Production",tblDowntime[[#This Row],[Downtime Hours]],"")</f>
        <v/>
      </c>
      <c r="O142">
        <f>IF(tblDowntime[[#This Row],[Production Downtime Hours]]="","",tblDowntime[[#This Row],[Equipment ID]])</f>
        <v/>
      </c>
      <c r="P142" s="10" t="n"/>
    </row>
    <row r="143">
      <c r="B143">
        <f t="array" ref="B143">_xlfn.XLOOKUP(C143,INDIRECT("tblEquipment[Equipment ID]"),INDIRECT("tblEquipment[Production Department]"),"")</f>
        <v/>
      </c>
      <c r="D143">
        <f t="array" ref="D143">_xlfn.XLOOKUP(C143,INDIRECT("tblEquipment[Equipment ID]"),INDIRECT("tblEquipment[Equipment Name]"),"")</f>
        <v/>
      </c>
      <c r="F143" s="16" t="n"/>
      <c r="G143" s="16" t="n"/>
      <c r="H143" s="1">
        <f>IF(OR(F143=0,G143=0),"",(G143-F143)*24)</f>
        <v/>
      </c>
      <c r="I143" s="10" t="n"/>
      <c r="J143" s="1">
        <f>IF(OR(tblDowntime[[#This Row],[Failure Type]]="Sawshop",tblDowntime[[#This Row],[Failure Type]]="Electrical",tblDowntime[[#This Row],[Failure Type]]="Mechanical"),tblDowntime[[#This Row],[Downtime Hours]],"")</f>
        <v/>
      </c>
      <c r="K143" s="10" t="n"/>
      <c r="L143" s="10" t="n"/>
      <c r="M143">
        <f>IF(tblDowntime[[#This Row],[Maintenance Downtime Hours]]="","",tblDowntime[[#This Row],[Equipment ID]])</f>
        <v/>
      </c>
      <c r="N143" s="1">
        <f>IF(tblDowntime[[#This Row],[Failure Type]]="Production",tblDowntime[[#This Row],[Downtime Hours]],"")</f>
        <v/>
      </c>
      <c r="O143">
        <f>IF(tblDowntime[[#This Row],[Production Downtime Hours]]="","",tblDowntime[[#This Row],[Equipment ID]])</f>
        <v/>
      </c>
      <c r="P143" s="10" t="n"/>
    </row>
    <row r="144">
      <c r="B144">
        <f t="array" ref="B144">_xlfn.XLOOKUP(C144,INDIRECT("tblEquipment[Equipment ID]"),INDIRECT("tblEquipment[Production Department]"),"")</f>
        <v/>
      </c>
      <c r="D144">
        <f t="array" ref="D144">_xlfn.XLOOKUP(C144,INDIRECT("tblEquipment[Equipment ID]"),INDIRECT("tblEquipment[Equipment Name]"),"")</f>
        <v/>
      </c>
      <c r="F144" s="16" t="n"/>
      <c r="G144" s="16" t="n"/>
      <c r="H144" s="1">
        <f>IF(OR(F144=0,G144=0),"",(G144-F144)*24)</f>
        <v/>
      </c>
      <c r="I144" s="10" t="n"/>
      <c r="J144" s="1">
        <f>IF(OR(tblDowntime[[#This Row],[Failure Type]]="Sawshop",tblDowntime[[#This Row],[Failure Type]]="Electrical",tblDowntime[[#This Row],[Failure Type]]="Mechanical"),tblDowntime[[#This Row],[Downtime Hours]],"")</f>
        <v/>
      </c>
      <c r="K144" s="10" t="n"/>
      <c r="L144" s="10" t="n"/>
      <c r="M144">
        <f>IF(tblDowntime[[#This Row],[Maintenance Downtime Hours]]="","",tblDowntime[[#This Row],[Equipment ID]])</f>
        <v/>
      </c>
      <c r="N144" s="1">
        <f>IF(tblDowntime[[#This Row],[Failure Type]]="Production",tblDowntime[[#This Row],[Downtime Hours]],"")</f>
        <v/>
      </c>
      <c r="O144">
        <f>IF(tblDowntime[[#This Row],[Production Downtime Hours]]="","",tblDowntime[[#This Row],[Equipment ID]])</f>
        <v/>
      </c>
      <c r="P144" s="10" t="n"/>
    </row>
    <row r="145">
      <c r="B145">
        <f t="array" ref="B145">_xlfn.XLOOKUP(C145,INDIRECT("tblEquipment[Equipment ID]"),INDIRECT("tblEquipment[Production Department]"),"")</f>
        <v/>
      </c>
      <c r="D145">
        <f t="array" ref="D145">_xlfn.XLOOKUP(C145,INDIRECT("tblEquipment[Equipment ID]"),INDIRECT("tblEquipment[Equipment Name]"),"")</f>
        <v/>
      </c>
      <c r="F145" s="16" t="n"/>
      <c r="G145" s="16" t="n"/>
      <c r="H145" s="1">
        <f>IF(OR(F145=0,G145=0),"",(G145-F145)*24)</f>
        <v/>
      </c>
      <c r="I145" s="10" t="n"/>
      <c r="J145" s="1">
        <f>IF(OR(tblDowntime[[#This Row],[Failure Type]]="Sawshop",tblDowntime[[#This Row],[Failure Type]]="Electrical",tblDowntime[[#This Row],[Failure Type]]="Mechanical"),tblDowntime[[#This Row],[Downtime Hours]],"")</f>
        <v/>
      </c>
      <c r="K145" s="10" t="n"/>
      <c r="L145" s="10" t="n"/>
      <c r="M145">
        <f>IF(tblDowntime[[#This Row],[Maintenance Downtime Hours]]="","",tblDowntime[[#This Row],[Equipment ID]])</f>
        <v/>
      </c>
      <c r="N145" s="1">
        <f>IF(tblDowntime[[#This Row],[Failure Type]]="Production",tblDowntime[[#This Row],[Downtime Hours]],"")</f>
        <v/>
      </c>
      <c r="O145">
        <f>IF(tblDowntime[[#This Row],[Production Downtime Hours]]="","",tblDowntime[[#This Row],[Equipment ID]])</f>
        <v/>
      </c>
      <c r="P145" s="10" t="n"/>
    </row>
    <row r="146">
      <c r="B146">
        <f t="array" ref="B146">_xlfn.XLOOKUP(C146,INDIRECT("tblEquipment[Equipment ID]"),INDIRECT("tblEquipment[Production Department]"),"")</f>
        <v/>
      </c>
      <c r="D146">
        <f t="array" ref="D146">_xlfn.XLOOKUP(C146,INDIRECT("tblEquipment[Equipment ID]"),INDIRECT("tblEquipment[Equipment Name]"),"")</f>
        <v/>
      </c>
      <c r="F146" s="16" t="n"/>
      <c r="G146" s="16" t="n"/>
      <c r="H146" s="1">
        <f>IF(OR(F146=0,G146=0),"",(G146-F146)*24)</f>
        <v/>
      </c>
      <c r="I146" s="10" t="n"/>
      <c r="J146" s="1">
        <f>IF(OR(tblDowntime[[#This Row],[Failure Type]]="Sawshop",tblDowntime[[#This Row],[Failure Type]]="Electrical",tblDowntime[[#This Row],[Failure Type]]="Mechanical"),tblDowntime[[#This Row],[Downtime Hours]],"")</f>
        <v/>
      </c>
      <c r="K146" s="10" t="n"/>
      <c r="L146" s="10" t="n"/>
      <c r="M146">
        <f>IF(tblDowntime[[#This Row],[Maintenance Downtime Hours]]="","",tblDowntime[[#This Row],[Equipment ID]])</f>
        <v/>
      </c>
      <c r="N146" s="1">
        <f>IF(tblDowntime[[#This Row],[Failure Type]]="Production",tblDowntime[[#This Row],[Downtime Hours]],"")</f>
        <v/>
      </c>
      <c r="O146">
        <f>IF(tblDowntime[[#This Row],[Production Downtime Hours]]="","",tblDowntime[[#This Row],[Equipment ID]])</f>
        <v/>
      </c>
      <c r="P146" s="10" t="n"/>
    </row>
    <row r="147">
      <c r="B147">
        <f t="array" ref="B147">_xlfn.XLOOKUP(C147,INDIRECT("tblEquipment[Equipment ID]"),INDIRECT("tblEquipment[Production Department]"),"")</f>
        <v/>
      </c>
      <c r="D147">
        <f t="array" ref="D147">_xlfn.XLOOKUP(C147,INDIRECT("tblEquipment[Equipment ID]"),INDIRECT("tblEquipment[Equipment Name]"),"")</f>
        <v/>
      </c>
      <c r="F147" s="16" t="n"/>
      <c r="G147" s="16" t="n"/>
      <c r="H147" s="1">
        <f>IF(OR(F147=0,G147=0),"",(G147-F147)*24)</f>
        <v/>
      </c>
      <c r="I147" s="10" t="n"/>
      <c r="J147" s="1">
        <f>IF(OR(tblDowntime[[#This Row],[Failure Type]]="Sawshop",tblDowntime[[#This Row],[Failure Type]]="Electrical",tblDowntime[[#This Row],[Failure Type]]="Mechanical"),tblDowntime[[#This Row],[Downtime Hours]],"")</f>
        <v/>
      </c>
      <c r="K147" s="10" t="n"/>
      <c r="L147" s="10" t="n"/>
      <c r="M147">
        <f>IF(tblDowntime[[#This Row],[Maintenance Downtime Hours]]="","",tblDowntime[[#This Row],[Equipment ID]])</f>
        <v/>
      </c>
      <c r="N147" s="1">
        <f>IF(tblDowntime[[#This Row],[Failure Type]]="Production",tblDowntime[[#This Row],[Downtime Hours]],"")</f>
        <v/>
      </c>
      <c r="O147">
        <f>IF(tblDowntime[[#This Row],[Production Downtime Hours]]="","",tblDowntime[[#This Row],[Equipment ID]])</f>
        <v/>
      </c>
      <c r="P147" s="10" t="n"/>
    </row>
    <row r="148">
      <c r="B148">
        <f t="array" ref="B148">_xlfn.XLOOKUP(C148,INDIRECT("tblEquipment[Equipment ID]"),INDIRECT("tblEquipment[Production Department]"),"")</f>
        <v/>
      </c>
      <c r="D148">
        <f t="array" ref="D148">_xlfn.XLOOKUP(C148,INDIRECT("tblEquipment[Equipment ID]"),INDIRECT("tblEquipment[Equipment Name]"),"")</f>
        <v/>
      </c>
      <c r="F148" s="16" t="n"/>
      <c r="G148" s="16" t="n"/>
      <c r="H148" s="1">
        <f>IF(OR(F148=0,G148=0),"",(G148-F148)*24)</f>
        <v/>
      </c>
      <c r="I148" s="10" t="n"/>
      <c r="J148" s="1">
        <f>IF(OR(tblDowntime[[#This Row],[Failure Type]]="Sawshop",tblDowntime[[#This Row],[Failure Type]]="Electrical",tblDowntime[[#This Row],[Failure Type]]="Mechanical"),tblDowntime[[#This Row],[Downtime Hours]],"")</f>
        <v/>
      </c>
      <c r="K148" s="10" t="n"/>
      <c r="L148" s="10" t="n"/>
      <c r="M148">
        <f>IF(tblDowntime[[#This Row],[Maintenance Downtime Hours]]="","",tblDowntime[[#This Row],[Equipment ID]])</f>
        <v/>
      </c>
      <c r="N148" s="1">
        <f>IF(tblDowntime[[#This Row],[Failure Type]]="Production",tblDowntime[[#This Row],[Downtime Hours]],"")</f>
        <v/>
      </c>
      <c r="O148">
        <f>IF(tblDowntime[[#This Row],[Production Downtime Hours]]="","",tblDowntime[[#This Row],[Equipment ID]])</f>
        <v/>
      </c>
      <c r="P148" s="10" t="n"/>
    </row>
    <row r="149">
      <c r="B149">
        <f t="array" ref="B149">_xlfn.XLOOKUP(C149,INDIRECT("tblEquipment[Equipment ID]"),INDIRECT("tblEquipment[Production Department]"),"")</f>
        <v/>
      </c>
      <c r="D149">
        <f t="array" ref="D149">_xlfn.XLOOKUP(C149,INDIRECT("tblEquipment[Equipment ID]"),INDIRECT("tblEquipment[Equipment Name]"),"")</f>
        <v/>
      </c>
      <c r="F149" s="16" t="n"/>
      <c r="G149" s="16" t="n"/>
      <c r="H149" s="1">
        <f>IF(OR(F149=0,G149=0),"",(G149-F149)*24)</f>
        <v/>
      </c>
      <c r="I149" s="10" t="n"/>
      <c r="J149" s="1">
        <f>IF(OR(tblDowntime[[#This Row],[Failure Type]]="Sawshop",tblDowntime[[#This Row],[Failure Type]]="Electrical",tblDowntime[[#This Row],[Failure Type]]="Mechanical"),tblDowntime[[#This Row],[Downtime Hours]],"")</f>
        <v/>
      </c>
      <c r="K149" s="10" t="n"/>
      <c r="L149" s="10" t="n"/>
      <c r="M149">
        <f>IF(tblDowntime[[#This Row],[Maintenance Downtime Hours]]="","",tblDowntime[[#This Row],[Equipment ID]])</f>
        <v/>
      </c>
      <c r="N149" s="1">
        <f>IF(tblDowntime[[#This Row],[Failure Type]]="Production",tblDowntime[[#This Row],[Downtime Hours]],"")</f>
        <v/>
      </c>
      <c r="O149">
        <f>IF(tblDowntime[[#This Row],[Production Downtime Hours]]="","",tblDowntime[[#This Row],[Equipment ID]])</f>
        <v/>
      </c>
      <c r="P149" s="10" t="n"/>
    </row>
    <row r="150">
      <c r="B150">
        <f t="array" ref="B150">_xlfn.XLOOKUP(C150,INDIRECT("tblEquipment[Equipment ID]"),INDIRECT("tblEquipment[Production Department]"),"")</f>
        <v/>
      </c>
      <c r="D150">
        <f t="array" ref="D150">_xlfn.XLOOKUP(C150,INDIRECT("tblEquipment[Equipment ID]"),INDIRECT("tblEquipment[Equipment Name]"),"")</f>
        <v/>
      </c>
      <c r="F150" s="16" t="n"/>
      <c r="G150" s="16" t="n"/>
      <c r="H150" s="1">
        <f>IF(OR(F150=0,G150=0),"",(G150-F150)*24)</f>
        <v/>
      </c>
      <c r="I150" s="10" t="n"/>
      <c r="J150" s="1">
        <f>IF(OR(tblDowntime[[#This Row],[Failure Type]]="Sawshop",tblDowntime[[#This Row],[Failure Type]]="Electrical",tblDowntime[[#This Row],[Failure Type]]="Mechanical"),tblDowntime[[#This Row],[Downtime Hours]],"")</f>
        <v/>
      </c>
      <c r="K150" s="10" t="n"/>
      <c r="L150" s="10" t="n"/>
      <c r="M150">
        <f>IF(tblDowntime[[#This Row],[Maintenance Downtime Hours]]="","",tblDowntime[[#This Row],[Equipment ID]])</f>
        <v/>
      </c>
      <c r="N150" s="1">
        <f>IF(tblDowntime[[#This Row],[Failure Type]]="Production",tblDowntime[[#This Row],[Downtime Hours]],"")</f>
        <v/>
      </c>
      <c r="O150">
        <f>IF(tblDowntime[[#This Row],[Production Downtime Hours]]="","",tblDowntime[[#This Row],[Equipment ID]])</f>
        <v/>
      </c>
      <c r="P150" s="10" t="n"/>
    </row>
    <row r="151">
      <c r="B151">
        <f t="array" ref="B151">_xlfn.XLOOKUP(C151,INDIRECT("tblEquipment[Equipment ID]"),INDIRECT("tblEquipment[Production Department]"),"")</f>
        <v/>
      </c>
      <c r="D151">
        <f t="array" ref="D151">_xlfn.XLOOKUP(C151,INDIRECT("tblEquipment[Equipment ID]"),INDIRECT("tblEquipment[Equipment Name]"),"")</f>
        <v/>
      </c>
      <c r="F151" s="16" t="n"/>
      <c r="G151" s="16" t="n"/>
      <c r="H151" s="1">
        <f>IF(OR(F151=0,G151=0),"",(G151-F151)*24)</f>
        <v/>
      </c>
      <c r="I151" s="10" t="n"/>
      <c r="J151" s="1">
        <f>IF(OR(tblDowntime[[#This Row],[Failure Type]]="Sawshop",tblDowntime[[#This Row],[Failure Type]]="Electrical",tblDowntime[[#This Row],[Failure Type]]="Mechanical"),tblDowntime[[#This Row],[Downtime Hours]],"")</f>
        <v/>
      </c>
      <c r="K151" s="10" t="n"/>
      <c r="L151" s="10" t="n"/>
      <c r="M151">
        <f>IF(tblDowntime[[#This Row],[Maintenance Downtime Hours]]="","",tblDowntime[[#This Row],[Equipment ID]])</f>
        <v/>
      </c>
      <c r="N151" s="1">
        <f>IF(tblDowntime[[#This Row],[Failure Type]]="Production",tblDowntime[[#This Row],[Downtime Hours]],"")</f>
        <v/>
      </c>
      <c r="O151">
        <f>IF(tblDowntime[[#This Row],[Production Downtime Hours]]="","",tblDowntime[[#This Row],[Equipment ID]])</f>
        <v/>
      </c>
      <c r="P151" s="10" t="n"/>
    </row>
    <row r="152">
      <c r="B152">
        <f t="array" ref="B152">_xlfn.XLOOKUP(C152,INDIRECT("tblEquipment[Equipment ID]"),INDIRECT("tblEquipment[Production Department]"),"")</f>
        <v/>
      </c>
      <c r="D152">
        <f t="array" ref="D152">_xlfn.XLOOKUP(C152,INDIRECT("tblEquipment[Equipment ID]"),INDIRECT("tblEquipment[Equipment Name]"),"")</f>
        <v/>
      </c>
      <c r="F152" s="16" t="n"/>
      <c r="G152" s="16" t="n"/>
      <c r="H152" s="1">
        <f>IF(OR(F152=0,G152=0),"",(G152-F152)*24)</f>
        <v/>
      </c>
      <c r="I152" s="10" t="n"/>
      <c r="J152" s="1">
        <f>IF(OR(tblDowntime[[#This Row],[Failure Type]]="Sawshop",tblDowntime[[#This Row],[Failure Type]]="Electrical",tblDowntime[[#This Row],[Failure Type]]="Mechanical"),tblDowntime[[#This Row],[Downtime Hours]],"")</f>
        <v/>
      </c>
      <c r="K152" s="10" t="n"/>
      <c r="L152" s="10" t="n"/>
      <c r="M152">
        <f>IF(tblDowntime[[#This Row],[Maintenance Downtime Hours]]="","",tblDowntime[[#This Row],[Equipment ID]])</f>
        <v/>
      </c>
      <c r="N152" s="1">
        <f>IF(tblDowntime[[#This Row],[Failure Type]]="Production",tblDowntime[[#This Row],[Downtime Hours]],"")</f>
        <v/>
      </c>
      <c r="O152">
        <f>IF(tblDowntime[[#This Row],[Production Downtime Hours]]="","",tblDowntime[[#This Row],[Equipment ID]])</f>
        <v/>
      </c>
      <c r="P152" s="10" t="n"/>
    </row>
    <row r="153">
      <c r="B153">
        <f t="array" ref="B153">_xlfn.XLOOKUP(C153,INDIRECT("tblEquipment[Equipment ID]"),INDIRECT("tblEquipment[Production Department]"),"")</f>
        <v/>
      </c>
      <c r="D153">
        <f t="array" ref="D153">_xlfn.XLOOKUP(C153,INDIRECT("tblEquipment[Equipment ID]"),INDIRECT("tblEquipment[Equipment Name]"),"")</f>
        <v/>
      </c>
      <c r="F153" s="16" t="n"/>
      <c r="G153" s="16" t="n"/>
      <c r="H153" s="1">
        <f>IF(OR(F153=0,G153=0),"",(G153-F153)*24)</f>
        <v/>
      </c>
      <c r="I153" s="10" t="n"/>
      <c r="J153" s="1">
        <f>IF(OR(tblDowntime[[#This Row],[Failure Type]]="Sawshop",tblDowntime[[#This Row],[Failure Type]]="Electrical",tblDowntime[[#This Row],[Failure Type]]="Mechanical"),tblDowntime[[#This Row],[Downtime Hours]],"")</f>
        <v/>
      </c>
      <c r="K153" s="10" t="n"/>
      <c r="L153" s="10" t="n"/>
      <c r="M153">
        <f>IF(tblDowntime[[#This Row],[Maintenance Downtime Hours]]="","",tblDowntime[[#This Row],[Equipment ID]])</f>
        <v/>
      </c>
      <c r="N153" s="1">
        <f>IF(tblDowntime[[#This Row],[Failure Type]]="Production",tblDowntime[[#This Row],[Downtime Hours]],"")</f>
        <v/>
      </c>
      <c r="O153">
        <f>IF(tblDowntime[[#This Row],[Production Downtime Hours]]="","",tblDowntime[[#This Row],[Equipment ID]])</f>
        <v/>
      </c>
      <c r="P153" s="10" t="n"/>
    </row>
    <row r="154">
      <c r="B154">
        <f t="array" ref="B154">_xlfn.XLOOKUP(C154,INDIRECT("tblEquipment[Equipment ID]"),INDIRECT("tblEquipment[Production Department]"),"")</f>
        <v/>
      </c>
      <c r="D154">
        <f t="array" ref="D154">_xlfn.XLOOKUP(C154,INDIRECT("tblEquipment[Equipment ID]"),INDIRECT("tblEquipment[Equipment Name]"),"")</f>
        <v/>
      </c>
      <c r="F154" s="16" t="n"/>
      <c r="G154" s="16" t="n"/>
      <c r="H154" s="1">
        <f>IF(OR(F154=0,G154=0),"",(G154-F154)*24)</f>
        <v/>
      </c>
      <c r="I154" s="10" t="n"/>
      <c r="J154" s="1">
        <f>IF(OR(tblDowntime[[#This Row],[Failure Type]]="Sawshop",tblDowntime[[#This Row],[Failure Type]]="Electrical",tblDowntime[[#This Row],[Failure Type]]="Mechanical"),tblDowntime[[#This Row],[Downtime Hours]],"")</f>
        <v/>
      </c>
      <c r="K154" s="10" t="n"/>
      <c r="L154" s="10" t="n"/>
      <c r="M154">
        <f>IF(tblDowntime[[#This Row],[Maintenance Downtime Hours]]="","",tblDowntime[[#This Row],[Equipment ID]])</f>
        <v/>
      </c>
      <c r="N154" s="1">
        <f>IF(tblDowntime[[#This Row],[Failure Type]]="Production",tblDowntime[[#This Row],[Downtime Hours]],"")</f>
        <v/>
      </c>
      <c r="O154">
        <f>IF(tblDowntime[[#This Row],[Production Downtime Hours]]="","",tblDowntime[[#This Row],[Equipment ID]])</f>
        <v/>
      </c>
      <c r="P154" s="10" t="n"/>
    </row>
    <row r="155">
      <c r="B155">
        <f t="array" ref="B155">_xlfn.XLOOKUP(C155,INDIRECT("tblEquipment[Equipment ID]"),INDIRECT("tblEquipment[Production Department]"),"")</f>
        <v/>
      </c>
      <c r="D155">
        <f t="array" ref="D155">_xlfn.XLOOKUP(C155,INDIRECT("tblEquipment[Equipment ID]"),INDIRECT("tblEquipment[Equipment Name]"),"")</f>
        <v/>
      </c>
      <c r="F155" s="16" t="n"/>
      <c r="G155" s="16" t="n"/>
      <c r="H155" s="1">
        <f>IF(OR(F155=0,G155=0),"",(G155-F155)*24)</f>
        <v/>
      </c>
      <c r="I155" s="10" t="n"/>
      <c r="J155" s="1">
        <f>IF(OR(tblDowntime[[#This Row],[Failure Type]]="Sawshop",tblDowntime[[#This Row],[Failure Type]]="Electrical",tblDowntime[[#This Row],[Failure Type]]="Mechanical"),tblDowntime[[#This Row],[Downtime Hours]],"")</f>
        <v/>
      </c>
      <c r="K155" s="10" t="n"/>
      <c r="L155" s="10" t="n"/>
      <c r="M155">
        <f>IF(tblDowntime[[#This Row],[Maintenance Downtime Hours]]="","",tblDowntime[[#This Row],[Equipment ID]])</f>
        <v/>
      </c>
      <c r="N155" s="1">
        <f>IF(tblDowntime[[#This Row],[Failure Type]]="Production",tblDowntime[[#This Row],[Downtime Hours]],"")</f>
        <v/>
      </c>
      <c r="O155">
        <f>IF(tblDowntime[[#This Row],[Production Downtime Hours]]="","",tblDowntime[[#This Row],[Equipment ID]])</f>
        <v/>
      </c>
      <c r="P155" s="10" t="n"/>
    </row>
    <row r="156">
      <c r="B156">
        <f t="array" ref="B156">_xlfn.XLOOKUP(C156,INDIRECT("tblEquipment[Equipment ID]"),INDIRECT("tblEquipment[Production Department]"),"")</f>
        <v/>
      </c>
      <c r="D156">
        <f t="array" ref="D156">_xlfn.XLOOKUP(C156,INDIRECT("tblEquipment[Equipment ID]"),INDIRECT("tblEquipment[Equipment Name]"),"")</f>
        <v/>
      </c>
      <c r="F156" s="16" t="n"/>
      <c r="G156" s="16" t="n"/>
      <c r="H156" s="1">
        <f>IF(OR(F156=0,G156=0),"",(G156-F156)*24)</f>
        <v/>
      </c>
      <c r="I156" s="10" t="n"/>
      <c r="J156" s="1">
        <f>IF(OR(tblDowntime[[#This Row],[Failure Type]]="Sawshop",tblDowntime[[#This Row],[Failure Type]]="Electrical",tblDowntime[[#This Row],[Failure Type]]="Mechanical"),tblDowntime[[#This Row],[Downtime Hours]],"")</f>
        <v/>
      </c>
      <c r="K156" s="10" t="n"/>
      <c r="L156" s="10" t="n"/>
      <c r="M156">
        <f>IF(tblDowntime[[#This Row],[Maintenance Downtime Hours]]="","",tblDowntime[[#This Row],[Equipment ID]])</f>
        <v/>
      </c>
      <c r="N156" s="1">
        <f>IF(tblDowntime[[#This Row],[Failure Type]]="Production",tblDowntime[[#This Row],[Downtime Hours]],"")</f>
        <v/>
      </c>
      <c r="O156">
        <f>IF(tblDowntime[[#This Row],[Production Downtime Hours]]="","",tblDowntime[[#This Row],[Equipment ID]])</f>
        <v/>
      </c>
      <c r="P156" s="10" t="n"/>
    </row>
    <row r="157">
      <c r="B157">
        <f t="array" ref="B157">_xlfn.XLOOKUP(C157,INDIRECT("tblEquipment[Equipment ID]"),INDIRECT("tblEquipment[Production Department]"),"")</f>
        <v/>
      </c>
      <c r="D157">
        <f t="array" ref="D157">_xlfn.XLOOKUP(C157,INDIRECT("tblEquipment[Equipment ID]"),INDIRECT("tblEquipment[Equipment Name]"),"")</f>
        <v/>
      </c>
      <c r="F157" s="16" t="n"/>
      <c r="G157" s="16" t="n"/>
      <c r="H157" s="1">
        <f>IF(OR(F157=0,G157=0),"",(G157-F157)*24)</f>
        <v/>
      </c>
      <c r="I157" s="10" t="n"/>
      <c r="J157" s="1">
        <f>IF(OR(tblDowntime[[#This Row],[Failure Type]]="Sawshop",tblDowntime[[#This Row],[Failure Type]]="Electrical",tblDowntime[[#This Row],[Failure Type]]="Mechanical"),tblDowntime[[#This Row],[Downtime Hours]],"")</f>
        <v/>
      </c>
      <c r="K157" s="10" t="n"/>
      <c r="L157" s="10" t="n"/>
      <c r="M157">
        <f>IF(tblDowntime[[#This Row],[Maintenance Downtime Hours]]="","",tblDowntime[[#This Row],[Equipment ID]])</f>
        <v/>
      </c>
      <c r="N157" s="1">
        <f>IF(tblDowntime[[#This Row],[Failure Type]]="Production",tblDowntime[[#This Row],[Downtime Hours]],"")</f>
        <v/>
      </c>
      <c r="O157">
        <f>IF(tblDowntime[[#This Row],[Production Downtime Hours]]="","",tblDowntime[[#This Row],[Equipment ID]])</f>
        <v/>
      </c>
      <c r="P157" s="10" t="n"/>
    </row>
    <row r="158">
      <c r="B158">
        <f t="array" ref="B158">_xlfn.XLOOKUP(C158,INDIRECT("tblEquipment[Equipment ID]"),INDIRECT("tblEquipment[Production Department]"),"")</f>
        <v/>
      </c>
      <c r="D158">
        <f t="array" ref="D158">_xlfn.XLOOKUP(C158,INDIRECT("tblEquipment[Equipment ID]"),INDIRECT("tblEquipment[Equipment Name]"),"")</f>
        <v/>
      </c>
      <c r="F158" s="16" t="n"/>
      <c r="G158" s="16" t="n"/>
      <c r="H158" s="1">
        <f>IF(OR(F158=0,G158=0),"",(G158-F158)*24)</f>
        <v/>
      </c>
      <c r="I158" s="10" t="n"/>
      <c r="J158" s="1">
        <f>IF(OR(tblDowntime[[#This Row],[Failure Type]]="Sawshop",tblDowntime[[#This Row],[Failure Type]]="Electrical",tblDowntime[[#This Row],[Failure Type]]="Mechanical"),tblDowntime[[#This Row],[Downtime Hours]],"")</f>
        <v/>
      </c>
      <c r="K158" s="10" t="n"/>
      <c r="L158" s="10" t="n"/>
      <c r="M158">
        <f>IF(tblDowntime[[#This Row],[Maintenance Downtime Hours]]="","",tblDowntime[[#This Row],[Equipment ID]])</f>
        <v/>
      </c>
      <c r="N158" s="1">
        <f>IF(tblDowntime[[#This Row],[Failure Type]]="Production",tblDowntime[[#This Row],[Downtime Hours]],"")</f>
        <v/>
      </c>
      <c r="O158">
        <f>IF(tblDowntime[[#This Row],[Production Downtime Hours]]="","",tblDowntime[[#This Row],[Equipment ID]])</f>
        <v/>
      </c>
      <c r="P158" s="10" t="n"/>
    </row>
    <row r="159">
      <c r="B159">
        <f t="array" ref="B159">_xlfn.XLOOKUP(C159,INDIRECT("tblEquipment[Equipment ID]"),INDIRECT("tblEquipment[Production Department]"),"")</f>
        <v/>
      </c>
      <c r="D159">
        <f t="array" ref="D159">_xlfn.XLOOKUP(C159,INDIRECT("tblEquipment[Equipment ID]"),INDIRECT("tblEquipment[Equipment Name]"),"")</f>
        <v/>
      </c>
      <c r="F159" s="16" t="n"/>
      <c r="G159" s="16" t="n"/>
      <c r="H159" s="1">
        <f>IF(OR(F159=0,G159=0),"",(G159-F159)*24)</f>
        <v/>
      </c>
      <c r="I159" s="10" t="n"/>
      <c r="J159" s="1">
        <f>IF(OR(tblDowntime[[#This Row],[Failure Type]]="Sawshop",tblDowntime[[#This Row],[Failure Type]]="Electrical",tblDowntime[[#This Row],[Failure Type]]="Mechanical"),tblDowntime[[#This Row],[Downtime Hours]],"")</f>
        <v/>
      </c>
      <c r="K159" s="10" t="n"/>
      <c r="L159" s="10" t="n"/>
      <c r="M159">
        <f>IF(tblDowntime[[#This Row],[Maintenance Downtime Hours]]="","",tblDowntime[[#This Row],[Equipment ID]])</f>
        <v/>
      </c>
      <c r="N159" s="1">
        <f>IF(tblDowntime[[#This Row],[Failure Type]]="Production",tblDowntime[[#This Row],[Downtime Hours]],"")</f>
        <v/>
      </c>
      <c r="O159">
        <f>IF(tblDowntime[[#This Row],[Production Downtime Hours]]="","",tblDowntime[[#This Row],[Equipment ID]])</f>
        <v/>
      </c>
      <c r="P159" s="10" t="n"/>
    </row>
    <row r="160">
      <c r="B160">
        <f t="array" ref="B160">_xlfn.XLOOKUP(C160,INDIRECT("tblEquipment[Equipment ID]"),INDIRECT("tblEquipment[Production Department]"),"")</f>
        <v/>
      </c>
      <c r="D160">
        <f t="array" ref="D160">_xlfn.XLOOKUP(C160,INDIRECT("tblEquipment[Equipment ID]"),INDIRECT("tblEquipment[Equipment Name]"),"")</f>
        <v/>
      </c>
      <c r="F160" s="16" t="n"/>
      <c r="G160" s="16" t="n"/>
      <c r="H160" s="1">
        <f>IF(OR(F160=0,G160=0),"",(G160-F160)*24)</f>
        <v/>
      </c>
      <c r="I160" s="10" t="n"/>
      <c r="J160" s="1">
        <f>IF(OR(tblDowntime[[#This Row],[Failure Type]]="Sawshop",tblDowntime[[#This Row],[Failure Type]]="Electrical",tblDowntime[[#This Row],[Failure Type]]="Mechanical"),tblDowntime[[#This Row],[Downtime Hours]],"")</f>
        <v/>
      </c>
      <c r="K160" s="10" t="n"/>
      <c r="L160" s="10" t="n"/>
      <c r="M160">
        <f>IF(tblDowntime[[#This Row],[Maintenance Downtime Hours]]="","",tblDowntime[[#This Row],[Equipment ID]])</f>
        <v/>
      </c>
      <c r="N160" s="1">
        <f>IF(tblDowntime[[#This Row],[Failure Type]]="Production",tblDowntime[[#This Row],[Downtime Hours]],"")</f>
        <v/>
      </c>
      <c r="O160">
        <f>IF(tblDowntime[[#This Row],[Production Downtime Hours]]="","",tblDowntime[[#This Row],[Equipment ID]])</f>
        <v/>
      </c>
      <c r="P160" s="10" t="n"/>
    </row>
    <row r="161">
      <c r="B161">
        <f t="array" ref="B161">_xlfn.XLOOKUP(C161,INDIRECT("tblEquipment[Equipment ID]"),INDIRECT("tblEquipment[Production Department]"),"")</f>
        <v/>
      </c>
      <c r="D161">
        <f t="array" ref="D161">_xlfn.XLOOKUP(C161,INDIRECT("tblEquipment[Equipment ID]"),INDIRECT("tblEquipment[Equipment Name]"),"")</f>
        <v/>
      </c>
      <c r="F161" s="16" t="n"/>
      <c r="G161" s="16" t="n"/>
      <c r="H161" s="1">
        <f>IF(OR(F161=0,G161=0),"",(G161-F161)*24)</f>
        <v/>
      </c>
      <c r="I161" s="10" t="n"/>
      <c r="J161" s="1">
        <f>IF(OR(tblDowntime[[#This Row],[Failure Type]]="Sawshop",tblDowntime[[#This Row],[Failure Type]]="Electrical",tblDowntime[[#This Row],[Failure Type]]="Mechanical"),tblDowntime[[#This Row],[Downtime Hours]],"")</f>
        <v/>
      </c>
      <c r="K161" s="10" t="n"/>
      <c r="L161" s="10" t="n"/>
      <c r="M161">
        <f>IF(tblDowntime[[#This Row],[Maintenance Downtime Hours]]="","",tblDowntime[[#This Row],[Equipment ID]])</f>
        <v/>
      </c>
      <c r="N161" s="1">
        <f>IF(tblDowntime[[#This Row],[Failure Type]]="Production",tblDowntime[[#This Row],[Downtime Hours]],"")</f>
        <v/>
      </c>
      <c r="O161">
        <f>IF(tblDowntime[[#This Row],[Production Downtime Hours]]="","",tblDowntime[[#This Row],[Equipment ID]])</f>
        <v/>
      </c>
      <c r="P161" s="10" t="n"/>
    </row>
    <row r="162">
      <c r="B162">
        <f t="array" ref="B162">_xlfn.XLOOKUP(C162,INDIRECT("tblEquipment[Equipment ID]"),INDIRECT("tblEquipment[Production Department]"),"")</f>
        <v/>
      </c>
      <c r="D162">
        <f t="array" ref="D162">_xlfn.XLOOKUP(C162,INDIRECT("tblEquipment[Equipment ID]"),INDIRECT("tblEquipment[Equipment Name]"),"")</f>
        <v/>
      </c>
      <c r="F162" s="16" t="n"/>
      <c r="G162" s="16" t="n"/>
      <c r="H162" s="1">
        <f>IF(OR(F162=0,G162=0),"",(G162-F162)*24)</f>
        <v/>
      </c>
      <c r="I162" s="10" t="n"/>
      <c r="J162" s="1">
        <f>IF(OR(tblDowntime[[#This Row],[Failure Type]]="Sawshop",tblDowntime[[#This Row],[Failure Type]]="Electrical",tblDowntime[[#This Row],[Failure Type]]="Mechanical"),tblDowntime[[#This Row],[Downtime Hours]],"")</f>
        <v/>
      </c>
      <c r="K162" s="10" t="n"/>
      <c r="L162" s="10" t="n"/>
      <c r="M162">
        <f>IF(tblDowntime[[#This Row],[Maintenance Downtime Hours]]="","",tblDowntime[[#This Row],[Equipment ID]])</f>
        <v/>
      </c>
      <c r="N162" s="1">
        <f>IF(tblDowntime[[#This Row],[Failure Type]]="Production",tblDowntime[[#This Row],[Downtime Hours]],"")</f>
        <v/>
      </c>
      <c r="O162">
        <f>IF(tblDowntime[[#This Row],[Production Downtime Hours]]="","",tblDowntime[[#This Row],[Equipment ID]])</f>
        <v/>
      </c>
      <c r="P162" s="10" t="n"/>
    </row>
    <row r="163">
      <c r="B163">
        <f t="array" ref="B163">_xlfn.XLOOKUP(C163,INDIRECT("tblEquipment[Equipment ID]"),INDIRECT("tblEquipment[Production Department]"),"")</f>
        <v/>
      </c>
      <c r="D163">
        <f t="array" ref="D163">_xlfn.XLOOKUP(C163,INDIRECT("tblEquipment[Equipment ID]"),INDIRECT("tblEquipment[Equipment Name]"),"")</f>
        <v/>
      </c>
      <c r="F163" s="16" t="n"/>
      <c r="G163" s="16" t="n"/>
      <c r="H163" s="1">
        <f>IF(OR(F163=0,G163=0),"",(G163-F163)*24)</f>
        <v/>
      </c>
      <c r="I163" s="10" t="n"/>
      <c r="J163" s="1">
        <f>IF(OR(tblDowntime[[#This Row],[Failure Type]]="Sawshop",tblDowntime[[#This Row],[Failure Type]]="Electrical",tblDowntime[[#This Row],[Failure Type]]="Mechanical"),tblDowntime[[#This Row],[Downtime Hours]],"")</f>
        <v/>
      </c>
      <c r="K163" s="10" t="n"/>
      <c r="L163" s="10" t="n"/>
      <c r="M163">
        <f>IF(tblDowntime[[#This Row],[Maintenance Downtime Hours]]="","",tblDowntime[[#This Row],[Equipment ID]])</f>
        <v/>
      </c>
      <c r="N163" s="1">
        <f>IF(tblDowntime[[#This Row],[Failure Type]]="Production",tblDowntime[[#This Row],[Downtime Hours]],"")</f>
        <v/>
      </c>
      <c r="O163">
        <f>IF(tblDowntime[[#This Row],[Production Downtime Hours]]="","",tblDowntime[[#This Row],[Equipment ID]])</f>
        <v/>
      </c>
      <c r="P163" s="10" t="n"/>
    </row>
    <row r="164">
      <c r="B164">
        <f t="array" ref="B164">_xlfn.XLOOKUP(C164,INDIRECT("tblEquipment[Equipment ID]"),INDIRECT("tblEquipment[Production Department]"),"")</f>
        <v/>
      </c>
      <c r="D164">
        <f t="array" ref="D164">_xlfn.XLOOKUP(C164,INDIRECT("tblEquipment[Equipment ID]"),INDIRECT("tblEquipment[Equipment Name]"),"")</f>
        <v/>
      </c>
      <c r="F164" s="16" t="n"/>
      <c r="G164" s="16" t="n"/>
      <c r="H164" s="1">
        <f>IF(OR(F164=0,G164=0),"",(G164-F164)*24)</f>
        <v/>
      </c>
      <c r="I164" s="10" t="n"/>
      <c r="J164" s="1">
        <f>IF(OR(tblDowntime[[#This Row],[Failure Type]]="Sawshop",tblDowntime[[#This Row],[Failure Type]]="Electrical",tblDowntime[[#This Row],[Failure Type]]="Mechanical"),tblDowntime[[#This Row],[Downtime Hours]],"")</f>
        <v/>
      </c>
      <c r="K164" s="10" t="n"/>
      <c r="L164" s="10" t="n"/>
      <c r="M164">
        <f>IF(tblDowntime[[#This Row],[Maintenance Downtime Hours]]="","",tblDowntime[[#This Row],[Equipment ID]])</f>
        <v/>
      </c>
      <c r="N164" s="1">
        <f>IF(tblDowntime[[#This Row],[Failure Type]]="Production",tblDowntime[[#This Row],[Downtime Hours]],"")</f>
        <v/>
      </c>
      <c r="O164">
        <f>IF(tblDowntime[[#This Row],[Production Downtime Hours]]="","",tblDowntime[[#This Row],[Equipment ID]])</f>
        <v/>
      </c>
      <c r="P164" s="10" t="n"/>
    </row>
    <row r="165">
      <c r="B165">
        <f t="array" ref="B165">_xlfn.XLOOKUP(C165,INDIRECT("tblEquipment[Equipment ID]"),INDIRECT("tblEquipment[Production Department]"),"")</f>
        <v/>
      </c>
      <c r="D165">
        <f t="array" ref="D165">_xlfn.XLOOKUP(C165,INDIRECT("tblEquipment[Equipment ID]"),INDIRECT("tblEquipment[Equipment Name]"),"")</f>
        <v/>
      </c>
      <c r="F165" s="16" t="n"/>
      <c r="G165" s="16" t="n"/>
      <c r="H165" s="1">
        <f>IF(OR(F165=0,G165=0),"",(G165-F165)*24)</f>
        <v/>
      </c>
      <c r="I165" s="10" t="n"/>
      <c r="J165" s="1">
        <f>IF(OR(tblDowntime[[#This Row],[Failure Type]]="Sawshop",tblDowntime[[#This Row],[Failure Type]]="Electrical",tblDowntime[[#This Row],[Failure Type]]="Mechanical"),tblDowntime[[#This Row],[Downtime Hours]],"")</f>
        <v/>
      </c>
      <c r="K165" s="10" t="n"/>
      <c r="L165" s="10" t="n"/>
      <c r="M165">
        <f>IF(tblDowntime[[#This Row],[Maintenance Downtime Hours]]="","",tblDowntime[[#This Row],[Equipment ID]])</f>
        <v/>
      </c>
      <c r="N165" s="1">
        <f>IF(tblDowntime[[#This Row],[Failure Type]]="Production",tblDowntime[[#This Row],[Downtime Hours]],"")</f>
        <v/>
      </c>
      <c r="O165">
        <f>IF(tblDowntime[[#This Row],[Production Downtime Hours]]="","",tblDowntime[[#This Row],[Equipment ID]])</f>
        <v/>
      </c>
      <c r="P165" s="10" t="n"/>
    </row>
    <row r="166">
      <c r="B166">
        <f t="array" ref="B166">_xlfn.XLOOKUP(C166,INDIRECT("tblEquipment[Equipment ID]"),INDIRECT("tblEquipment[Production Department]"),"")</f>
        <v/>
      </c>
      <c r="D166">
        <f t="array" ref="D166">_xlfn.XLOOKUP(C166,INDIRECT("tblEquipment[Equipment ID]"),INDIRECT("tblEquipment[Equipment Name]"),"")</f>
        <v/>
      </c>
      <c r="F166" s="16" t="n"/>
      <c r="G166" s="16" t="n"/>
      <c r="H166" s="1">
        <f>IF(OR(F166=0,G166=0),"",(G166-F166)*24)</f>
        <v/>
      </c>
      <c r="I166" s="10" t="n"/>
      <c r="J166" s="1">
        <f>IF(OR(tblDowntime[[#This Row],[Failure Type]]="Sawshop",tblDowntime[[#This Row],[Failure Type]]="Electrical",tblDowntime[[#This Row],[Failure Type]]="Mechanical"),tblDowntime[[#This Row],[Downtime Hours]],"")</f>
        <v/>
      </c>
      <c r="K166" s="10" t="n"/>
      <c r="L166" s="10" t="n"/>
      <c r="M166">
        <f>IF(tblDowntime[[#This Row],[Maintenance Downtime Hours]]="","",tblDowntime[[#This Row],[Equipment ID]])</f>
        <v/>
      </c>
      <c r="N166" s="1">
        <f>IF(tblDowntime[[#This Row],[Failure Type]]="Production",tblDowntime[[#This Row],[Downtime Hours]],"")</f>
        <v/>
      </c>
      <c r="O166">
        <f>IF(tblDowntime[[#This Row],[Production Downtime Hours]]="","",tblDowntime[[#This Row],[Equipment ID]])</f>
        <v/>
      </c>
      <c r="P166" s="10" t="n"/>
    </row>
    <row r="167">
      <c r="B167">
        <f t="array" ref="B167">_xlfn.XLOOKUP(C167,INDIRECT("tblEquipment[Equipment ID]"),INDIRECT("tblEquipment[Production Department]"),"")</f>
        <v/>
      </c>
      <c r="D167">
        <f t="array" ref="D167">_xlfn.XLOOKUP(C167,INDIRECT("tblEquipment[Equipment ID]"),INDIRECT("tblEquipment[Equipment Name]"),"")</f>
        <v/>
      </c>
      <c r="F167" s="16" t="n"/>
      <c r="G167" s="16" t="n"/>
      <c r="H167" s="1">
        <f>IF(OR(F167=0,G167=0),"",(G167-F167)*24)</f>
        <v/>
      </c>
      <c r="I167" s="10" t="n"/>
      <c r="J167" s="1">
        <f>IF(OR(tblDowntime[[#This Row],[Failure Type]]="Sawshop",tblDowntime[[#This Row],[Failure Type]]="Electrical",tblDowntime[[#This Row],[Failure Type]]="Mechanical"),tblDowntime[[#This Row],[Downtime Hours]],"")</f>
        <v/>
      </c>
      <c r="K167" s="10" t="n"/>
      <c r="L167" s="10" t="n"/>
      <c r="M167">
        <f>IF(tblDowntime[[#This Row],[Maintenance Downtime Hours]]="","",tblDowntime[[#This Row],[Equipment ID]])</f>
        <v/>
      </c>
      <c r="N167" s="1">
        <f>IF(tblDowntime[[#This Row],[Failure Type]]="Production",tblDowntime[[#This Row],[Downtime Hours]],"")</f>
        <v/>
      </c>
      <c r="O167">
        <f>IF(tblDowntime[[#This Row],[Production Downtime Hours]]="","",tblDowntime[[#This Row],[Equipment ID]])</f>
        <v/>
      </c>
      <c r="P167" s="10" t="n"/>
    </row>
    <row r="168">
      <c r="B168">
        <f t="array" ref="B168">_xlfn.XLOOKUP(C168,INDIRECT("tblEquipment[Equipment ID]"),INDIRECT("tblEquipment[Production Department]"),"")</f>
        <v/>
      </c>
      <c r="D168">
        <f t="array" ref="D168">_xlfn.XLOOKUP(C168,INDIRECT("tblEquipment[Equipment ID]"),INDIRECT("tblEquipment[Equipment Name]"),"")</f>
        <v/>
      </c>
      <c r="F168" s="16" t="n"/>
      <c r="G168" s="16" t="n"/>
      <c r="H168" s="1">
        <f>IF(OR(F168=0,G168=0),"",(G168-F168)*24)</f>
        <v/>
      </c>
      <c r="I168" s="10" t="n"/>
      <c r="J168" s="1">
        <f>IF(OR(tblDowntime[[#This Row],[Failure Type]]="Sawshop",tblDowntime[[#This Row],[Failure Type]]="Electrical",tblDowntime[[#This Row],[Failure Type]]="Mechanical"),tblDowntime[[#This Row],[Downtime Hours]],"")</f>
        <v/>
      </c>
      <c r="K168" s="10" t="n"/>
      <c r="L168" s="10" t="n"/>
      <c r="M168">
        <f>IF(tblDowntime[[#This Row],[Maintenance Downtime Hours]]="","",tblDowntime[[#This Row],[Equipment ID]])</f>
        <v/>
      </c>
      <c r="N168" s="1">
        <f>IF(tblDowntime[[#This Row],[Failure Type]]="Production",tblDowntime[[#This Row],[Downtime Hours]],"")</f>
        <v/>
      </c>
      <c r="O168">
        <f>IF(tblDowntime[[#This Row],[Production Downtime Hours]]="","",tblDowntime[[#This Row],[Equipment ID]])</f>
        <v/>
      </c>
      <c r="P168" s="10" t="n"/>
    </row>
    <row r="169">
      <c r="B169">
        <f t="array" ref="B169">_xlfn.XLOOKUP(C169,INDIRECT("tblEquipment[Equipment ID]"),INDIRECT("tblEquipment[Production Department]"),"")</f>
        <v/>
      </c>
      <c r="D169">
        <f t="array" ref="D169">_xlfn.XLOOKUP(C169,INDIRECT("tblEquipment[Equipment ID]"),INDIRECT("tblEquipment[Equipment Name]"),"")</f>
        <v/>
      </c>
      <c r="F169" s="16" t="n"/>
      <c r="G169" s="16" t="n"/>
      <c r="H169" s="1">
        <f>IF(OR(F169=0,G169=0),"",(G169-F169)*24)</f>
        <v/>
      </c>
      <c r="I169" s="10" t="n"/>
      <c r="J169" s="1">
        <f>IF(OR(tblDowntime[[#This Row],[Failure Type]]="Sawshop",tblDowntime[[#This Row],[Failure Type]]="Electrical",tblDowntime[[#This Row],[Failure Type]]="Mechanical"),tblDowntime[[#This Row],[Downtime Hours]],"")</f>
        <v/>
      </c>
      <c r="K169" s="10" t="n"/>
      <c r="L169" s="10" t="n"/>
      <c r="M169">
        <f>IF(tblDowntime[[#This Row],[Maintenance Downtime Hours]]="","",tblDowntime[[#This Row],[Equipment ID]])</f>
        <v/>
      </c>
      <c r="N169" s="1">
        <f>IF(tblDowntime[[#This Row],[Failure Type]]="Production",tblDowntime[[#This Row],[Downtime Hours]],"")</f>
        <v/>
      </c>
      <c r="O169">
        <f>IF(tblDowntime[[#This Row],[Production Downtime Hours]]="","",tblDowntime[[#This Row],[Equipment ID]])</f>
        <v/>
      </c>
      <c r="P169" s="10" t="n"/>
    </row>
    <row r="170">
      <c r="B170">
        <f t="array" ref="B170">_xlfn.XLOOKUP(C170,INDIRECT("tblEquipment[Equipment ID]"),INDIRECT("tblEquipment[Production Department]"),"")</f>
        <v/>
      </c>
      <c r="D170">
        <f t="array" ref="D170">_xlfn.XLOOKUP(C170,INDIRECT("tblEquipment[Equipment ID]"),INDIRECT("tblEquipment[Equipment Name]"),"")</f>
        <v/>
      </c>
      <c r="F170" s="16" t="n"/>
      <c r="G170" s="16" t="n"/>
      <c r="H170" s="1">
        <f>IF(OR(F170=0,G170=0),"",(G170-F170)*24)</f>
        <v/>
      </c>
      <c r="I170" s="10" t="n"/>
      <c r="J170" s="1">
        <f>IF(OR(tblDowntime[[#This Row],[Failure Type]]="Sawshop",tblDowntime[[#This Row],[Failure Type]]="Electrical",tblDowntime[[#This Row],[Failure Type]]="Mechanical"),tblDowntime[[#This Row],[Downtime Hours]],"")</f>
        <v/>
      </c>
      <c r="K170" s="10" t="n"/>
      <c r="L170" s="10" t="n"/>
      <c r="M170">
        <f>IF(tblDowntime[[#This Row],[Maintenance Downtime Hours]]="","",tblDowntime[[#This Row],[Equipment ID]])</f>
        <v/>
      </c>
      <c r="N170" s="1">
        <f>IF(tblDowntime[[#This Row],[Failure Type]]="Production",tblDowntime[[#This Row],[Downtime Hours]],"")</f>
        <v/>
      </c>
      <c r="O170">
        <f>IF(tblDowntime[[#This Row],[Production Downtime Hours]]="","",tblDowntime[[#This Row],[Equipment ID]])</f>
        <v/>
      </c>
      <c r="P170" s="10" t="n"/>
    </row>
    <row r="171">
      <c r="B171">
        <f t="array" ref="B171">_xlfn.XLOOKUP(C171,INDIRECT("tblEquipment[Equipment ID]"),INDIRECT("tblEquipment[Production Department]"),"")</f>
        <v/>
      </c>
      <c r="D171">
        <f t="array" ref="D171">_xlfn.XLOOKUP(C171,INDIRECT("tblEquipment[Equipment ID]"),INDIRECT("tblEquipment[Equipment Name]"),"")</f>
        <v/>
      </c>
      <c r="F171" s="16" t="n"/>
      <c r="G171" s="16" t="n"/>
      <c r="H171" s="1">
        <f>IF(OR(F171=0,G171=0),"",(G171-F171)*24)</f>
        <v/>
      </c>
      <c r="I171" s="10" t="n"/>
      <c r="J171" s="1">
        <f>IF(OR(tblDowntime[[#This Row],[Failure Type]]="Sawshop",tblDowntime[[#This Row],[Failure Type]]="Electrical",tblDowntime[[#This Row],[Failure Type]]="Mechanical"),tblDowntime[[#This Row],[Downtime Hours]],"")</f>
        <v/>
      </c>
      <c r="K171" s="10" t="n"/>
      <c r="L171" s="10" t="n"/>
      <c r="M171">
        <f>IF(tblDowntime[[#This Row],[Maintenance Downtime Hours]]="","",tblDowntime[[#This Row],[Equipment ID]])</f>
        <v/>
      </c>
      <c r="N171" s="1">
        <f>IF(tblDowntime[[#This Row],[Failure Type]]="Production",tblDowntime[[#This Row],[Downtime Hours]],"")</f>
        <v/>
      </c>
      <c r="O171">
        <f>IF(tblDowntime[[#This Row],[Production Downtime Hours]]="","",tblDowntime[[#This Row],[Equipment ID]])</f>
        <v/>
      </c>
      <c r="P171" s="10" t="n"/>
    </row>
    <row r="172">
      <c r="B172">
        <f t="array" ref="B172">_xlfn.XLOOKUP(C172,INDIRECT("tblEquipment[Equipment ID]"),INDIRECT("tblEquipment[Production Department]"),"")</f>
        <v/>
      </c>
      <c r="D172">
        <f t="array" ref="D172">_xlfn.XLOOKUP(C172,INDIRECT("tblEquipment[Equipment ID]"),INDIRECT("tblEquipment[Equipment Name]"),"")</f>
        <v/>
      </c>
      <c r="F172" s="16" t="n"/>
      <c r="G172" s="16" t="n"/>
      <c r="H172" s="1">
        <f>IF(OR(F172=0,G172=0),"",(G172-F172)*24)</f>
        <v/>
      </c>
      <c r="I172" s="10" t="n"/>
      <c r="J172" s="1">
        <f>IF(OR(tblDowntime[[#This Row],[Failure Type]]="Sawshop",tblDowntime[[#This Row],[Failure Type]]="Electrical",tblDowntime[[#This Row],[Failure Type]]="Mechanical"),tblDowntime[[#This Row],[Downtime Hours]],"")</f>
        <v/>
      </c>
      <c r="K172" s="10" t="n"/>
      <c r="L172" s="10" t="n"/>
      <c r="M172">
        <f>IF(tblDowntime[[#This Row],[Maintenance Downtime Hours]]="","",tblDowntime[[#This Row],[Equipment ID]])</f>
        <v/>
      </c>
      <c r="N172" s="1">
        <f>IF(tblDowntime[[#This Row],[Failure Type]]="Production",tblDowntime[[#This Row],[Downtime Hours]],"")</f>
        <v/>
      </c>
      <c r="O172">
        <f>IF(tblDowntime[[#This Row],[Production Downtime Hours]]="","",tblDowntime[[#This Row],[Equipment ID]])</f>
        <v/>
      </c>
      <c r="P172" s="10" t="n"/>
    </row>
    <row r="173">
      <c r="B173">
        <f t="array" ref="B173">_xlfn.XLOOKUP(C173,INDIRECT("tblEquipment[Equipment ID]"),INDIRECT("tblEquipment[Production Department]"),"")</f>
        <v/>
      </c>
      <c r="D173">
        <f t="array" ref="D173">_xlfn.XLOOKUP(C173,INDIRECT("tblEquipment[Equipment ID]"),INDIRECT("tblEquipment[Equipment Name]"),"")</f>
        <v/>
      </c>
      <c r="F173" s="16" t="n"/>
      <c r="G173" s="16" t="n"/>
      <c r="H173" s="1">
        <f>IF(OR(F173=0,G173=0),"",(G173-F173)*24)</f>
        <v/>
      </c>
      <c r="I173" s="10" t="n"/>
      <c r="J173" s="1">
        <f>IF(OR(tblDowntime[[#This Row],[Failure Type]]="Sawshop",tblDowntime[[#This Row],[Failure Type]]="Electrical",tblDowntime[[#This Row],[Failure Type]]="Mechanical"),tblDowntime[[#This Row],[Downtime Hours]],"")</f>
        <v/>
      </c>
      <c r="K173" s="10" t="n"/>
      <c r="L173" s="10" t="n"/>
      <c r="M173">
        <f>IF(tblDowntime[[#This Row],[Maintenance Downtime Hours]]="","",tblDowntime[[#This Row],[Equipment ID]])</f>
        <v/>
      </c>
      <c r="N173" s="1">
        <f>IF(tblDowntime[[#This Row],[Failure Type]]="Production",tblDowntime[[#This Row],[Downtime Hours]],"")</f>
        <v/>
      </c>
      <c r="O173">
        <f>IF(tblDowntime[[#This Row],[Production Downtime Hours]]="","",tblDowntime[[#This Row],[Equipment ID]])</f>
        <v/>
      </c>
      <c r="P173" s="10" t="n"/>
    </row>
    <row r="174">
      <c r="B174">
        <f t="array" ref="B174">_xlfn.XLOOKUP(C174,INDIRECT("tblEquipment[Equipment ID]"),INDIRECT("tblEquipment[Production Department]"),"")</f>
        <v/>
      </c>
      <c r="D174">
        <f t="array" ref="D174">_xlfn.XLOOKUP(C174,INDIRECT("tblEquipment[Equipment ID]"),INDIRECT("tblEquipment[Equipment Name]"),"")</f>
        <v/>
      </c>
      <c r="F174" s="16" t="n"/>
      <c r="G174" s="16" t="n"/>
      <c r="H174" s="1">
        <f>IF(OR(F174=0,G174=0),"",(G174-F174)*24)</f>
        <v/>
      </c>
      <c r="I174" s="10" t="n"/>
      <c r="J174" s="1">
        <f>IF(OR(tblDowntime[[#This Row],[Failure Type]]="Sawshop",tblDowntime[[#This Row],[Failure Type]]="Electrical",tblDowntime[[#This Row],[Failure Type]]="Mechanical"),tblDowntime[[#This Row],[Downtime Hours]],"")</f>
        <v/>
      </c>
      <c r="K174" s="10" t="n"/>
      <c r="L174" s="10" t="n"/>
      <c r="M174">
        <f>IF(tblDowntime[[#This Row],[Maintenance Downtime Hours]]="","",tblDowntime[[#This Row],[Equipment ID]])</f>
        <v/>
      </c>
      <c r="N174" s="1">
        <f>IF(tblDowntime[[#This Row],[Failure Type]]="Production",tblDowntime[[#This Row],[Downtime Hours]],"")</f>
        <v/>
      </c>
      <c r="O174">
        <f>IF(tblDowntime[[#This Row],[Production Downtime Hours]]="","",tblDowntime[[#This Row],[Equipment ID]])</f>
        <v/>
      </c>
      <c r="P174" s="10" t="n"/>
    </row>
    <row r="175">
      <c r="B175">
        <f t="array" ref="B175">_xlfn.XLOOKUP(C175,INDIRECT("tblEquipment[Equipment ID]"),INDIRECT("tblEquipment[Production Department]"),"")</f>
        <v/>
      </c>
      <c r="D175">
        <f t="array" ref="D175">_xlfn.XLOOKUP(C175,INDIRECT("tblEquipment[Equipment ID]"),INDIRECT("tblEquipment[Equipment Name]"),"")</f>
        <v/>
      </c>
      <c r="F175" s="16" t="n"/>
      <c r="G175" s="16" t="n"/>
      <c r="H175" s="1">
        <f>IF(OR(F175=0,G175=0),"",(G175-F175)*24)</f>
        <v/>
      </c>
      <c r="I175" s="10" t="n"/>
      <c r="J175" s="1">
        <f>IF(OR(tblDowntime[[#This Row],[Failure Type]]="Sawshop",tblDowntime[[#This Row],[Failure Type]]="Electrical",tblDowntime[[#This Row],[Failure Type]]="Mechanical"),tblDowntime[[#This Row],[Downtime Hours]],"")</f>
        <v/>
      </c>
      <c r="K175" s="10" t="n"/>
      <c r="L175" s="10" t="n"/>
      <c r="M175">
        <f>IF(tblDowntime[[#This Row],[Maintenance Downtime Hours]]="","",tblDowntime[[#This Row],[Equipment ID]])</f>
        <v/>
      </c>
      <c r="N175" s="1">
        <f>IF(tblDowntime[[#This Row],[Failure Type]]="Production",tblDowntime[[#This Row],[Downtime Hours]],"")</f>
        <v/>
      </c>
      <c r="O175">
        <f>IF(tblDowntime[[#This Row],[Production Downtime Hours]]="","",tblDowntime[[#This Row],[Equipment ID]])</f>
        <v/>
      </c>
      <c r="P175" s="10" t="n"/>
    </row>
    <row r="176">
      <c r="B176">
        <f t="array" ref="B176">_xlfn.XLOOKUP(C176,INDIRECT("tblEquipment[Equipment ID]"),INDIRECT("tblEquipment[Production Department]"),"")</f>
        <v/>
      </c>
      <c r="D176">
        <f t="array" ref="D176">_xlfn.XLOOKUP(C176,INDIRECT("tblEquipment[Equipment ID]"),INDIRECT("tblEquipment[Equipment Name]"),"")</f>
        <v/>
      </c>
      <c r="F176" s="16" t="n"/>
      <c r="G176" s="16" t="n"/>
      <c r="H176" s="1">
        <f>IF(OR(F176=0,G176=0),"",(G176-F176)*24)</f>
        <v/>
      </c>
      <c r="I176" s="10" t="n"/>
      <c r="J176" s="1">
        <f>IF(OR(tblDowntime[[#This Row],[Failure Type]]="Sawshop",tblDowntime[[#This Row],[Failure Type]]="Electrical",tblDowntime[[#This Row],[Failure Type]]="Mechanical"),tblDowntime[[#This Row],[Downtime Hours]],"")</f>
        <v/>
      </c>
      <c r="K176" s="10" t="n"/>
      <c r="L176" s="10" t="n"/>
      <c r="M176">
        <f>IF(tblDowntime[[#This Row],[Maintenance Downtime Hours]]="","",tblDowntime[[#This Row],[Equipment ID]])</f>
        <v/>
      </c>
      <c r="N176" s="1">
        <f>IF(tblDowntime[[#This Row],[Failure Type]]="Production",tblDowntime[[#This Row],[Downtime Hours]],"")</f>
        <v/>
      </c>
      <c r="O176">
        <f>IF(tblDowntime[[#This Row],[Production Downtime Hours]]="","",tblDowntime[[#This Row],[Equipment ID]])</f>
        <v/>
      </c>
      <c r="P176" s="10" t="n"/>
    </row>
    <row r="177">
      <c r="B177">
        <f t="array" ref="B177">_xlfn.XLOOKUP(C177,INDIRECT("tblEquipment[Equipment ID]"),INDIRECT("tblEquipment[Production Department]"),"")</f>
        <v/>
      </c>
      <c r="D177">
        <f t="array" ref="D177">_xlfn.XLOOKUP(C177,INDIRECT("tblEquipment[Equipment ID]"),INDIRECT("tblEquipment[Equipment Name]"),"")</f>
        <v/>
      </c>
      <c r="F177" s="16" t="n"/>
      <c r="G177" s="16" t="n"/>
      <c r="H177" s="1">
        <f>IF(OR(F177=0,G177=0),"",(G177-F177)*24)</f>
        <v/>
      </c>
      <c r="I177" s="10" t="n"/>
      <c r="J177" s="1">
        <f>IF(OR(tblDowntime[[#This Row],[Failure Type]]="Sawshop",tblDowntime[[#This Row],[Failure Type]]="Electrical",tblDowntime[[#This Row],[Failure Type]]="Mechanical"),tblDowntime[[#This Row],[Downtime Hours]],"")</f>
        <v/>
      </c>
      <c r="K177" s="10" t="n"/>
      <c r="L177" s="10" t="n"/>
      <c r="M177">
        <f>IF(tblDowntime[[#This Row],[Maintenance Downtime Hours]]="","",tblDowntime[[#This Row],[Equipment ID]])</f>
        <v/>
      </c>
      <c r="N177" s="1">
        <f>IF(tblDowntime[[#This Row],[Failure Type]]="Production",tblDowntime[[#This Row],[Downtime Hours]],"")</f>
        <v/>
      </c>
      <c r="O177">
        <f>IF(tblDowntime[[#This Row],[Production Downtime Hours]]="","",tblDowntime[[#This Row],[Equipment ID]])</f>
        <v/>
      </c>
      <c r="P177" s="10" t="n"/>
    </row>
    <row r="178">
      <c r="B178">
        <f t="array" ref="B178">_xlfn.XLOOKUP(C178,INDIRECT("tblEquipment[Equipment ID]"),INDIRECT("tblEquipment[Production Department]"),"")</f>
        <v/>
      </c>
      <c r="D178">
        <f t="array" ref="D178">_xlfn.XLOOKUP(C178,INDIRECT("tblEquipment[Equipment ID]"),INDIRECT("tblEquipment[Equipment Name]"),"")</f>
        <v/>
      </c>
      <c r="F178" s="16" t="n"/>
      <c r="G178" s="16" t="n"/>
      <c r="H178" s="1">
        <f>IF(OR(F178=0,G178=0),"",(G178-F178)*24)</f>
        <v/>
      </c>
      <c r="I178" s="10" t="n"/>
      <c r="J178" s="1">
        <f>IF(OR(tblDowntime[[#This Row],[Failure Type]]="Sawshop",tblDowntime[[#This Row],[Failure Type]]="Electrical",tblDowntime[[#This Row],[Failure Type]]="Mechanical"),tblDowntime[[#This Row],[Downtime Hours]],"")</f>
        <v/>
      </c>
      <c r="K178" s="10" t="n"/>
      <c r="L178" s="10" t="n"/>
      <c r="M178">
        <f>IF(tblDowntime[[#This Row],[Maintenance Downtime Hours]]="","",tblDowntime[[#This Row],[Equipment ID]])</f>
        <v/>
      </c>
      <c r="N178" s="1">
        <f>IF(tblDowntime[[#This Row],[Failure Type]]="Production",tblDowntime[[#This Row],[Downtime Hours]],"")</f>
        <v/>
      </c>
      <c r="O178">
        <f>IF(tblDowntime[[#This Row],[Production Downtime Hours]]="","",tblDowntime[[#This Row],[Equipment ID]])</f>
        <v/>
      </c>
      <c r="P178" s="10" t="n"/>
    </row>
    <row r="179">
      <c r="B179">
        <f t="array" ref="B179">_xlfn.XLOOKUP(C179,INDIRECT("tblEquipment[Equipment ID]"),INDIRECT("tblEquipment[Production Department]"),"")</f>
        <v/>
      </c>
      <c r="D179">
        <f t="array" ref="D179">_xlfn.XLOOKUP(C179,INDIRECT("tblEquipment[Equipment ID]"),INDIRECT("tblEquipment[Equipment Name]"),"")</f>
        <v/>
      </c>
      <c r="F179" s="16" t="n"/>
      <c r="G179" s="16" t="n"/>
      <c r="H179" s="1">
        <f>IF(OR(F179=0,G179=0),"",(G179-F179)*24)</f>
        <v/>
      </c>
      <c r="I179" s="10" t="n"/>
      <c r="J179" s="1">
        <f>IF(OR(tblDowntime[[#This Row],[Failure Type]]="Sawshop",tblDowntime[[#This Row],[Failure Type]]="Electrical",tblDowntime[[#This Row],[Failure Type]]="Mechanical"),tblDowntime[[#This Row],[Downtime Hours]],"")</f>
        <v/>
      </c>
      <c r="K179" s="10" t="n"/>
      <c r="L179" s="10" t="n"/>
      <c r="M179">
        <f>IF(tblDowntime[[#This Row],[Maintenance Downtime Hours]]="","",tblDowntime[[#This Row],[Equipment ID]])</f>
        <v/>
      </c>
      <c r="N179" s="1">
        <f>IF(tblDowntime[[#This Row],[Failure Type]]="Production",tblDowntime[[#This Row],[Downtime Hours]],"")</f>
        <v/>
      </c>
      <c r="O179">
        <f>IF(tblDowntime[[#This Row],[Production Downtime Hours]]="","",tblDowntime[[#This Row],[Equipment ID]])</f>
        <v/>
      </c>
      <c r="P179" s="10" t="n"/>
    </row>
    <row r="180">
      <c r="B180">
        <f t="array" ref="B180">_xlfn.XLOOKUP(C180,INDIRECT("tblEquipment[Equipment ID]"),INDIRECT("tblEquipment[Production Department]"),"")</f>
        <v/>
      </c>
      <c r="D180">
        <f t="array" ref="D180">_xlfn.XLOOKUP(C180,INDIRECT("tblEquipment[Equipment ID]"),INDIRECT("tblEquipment[Equipment Name]"),"")</f>
        <v/>
      </c>
      <c r="F180" s="16" t="n"/>
      <c r="G180" s="16" t="n"/>
      <c r="H180" s="1">
        <f>IF(OR(F180=0,G180=0),"",(G180-F180)*24)</f>
        <v/>
      </c>
      <c r="I180" s="10" t="n"/>
      <c r="J180" s="1">
        <f>IF(OR(tblDowntime[[#This Row],[Failure Type]]="Sawshop",tblDowntime[[#This Row],[Failure Type]]="Electrical",tblDowntime[[#This Row],[Failure Type]]="Mechanical"),tblDowntime[[#This Row],[Downtime Hours]],"")</f>
        <v/>
      </c>
      <c r="K180" s="10" t="n"/>
      <c r="L180" s="10" t="n"/>
      <c r="M180">
        <f>IF(tblDowntime[[#This Row],[Maintenance Downtime Hours]]="","",tblDowntime[[#This Row],[Equipment ID]])</f>
        <v/>
      </c>
      <c r="N180" s="1">
        <f>IF(tblDowntime[[#This Row],[Failure Type]]="Production",tblDowntime[[#This Row],[Downtime Hours]],"")</f>
        <v/>
      </c>
      <c r="O180">
        <f>IF(tblDowntime[[#This Row],[Production Downtime Hours]]="","",tblDowntime[[#This Row],[Equipment ID]])</f>
        <v/>
      </c>
      <c r="P180" s="10" t="n"/>
    </row>
    <row r="181">
      <c r="B181">
        <f t="array" ref="B181">_xlfn.XLOOKUP(C181,INDIRECT("tblEquipment[Equipment ID]"),INDIRECT("tblEquipment[Production Department]"),"")</f>
        <v/>
      </c>
      <c r="D181">
        <f t="array" ref="D181">_xlfn.XLOOKUP(C181,INDIRECT("tblEquipment[Equipment ID]"),INDIRECT("tblEquipment[Equipment Name]"),"")</f>
        <v/>
      </c>
      <c r="F181" s="16" t="n"/>
      <c r="G181" s="16" t="n"/>
      <c r="H181" s="1">
        <f>IF(OR(F181=0,G181=0),"",(G181-F181)*24)</f>
        <v/>
      </c>
      <c r="I181" s="10" t="n"/>
      <c r="J181" s="1">
        <f>IF(OR(tblDowntime[[#This Row],[Failure Type]]="Sawshop",tblDowntime[[#This Row],[Failure Type]]="Electrical",tblDowntime[[#This Row],[Failure Type]]="Mechanical"),tblDowntime[[#This Row],[Downtime Hours]],"")</f>
        <v/>
      </c>
      <c r="K181" s="10" t="n"/>
      <c r="L181" s="10" t="n"/>
      <c r="M181">
        <f>IF(tblDowntime[[#This Row],[Maintenance Downtime Hours]]="","",tblDowntime[[#This Row],[Equipment ID]])</f>
        <v/>
      </c>
      <c r="N181" s="1">
        <f>IF(tblDowntime[[#This Row],[Failure Type]]="Production",tblDowntime[[#This Row],[Downtime Hours]],"")</f>
        <v/>
      </c>
      <c r="O181">
        <f>IF(tblDowntime[[#This Row],[Production Downtime Hours]]="","",tblDowntime[[#This Row],[Equipment ID]])</f>
        <v/>
      </c>
      <c r="P181" s="10" t="n"/>
    </row>
    <row r="182">
      <c r="B182">
        <f t="array" ref="B182">_xlfn.XLOOKUP(C182,INDIRECT("tblEquipment[Equipment ID]"),INDIRECT("tblEquipment[Production Department]"),"")</f>
        <v/>
      </c>
      <c r="D182">
        <f t="array" ref="D182">_xlfn.XLOOKUP(C182,INDIRECT("tblEquipment[Equipment ID]"),INDIRECT("tblEquipment[Equipment Name]"),"")</f>
        <v/>
      </c>
      <c r="F182" s="16" t="n"/>
      <c r="G182" s="16" t="n"/>
      <c r="H182" s="1">
        <f>IF(OR(F182=0,G182=0),"",(G182-F182)*24)</f>
        <v/>
      </c>
      <c r="I182" s="10" t="n"/>
      <c r="J182" s="1">
        <f>IF(OR(tblDowntime[[#This Row],[Failure Type]]="Sawshop",tblDowntime[[#This Row],[Failure Type]]="Electrical",tblDowntime[[#This Row],[Failure Type]]="Mechanical"),tblDowntime[[#This Row],[Downtime Hours]],"")</f>
        <v/>
      </c>
      <c r="K182" s="10" t="n"/>
      <c r="L182" s="10" t="n"/>
      <c r="M182">
        <f>IF(tblDowntime[[#This Row],[Maintenance Downtime Hours]]="","",tblDowntime[[#This Row],[Equipment ID]])</f>
        <v/>
      </c>
      <c r="N182" s="1">
        <f>IF(tblDowntime[[#This Row],[Failure Type]]="Production",tblDowntime[[#This Row],[Downtime Hours]],"")</f>
        <v/>
      </c>
      <c r="O182">
        <f>IF(tblDowntime[[#This Row],[Production Downtime Hours]]="","",tblDowntime[[#This Row],[Equipment ID]])</f>
        <v/>
      </c>
      <c r="P182" s="10" t="n"/>
    </row>
    <row r="183">
      <c r="B183">
        <f t="array" ref="B183">_xlfn.XLOOKUP(C183,INDIRECT("tblEquipment[Equipment ID]"),INDIRECT("tblEquipment[Production Department]"),"")</f>
        <v/>
      </c>
      <c r="D183">
        <f t="array" ref="D183">_xlfn.XLOOKUP(C183,INDIRECT("tblEquipment[Equipment ID]"),INDIRECT("tblEquipment[Equipment Name]"),"")</f>
        <v/>
      </c>
      <c r="F183" s="16" t="n"/>
      <c r="G183" s="16" t="n"/>
      <c r="H183" s="1">
        <f>IF(OR(F183=0,G183=0),"",(G183-F183)*24)</f>
        <v/>
      </c>
      <c r="I183" s="10" t="n"/>
      <c r="J183" s="1">
        <f>IF(OR(tblDowntime[[#This Row],[Failure Type]]="Sawshop",tblDowntime[[#This Row],[Failure Type]]="Electrical",tblDowntime[[#This Row],[Failure Type]]="Mechanical"),tblDowntime[[#This Row],[Downtime Hours]],"")</f>
        <v/>
      </c>
      <c r="K183" s="10" t="n"/>
      <c r="L183" s="10" t="n"/>
      <c r="M183">
        <f>IF(tblDowntime[[#This Row],[Maintenance Downtime Hours]]="","",tblDowntime[[#This Row],[Equipment ID]])</f>
        <v/>
      </c>
      <c r="N183" s="1">
        <f>IF(tblDowntime[[#This Row],[Failure Type]]="Production",tblDowntime[[#This Row],[Downtime Hours]],"")</f>
        <v/>
      </c>
      <c r="O183">
        <f>IF(tblDowntime[[#This Row],[Production Downtime Hours]]="","",tblDowntime[[#This Row],[Equipment ID]])</f>
        <v/>
      </c>
      <c r="P183" s="10" t="n"/>
    </row>
    <row r="184">
      <c r="B184">
        <f t="array" ref="B184">_xlfn.XLOOKUP(C184,INDIRECT("tblEquipment[Equipment ID]"),INDIRECT("tblEquipment[Production Department]"),"")</f>
        <v/>
      </c>
      <c r="D184">
        <f t="array" ref="D184">_xlfn.XLOOKUP(C184,INDIRECT("tblEquipment[Equipment ID]"),INDIRECT("tblEquipment[Equipment Name]"),"")</f>
        <v/>
      </c>
      <c r="F184" s="16" t="n"/>
      <c r="G184" s="16" t="n"/>
      <c r="H184" s="1">
        <f>IF(OR(F184=0,G184=0),"",(G184-F184)*24)</f>
        <v/>
      </c>
      <c r="I184" s="10" t="n"/>
      <c r="J184" s="1">
        <f>IF(OR(tblDowntime[[#This Row],[Failure Type]]="Sawshop",tblDowntime[[#This Row],[Failure Type]]="Electrical",tblDowntime[[#This Row],[Failure Type]]="Mechanical"),tblDowntime[[#This Row],[Downtime Hours]],"")</f>
        <v/>
      </c>
      <c r="K184" s="10" t="n"/>
      <c r="L184" s="10" t="n"/>
      <c r="M184">
        <f>IF(tblDowntime[[#This Row],[Maintenance Downtime Hours]]="","",tblDowntime[[#This Row],[Equipment ID]])</f>
        <v/>
      </c>
      <c r="N184" s="1">
        <f>IF(tblDowntime[[#This Row],[Failure Type]]="Production",tblDowntime[[#This Row],[Downtime Hours]],"")</f>
        <v/>
      </c>
      <c r="O184">
        <f>IF(tblDowntime[[#This Row],[Production Downtime Hours]]="","",tblDowntime[[#This Row],[Equipment ID]])</f>
        <v/>
      </c>
      <c r="P184" s="10" t="n"/>
    </row>
    <row r="185">
      <c r="B185">
        <f t="array" ref="B185">_xlfn.XLOOKUP(C185,INDIRECT("tblEquipment[Equipment ID]"),INDIRECT("tblEquipment[Production Department]"),"")</f>
        <v/>
      </c>
      <c r="D185">
        <f t="array" ref="D185">_xlfn.XLOOKUP(C185,INDIRECT("tblEquipment[Equipment ID]"),INDIRECT("tblEquipment[Equipment Name]"),"")</f>
        <v/>
      </c>
      <c r="F185" s="16" t="n"/>
      <c r="G185" s="16" t="n"/>
      <c r="H185" s="1">
        <f>IF(OR(F185=0,G185=0),"",(G185-F185)*24)</f>
        <v/>
      </c>
      <c r="I185" s="10" t="n"/>
      <c r="J185" s="1">
        <f>IF(OR(tblDowntime[[#This Row],[Failure Type]]="Sawshop",tblDowntime[[#This Row],[Failure Type]]="Electrical",tblDowntime[[#This Row],[Failure Type]]="Mechanical"),tblDowntime[[#This Row],[Downtime Hours]],"")</f>
        <v/>
      </c>
      <c r="K185" s="10" t="n"/>
      <c r="L185" s="10" t="n"/>
      <c r="M185">
        <f>IF(tblDowntime[[#This Row],[Maintenance Downtime Hours]]="","",tblDowntime[[#This Row],[Equipment ID]])</f>
        <v/>
      </c>
      <c r="N185" s="1">
        <f>IF(tblDowntime[[#This Row],[Failure Type]]="Production",tblDowntime[[#This Row],[Downtime Hours]],"")</f>
        <v/>
      </c>
      <c r="O185">
        <f>IF(tblDowntime[[#This Row],[Production Downtime Hours]]="","",tblDowntime[[#This Row],[Equipment ID]])</f>
        <v/>
      </c>
      <c r="P185" s="10" t="n"/>
    </row>
    <row r="186">
      <c r="B186">
        <f t="array" ref="B186">_xlfn.XLOOKUP(C186,INDIRECT("tblEquipment[Equipment ID]"),INDIRECT("tblEquipment[Production Department]"),"")</f>
        <v/>
      </c>
      <c r="D186">
        <f t="array" ref="D186">_xlfn.XLOOKUP(C186,INDIRECT("tblEquipment[Equipment ID]"),INDIRECT("tblEquipment[Equipment Name]"),"")</f>
        <v/>
      </c>
      <c r="F186" s="16" t="n"/>
      <c r="G186" s="16" t="n"/>
      <c r="H186" s="1">
        <f>IF(OR(F186=0,G186=0),"",(G186-F186)*24)</f>
        <v/>
      </c>
      <c r="I186" s="10" t="n"/>
      <c r="J186" s="1">
        <f>IF(OR(tblDowntime[[#This Row],[Failure Type]]="Sawshop",tblDowntime[[#This Row],[Failure Type]]="Electrical",tblDowntime[[#This Row],[Failure Type]]="Mechanical"),tblDowntime[[#This Row],[Downtime Hours]],"")</f>
        <v/>
      </c>
      <c r="K186" s="10" t="n"/>
      <c r="L186" s="10" t="n"/>
      <c r="M186">
        <f>IF(tblDowntime[[#This Row],[Maintenance Downtime Hours]]="","",tblDowntime[[#This Row],[Equipment ID]])</f>
        <v/>
      </c>
      <c r="N186" s="1">
        <f>IF(tblDowntime[[#This Row],[Failure Type]]="Production",tblDowntime[[#This Row],[Downtime Hours]],"")</f>
        <v/>
      </c>
      <c r="O186">
        <f>IF(tblDowntime[[#This Row],[Production Downtime Hours]]="","",tblDowntime[[#This Row],[Equipment ID]])</f>
        <v/>
      </c>
      <c r="P186" s="10" t="n"/>
    </row>
    <row r="187">
      <c r="B187">
        <f t="array" ref="B187">_xlfn.XLOOKUP(C187,INDIRECT("tblEquipment[Equipment ID]"),INDIRECT("tblEquipment[Production Department]"),"")</f>
        <v/>
      </c>
      <c r="D187">
        <f t="array" ref="D187">_xlfn.XLOOKUP(C187,INDIRECT("tblEquipment[Equipment ID]"),INDIRECT("tblEquipment[Equipment Name]"),"")</f>
        <v/>
      </c>
      <c r="F187" s="16" t="n"/>
      <c r="G187" s="16" t="n"/>
      <c r="H187" s="1">
        <f>IF(OR(F187=0,G187=0),"",(G187-F187)*24)</f>
        <v/>
      </c>
      <c r="I187" s="10" t="n"/>
      <c r="J187" s="1">
        <f>IF(OR(tblDowntime[[#This Row],[Failure Type]]="Sawshop",tblDowntime[[#This Row],[Failure Type]]="Electrical",tblDowntime[[#This Row],[Failure Type]]="Mechanical"),tblDowntime[[#This Row],[Downtime Hours]],"")</f>
        <v/>
      </c>
      <c r="K187" s="10" t="n"/>
      <c r="L187" s="10" t="n"/>
      <c r="M187">
        <f>IF(tblDowntime[[#This Row],[Maintenance Downtime Hours]]="","",tblDowntime[[#This Row],[Equipment ID]])</f>
        <v/>
      </c>
      <c r="N187" s="1">
        <f>IF(tblDowntime[[#This Row],[Failure Type]]="Production",tblDowntime[[#This Row],[Downtime Hours]],"")</f>
        <v/>
      </c>
      <c r="O187">
        <f>IF(tblDowntime[[#This Row],[Production Downtime Hours]]="","",tblDowntime[[#This Row],[Equipment ID]])</f>
        <v/>
      </c>
      <c r="P187" s="10" t="n"/>
    </row>
    <row r="188">
      <c r="B188">
        <f t="array" ref="B188">_xlfn.XLOOKUP(C188,INDIRECT("tblEquipment[Equipment ID]"),INDIRECT("tblEquipment[Production Department]"),"")</f>
        <v/>
      </c>
      <c r="D188">
        <f t="array" ref="D188">_xlfn.XLOOKUP(C188,INDIRECT("tblEquipment[Equipment ID]"),INDIRECT("tblEquipment[Equipment Name]"),"")</f>
        <v/>
      </c>
      <c r="F188" s="16" t="n"/>
      <c r="G188" s="16" t="n"/>
      <c r="H188" s="1">
        <f>IF(OR(F188=0,G188=0),"",(G188-F188)*24)</f>
        <v/>
      </c>
      <c r="I188" s="10" t="n"/>
      <c r="J188" s="1">
        <f>IF(OR(tblDowntime[[#This Row],[Failure Type]]="Sawshop",tblDowntime[[#This Row],[Failure Type]]="Electrical",tblDowntime[[#This Row],[Failure Type]]="Mechanical"),tblDowntime[[#This Row],[Downtime Hours]],"")</f>
        <v/>
      </c>
      <c r="K188" s="10" t="n"/>
      <c r="L188" s="10" t="n"/>
      <c r="M188">
        <f>IF(tblDowntime[[#This Row],[Maintenance Downtime Hours]]="","",tblDowntime[[#This Row],[Equipment ID]])</f>
        <v/>
      </c>
      <c r="N188" s="1">
        <f>IF(tblDowntime[[#This Row],[Failure Type]]="Production",tblDowntime[[#This Row],[Downtime Hours]],"")</f>
        <v/>
      </c>
      <c r="O188">
        <f>IF(tblDowntime[[#This Row],[Production Downtime Hours]]="","",tblDowntime[[#This Row],[Equipment ID]])</f>
        <v/>
      </c>
      <c r="P188" s="10" t="n"/>
    </row>
    <row r="189">
      <c r="B189">
        <f t="array" ref="B189">_xlfn.XLOOKUP(C189,INDIRECT("tblEquipment[Equipment ID]"),INDIRECT("tblEquipment[Production Department]"),"")</f>
        <v/>
      </c>
      <c r="D189">
        <f t="array" ref="D189">_xlfn.XLOOKUP(C189,INDIRECT("tblEquipment[Equipment ID]"),INDIRECT("tblEquipment[Equipment Name]"),"")</f>
        <v/>
      </c>
      <c r="F189" s="16" t="n"/>
      <c r="G189" s="16" t="n"/>
      <c r="H189" s="1">
        <f>IF(OR(F189=0,G189=0),"",(G189-F189)*24)</f>
        <v/>
      </c>
      <c r="I189" s="10" t="n"/>
      <c r="J189" s="1">
        <f>IF(OR(tblDowntime[[#This Row],[Failure Type]]="Sawshop",tblDowntime[[#This Row],[Failure Type]]="Electrical",tblDowntime[[#This Row],[Failure Type]]="Mechanical"),tblDowntime[[#This Row],[Downtime Hours]],"")</f>
        <v/>
      </c>
      <c r="K189" s="10" t="n"/>
      <c r="L189" s="10" t="n"/>
      <c r="M189">
        <f>IF(tblDowntime[[#This Row],[Maintenance Downtime Hours]]="","",tblDowntime[[#This Row],[Equipment ID]])</f>
        <v/>
      </c>
      <c r="N189" s="1">
        <f>IF(tblDowntime[[#This Row],[Failure Type]]="Production",tblDowntime[[#This Row],[Downtime Hours]],"")</f>
        <v/>
      </c>
      <c r="O189">
        <f>IF(tblDowntime[[#This Row],[Production Downtime Hours]]="","",tblDowntime[[#This Row],[Equipment ID]])</f>
        <v/>
      </c>
      <c r="P189" s="10" t="n"/>
    </row>
    <row r="190">
      <c r="B190">
        <f t="array" ref="B190">_xlfn.XLOOKUP(C190,INDIRECT("tblEquipment[Equipment ID]"),INDIRECT("tblEquipment[Production Department]"),"")</f>
        <v/>
      </c>
      <c r="D190">
        <f t="array" ref="D190">_xlfn.XLOOKUP(C190,INDIRECT("tblEquipment[Equipment ID]"),INDIRECT("tblEquipment[Equipment Name]"),"")</f>
        <v/>
      </c>
      <c r="F190" s="16" t="n"/>
      <c r="G190" s="16" t="n"/>
      <c r="H190" s="1">
        <f>IF(OR(F190=0,G190=0),"",(G190-F190)*24)</f>
        <v/>
      </c>
      <c r="I190" s="10" t="n"/>
      <c r="J190" s="1">
        <f>IF(OR(tblDowntime[[#This Row],[Failure Type]]="Sawshop",tblDowntime[[#This Row],[Failure Type]]="Electrical",tblDowntime[[#This Row],[Failure Type]]="Mechanical"),tblDowntime[[#This Row],[Downtime Hours]],"")</f>
        <v/>
      </c>
      <c r="K190" s="10" t="n"/>
      <c r="L190" s="10" t="n"/>
      <c r="M190">
        <f>IF(tblDowntime[[#This Row],[Maintenance Downtime Hours]]="","",tblDowntime[[#This Row],[Equipment ID]])</f>
        <v/>
      </c>
      <c r="N190" s="1">
        <f>IF(tblDowntime[[#This Row],[Failure Type]]="Production",tblDowntime[[#This Row],[Downtime Hours]],"")</f>
        <v/>
      </c>
      <c r="O190">
        <f>IF(tblDowntime[[#This Row],[Production Downtime Hours]]="","",tblDowntime[[#This Row],[Equipment ID]])</f>
        <v/>
      </c>
      <c r="P190" s="10" t="n"/>
    </row>
    <row r="191">
      <c r="B191">
        <f t="array" ref="B191">_xlfn.XLOOKUP(C191,INDIRECT("tblEquipment[Equipment ID]"),INDIRECT("tblEquipment[Production Department]"),"")</f>
        <v/>
      </c>
      <c r="D191">
        <f t="array" ref="D191">_xlfn.XLOOKUP(C191,INDIRECT("tblEquipment[Equipment ID]"),INDIRECT("tblEquipment[Equipment Name]"),"")</f>
        <v/>
      </c>
      <c r="F191" s="16" t="n"/>
      <c r="G191" s="16" t="n"/>
      <c r="H191" s="1">
        <f>IF(OR(F191=0,G191=0),"",(G191-F191)*24)</f>
        <v/>
      </c>
      <c r="I191" s="10" t="n"/>
      <c r="J191" s="1">
        <f>IF(OR(tblDowntime[[#This Row],[Failure Type]]="Sawshop",tblDowntime[[#This Row],[Failure Type]]="Electrical",tblDowntime[[#This Row],[Failure Type]]="Mechanical"),tblDowntime[[#This Row],[Downtime Hours]],"")</f>
        <v/>
      </c>
      <c r="K191" s="10" t="n"/>
      <c r="L191" s="10" t="n"/>
      <c r="M191">
        <f>IF(tblDowntime[[#This Row],[Maintenance Downtime Hours]]="","",tblDowntime[[#This Row],[Equipment ID]])</f>
        <v/>
      </c>
      <c r="N191" s="1">
        <f>IF(tblDowntime[[#This Row],[Failure Type]]="Production",tblDowntime[[#This Row],[Downtime Hours]],"")</f>
        <v/>
      </c>
      <c r="O191">
        <f>IF(tblDowntime[[#This Row],[Production Downtime Hours]]="","",tblDowntime[[#This Row],[Equipment ID]])</f>
        <v/>
      </c>
      <c r="P191" s="10" t="n"/>
    </row>
    <row r="192">
      <c r="B192">
        <f t="array" ref="B192">_xlfn.XLOOKUP(C192,INDIRECT("tblEquipment[Equipment ID]"),INDIRECT("tblEquipment[Production Department]"),"")</f>
        <v/>
      </c>
      <c r="D192">
        <f t="array" ref="D192">_xlfn.XLOOKUP(C192,INDIRECT("tblEquipment[Equipment ID]"),INDIRECT("tblEquipment[Equipment Name]"),"")</f>
        <v/>
      </c>
      <c r="F192" s="16" t="n"/>
      <c r="G192" s="16" t="n"/>
      <c r="H192" s="1">
        <f>IF(OR(F192=0,G192=0),"",(G192-F192)*24)</f>
        <v/>
      </c>
      <c r="I192" s="10" t="n"/>
      <c r="J192" s="1">
        <f>IF(OR(tblDowntime[[#This Row],[Failure Type]]="Sawshop",tblDowntime[[#This Row],[Failure Type]]="Electrical",tblDowntime[[#This Row],[Failure Type]]="Mechanical"),tblDowntime[[#This Row],[Downtime Hours]],"")</f>
        <v/>
      </c>
      <c r="K192" s="10" t="n"/>
      <c r="L192" s="10" t="n"/>
      <c r="M192">
        <f>IF(tblDowntime[[#This Row],[Maintenance Downtime Hours]]="","",tblDowntime[[#This Row],[Equipment ID]])</f>
        <v/>
      </c>
      <c r="N192" s="1">
        <f>IF(tblDowntime[[#This Row],[Failure Type]]="Production",tblDowntime[[#This Row],[Downtime Hours]],"")</f>
        <v/>
      </c>
      <c r="O192">
        <f>IF(tblDowntime[[#This Row],[Production Downtime Hours]]="","",tblDowntime[[#This Row],[Equipment ID]])</f>
        <v/>
      </c>
      <c r="P192" s="10" t="n"/>
    </row>
    <row r="193">
      <c r="B193">
        <f t="array" ref="B193">_xlfn.XLOOKUP(C193,INDIRECT("tblEquipment[Equipment ID]"),INDIRECT("tblEquipment[Production Department]"),"")</f>
        <v/>
      </c>
      <c r="D193">
        <f t="array" ref="D193">_xlfn.XLOOKUP(C193,INDIRECT("tblEquipment[Equipment ID]"),INDIRECT("tblEquipment[Equipment Name]"),"")</f>
        <v/>
      </c>
      <c r="F193" s="16" t="n"/>
      <c r="G193" s="16" t="n"/>
      <c r="H193" s="1">
        <f>IF(OR(F193=0,G193=0),"",(G193-F193)*24)</f>
        <v/>
      </c>
      <c r="I193" s="10" t="n"/>
      <c r="J193" s="1">
        <f>IF(OR(tblDowntime[[#This Row],[Failure Type]]="Sawshop",tblDowntime[[#This Row],[Failure Type]]="Electrical",tblDowntime[[#This Row],[Failure Type]]="Mechanical"),tblDowntime[[#This Row],[Downtime Hours]],"")</f>
        <v/>
      </c>
      <c r="K193" s="10" t="n"/>
      <c r="L193" s="10" t="n"/>
      <c r="M193">
        <f>IF(tblDowntime[[#This Row],[Maintenance Downtime Hours]]="","",tblDowntime[[#This Row],[Equipment ID]])</f>
        <v/>
      </c>
      <c r="N193" s="1">
        <f>IF(tblDowntime[[#This Row],[Failure Type]]="Production",tblDowntime[[#This Row],[Downtime Hours]],"")</f>
        <v/>
      </c>
      <c r="O193">
        <f>IF(tblDowntime[[#This Row],[Production Downtime Hours]]="","",tblDowntime[[#This Row],[Equipment ID]])</f>
        <v/>
      </c>
      <c r="P193" s="10" t="n"/>
    </row>
    <row r="194">
      <c r="B194">
        <f t="array" ref="B194">_xlfn.XLOOKUP(C194,INDIRECT("tblEquipment[Equipment ID]"),INDIRECT("tblEquipment[Production Department]"),"")</f>
        <v/>
      </c>
      <c r="D194">
        <f t="array" ref="D194">_xlfn.XLOOKUP(C194,INDIRECT("tblEquipment[Equipment ID]"),INDIRECT("tblEquipment[Equipment Name]"),"")</f>
        <v/>
      </c>
      <c r="F194" s="16" t="n"/>
      <c r="G194" s="16" t="n"/>
      <c r="H194" s="1">
        <f>IF(OR(F194=0,G194=0),"",(G194-F194)*24)</f>
        <v/>
      </c>
      <c r="I194" s="10" t="n"/>
      <c r="J194" s="1">
        <f>IF(OR(tblDowntime[[#This Row],[Failure Type]]="Sawshop",tblDowntime[[#This Row],[Failure Type]]="Electrical",tblDowntime[[#This Row],[Failure Type]]="Mechanical"),tblDowntime[[#This Row],[Downtime Hours]],"")</f>
        <v/>
      </c>
      <c r="K194" s="10" t="n"/>
      <c r="L194" s="10" t="n"/>
      <c r="M194">
        <f>IF(tblDowntime[[#This Row],[Maintenance Downtime Hours]]="","",tblDowntime[[#This Row],[Equipment ID]])</f>
        <v/>
      </c>
      <c r="N194" s="1">
        <f>IF(tblDowntime[[#This Row],[Failure Type]]="Production",tblDowntime[[#This Row],[Downtime Hours]],"")</f>
        <v/>
      </c>
      <c r="O194">
        <f>IF(tblDowntime[[#This Row],[Production Downtime Hours]]="","",tblDowntime[[#This Row],[Equipment ID]])</f>
        <v/>
      </c>
      <c r="P194" s="10" t="n"/>
    </row>
    <row r="195">
      <c r="B195">
        <f t="array" ref="B195">_xlfn.XLOOKUP(C195,INDIRECT("tblEquipment[Equipment ID]"),INDIRECT("tblEquipment[Production Department]"),"")</f>
        <v/>
      </c>
      <c r="D195">
        <f t="array" ref="D195">_xlfn.XLOOKUP(C195,INDIRECT("tblEquipment[Equipment ID]"),INDIRECT("tblEquipment[Equipment Name]"),"")</f>
        <v/>
      </c>
      <c r="F195" s="16" t="n"/>
      <c r="G195" s="16" t="n"/>
      <c r="H195" s="1">
        <f>IF(OR(F195=0,G195=0),"",(G195-F195)*24)</f>
        <v/>
      </c>
      <c r="I195" s="10" t="n"/>
      <c r="J195" s="1">
        <f>IF(OR(tblDowntime[[#This Row],[Failure Type]]="Sawshop",tblDowntime[[#This Row],[Failure Type]]="Electrical",tblDowntime[[#This Row],[Failure Type]]="Mechanical"),tblDowntime[[#This Row],[Downtime Hours]],"")</f>
        <v/>
      </c>
      <c r="K195" s="10" t="n"/>
      <c r="L195" s="10" t="n"/>
      <c r="M195">
        <f>IF(tblDowntime[[#This Row],[Maintenance Downtime Hours]]="","",tblDowntime[[#This Row],[Equipment ID]])</f>
        <v/>
      </c>
      <c r="N195" s="1">
        <f>IF(tblDowntime[[#This Row],[Failure Type]]="Production",tblDowntime[[#This Row],[Downtime Hours]],"")</f>
        <v/>
      </c>
      <c r="O195">
        <f>IF(tblDowntime[[#This Row],[Production Downtime Hours]]="","",tblDowntime[[#This Row],[Equipment ID]])</f>
        <v/>
      </c>
      <c r="P195" s="10" t="n"/>
    </row>
    <row r="196">
      <c r="B196">
        <f t="array" ref="B196">_xlfn.XLOOKUP(C196,INDIRECT("tblEquipment[Equipment ID]"),INDIRECT("tblEquipment[Production Department]"),"")</f>
        <v/>
      </c>
      <c r="D196">
        <f t="array" ref="D196">_xlfn.XLOOKUP(C196,INDIRECT("tblEquipment[Equipment ID]"),INDIRECT("tblEquipment[Equipment Name]"),"")</f>
        <v/>
      </c>
      <c r="F196" s="16" t="n"/>
      <c r="G196" s="16" t="n"/>
      <c r="H196" s="1">
        <f>IF(OR(F196=0,G196=0),"",(G196-F196)*24)</f>
        <v/>
      </c>
      <c r="I196" s="10" t="n"/>
      <c r="J196" s="1">
        <f>IF(OR(tblDowntime[[#This Row],[Failure Type]]="Sawshop",tblDowntime[[#This Row],[Failure Type]]="Electrical",tblDowntime[[#This Row],[Failure Type]]="Mechanical"),tblDowntime[[#This Row],[Downtime Hours]],"")</f>
        <v/>
      </c>
      <c r="K196" s="10" t="n"/>
      <c r="L196" s="10" t="n"/>
      <c r="M196">
        <f>IF(tblDowntime[[#This Row],[Maintenance Downtime Hours]]="","",tblDowntime[[#This Row],[Equipment ID]])</f>
        <v/>
      </c>
      <c r="N196" s="1">
        <f>IF(tblDowntime[[#This Row],[Failure Type]]="Production",tblDowntime[[#This Row],[Downtime Hours]],"")</f>
        <v/>
      </c>
      <c r="O196">
        <f>IF(tblDowntime[[#This Row],[Production Downtime Hours]]="","",tblDowntime[[#This Row],[Equipment ID]])</f>
        <v/>
      </c>
      <c r="P196" s="10" t="n"/>
    </row>
    <row r="197">
      <c r="B197">
        <f t="array" ref="B197">_xlfn.XLOOKUP(C197,INDIRECT("tblEquipment[Equipment ID]"),INDIRECT("tblEquipment[Production Department]"),"")</f>
        <v/>
      </c>
      <c r="D197">
        <f t="array" ref="D197">_xlfn.XLOOKUP(C197,INDIRECT("tblEquipment[Equipment ID]"),INDIRECT("tblEquipment[Equipment Name]"),"")</f>
        <v/>
      </c>
      <c r="F197" s="16" t="n"/>
      <c r="G197" s="16" t="n"/>
      <c r="H197" s="1">
        <f>IF(OR(F197=0,G197=0),"",(G197-F197)*24)</f>
        <v/>
      </c>
      <c r="I197" s="10" t="n"/>
      <c r="J197" s="1">
        <f>IF(OR(tblDowntime[[#This Row],[Failure Type]]="Sawshop",tblDowntime[[#This Row],[Failure Type]]="Electrical",tblDowntime[[#This Row],[Failure Type]]="Mechanical"),tblDowntime[[#This Row],[Downtime Hours]],"")</f>
        <v/>
      </c>
      <c r="K197" s="10" t="n"/>
      <c r="L197" s="10" t="n"/>
      <c r="M197">
        <f>IF(tblDowntime[[#This Row],[Maintenance Downtime Hours]]="","",tblDowntime[[#This Row],[Equipment ID]])</f>
        <v/>
      </c>
      <c r="N197" s="1">
        <f>IF(tblDowntime[[#This Row],[Failure Type]]="Production",tblDowntime[[#This Row],[Downtime Hours]],"")</f>
        <v/>
      </c>
      <c r="O197">
        <f>IF(tblDowntime[[#This Row],[Production Downtime Hours]]="","",tblDowntime[[#This Row],[Equipment ID]])</f>
        <v/>
      </c>
      <c r="P197" s="10" t="n"/>
    </row>
    <row r="198">
      <c r="B198">
        <f t="array" ref="B198">_xlfn.XLOOKUP(C198,INDIRECT("tblEquipment[Equipment ID]"),INDIRECT("tblEquipment[Production Department]"),"")</f>
        <v/>
      </c>
      <c r="D198">
        <f t="array" ref="D198">_xlfn.XLOOKUP(C198,INDIRECT("tblEquipment[Equipment ID]"),INDIRECT("tblEquipment[Equipment Name]"),"")</f>
        <v/>
      </c>
      <c r="F198" s="16" t="n"/>
      <c r="G198" s="16" t="n"/>
      <c r="H198" s="1">
        <f>IF(OR(F198=0,G198=0),"",(G198-F198)*24)</f>
        <v/>
      </c>
      <c r="I198" s="10" t="n"/>
      <c r="J198" s="1">
        <f>IF(OR(tblDowntime[[#This Row],[Failure Type]]="Sawshop",tblDowntime[[#This Row],[Failure Type]]="Electrical",tblDowntime[[#This Row],[Failure Type]]="Mechanical"),tblDowntime[[#This Row],[Downtime Hours]],"")</f>
        <v/>
      </c>
      <c r="K198" s="10" t="n"/>
      <c r="L198" s="10" t="n"/>
      <c r="M198">
        <f>IF(tblDowntime[[#This Row],[Maintenance Downtime Hours]]="","",tblDowntime[[#This Row],[Equipment ID]])</f>
        <v/>
      </c>
      <c r="N198" s="1">
        <f>IF(tblDowntime[[#This Row],[Failure Type]]="Production",tblDowntime[[#This Row],[Downtime Hours]],"")</f>
        <v/>
      </c>
      <c r="O198">
        <f>IF(tblDowntime[[#This Row],[Production Downtime Hours]]="","",tblDowntime[[#This Row],[Equipment ID]])</f>
        <v/>
      </c>
      <c r="P198" s="10" t="n"/>
    </row>
    <row r="199">
      <c r="B199">
        <f t="array" ref="B199">_xlfn.XLOOKUP(C199,INDIRECT("tblEquipment[Equipment ID]"),INDIRECT("tblEquipment[Production Department]"),"")</f>
        <v/>
      </c>
      <c r="D199">
        <f t="array" ref="D199">_xlfn.XLOOKUP(C199,INDIRECT("tblEquipment[Equipment ID]"),INDIRECT("tblEquipment[Equipment Name]"),"")</f>
        <v/>
      </c>
      <c r="F199" s="16" t="n"/>
      <c r="G199" s="16" t="n"/>
      <c r="H199" s="1">
        <f>IF(OR(F199=0,G199=0),"",(G199-F199)*24)</f>
        <v/>
      </c>
      <c r="I199" s="10" t="n"/>
      <c r="J199" s="1">
        <f>IF(OR(tblDowntime[[#This Row],[Failure Type]]="Sawshop",tblDowntime[[#This Row],[Failure Type]]="Electrical",tblDowntime[[#This Row],[Failure Type]]="Mechanical"),tblDowntime[[#This Row],[Downtime Hours]],"")</f>
        <v/>
      </c>
      <c r="K199" s="10" t="n"/>
      <c r="L199" s="10" t="n"/>
      <c r="M199">
        <f>IF(tblDowntime[[#This Row],[Maintenance Downtime Hours]]="","",tblDowntime[[#This Row],[Equipment ID]])</f>
        <v/>
      </c>
      <c r="N199" s="1">
        <f>IF(tblDowntime[[#This Row],[Failure Type]]="Production",tblDowntime[[#This Row],[Downtime Hours]],"")</f>
        <v/>
      </c>
      <c r="O199">
        <f>IF(tblDowntime[[#This Row],[Production Downtime Hours]]="","",tblDowntime[[#This Row],[Equipment ID]])</f>
        <v/>
      </c>
      <c r="P199" s="10" t="n"/>
    </row>
    <row r="200">
      <c r="B200">
        <f t="array" ref="B200">_xlfn.XLOOKUP(C200,INDIRECT("tblEquipment[Equipment ID]"),INDIRECT("tblEquipment[Production Department]"),"")</f>
        <v/>
      </c>
      <c r="D200">
        <f t="array" ref="D200">_xlfn.XLOOKUP(C200,INDIRECT("tblEquipment[Equipment ID]"),INDIRECT("tblEquipment[Equipment Name]"),"")</f>
        <v/>
      </c>
      <c r="F200" s="16" t="n"/>
      <c r="G200" s="16" t="n"/>
      <c r="H200" s="1">
        <f>IF(OR(F200=0,G200=0),"",(G200-F200)*24)</f>
        <v/>
      </c>
      <c r="I200" s="10" t="n"/>
      <c r="J200" s="1">
        <f>IF(OR(tblDowntime[[#This Row],[Failure Type]]="Sawshop",tblDowntime[[#This Row],[Failure Type]]="Electrical",tblDowntime[[#This Row],[Failure Type]]="Mechanical"),tblDowntime[[#This Row],[Downtime Hours]],"")</f>
        <v/>
      </c>
      <c r="K200" s="10" t="n"/>
      <c r="L200" s="10" t="n"/>
      <c r="M200">
        <f>IF(tblDowntime[[#This Row],[Maintenance Downtime Hours]]="","",tblDowntime[[#This Row],[Equipment ID]])</f>
        <v/>
      </c>
      <c r="N200" s="1">
        <f>IF(tblDowntime[[#This Row],[Failure Type]]="Production",tblDowntime[[#This Row],[Downtime Hours]],"")</f>
        <v/>
      </c>
      <c r="O200">
        <f>IF(tblDowntime[[#This Row],[Production Downtime Hours]]="","",tblDowntime[[#This Row],[Equipment ID]])</f>
        <v/>
      </c>
      <c r="P200" s="10" t="n"/>
    </row>
    <row r="201">
      <c r="B201">
        <f t="array" ref="B201">_xlfn.XLOOKUP(C201,INDIRECT("tblEquipment[Equipment ID]"),INDIRECT("tblEquipment[Production Department]"),"")</f>
        <v/>
      </c>
      <c r="D201">
        <f t="array" ref="D201">_xlfn.XLOOKUP(C201,INDIRECT("tblEquipment[Equipment ID]"),INDIRECT("tblEquipment[Equipment Name]"),"")</f>
        <v/>
      </c>
      <c r="F201" s="16" t="n"/>
      <c r="G201" s="16" t="n"/>
      <c r="H201" s="1">
        <f>IF(OR(F201=0,G201=0),"",(G201-F201)*24)</f>
        <v/>
      </c>
      <c r="I201" s="10" t="n"/>
      <c r="J201" s="1">
        <f>IF(OR(tblDowntime[[#This Row],[Failure Type]]="Sawshop",tblDowntime[[#This Row],[Failure Type]]="Electrical",tblDowntime[[#This Row],[Failure Type]]="Mechanical"),tblDowntime[[#This Row],[Downtime Hours]],"")</f>
        <v/>
      </c>
      <c r="K201" s="10" t="n"/>
      <c r="L201" s="10" t="n"/>
      <c r="M201">
        <f>IF(tblDowntime[[#This Row],[Maintenance Downtime Hours]]="","",tblDowntime[[#This Row],[Equipment ID]])</f>
        <v/>
      </c>
      <c r="N201" s="1">
        <f>IF(tblDowntime[[#This Row],[Failure Type]]="Production",tblDowntime[[#This Row],[Downtime Hours]],"")</f>
        <v/>
      </c>
      <c r="O201">
        <f>IF(tblDowntime[[#This Row],[Production Downtime Hours]]="","",tblDowntime[[#This Row],[Equipment ID]])</f>
        <v/>
      </c>
      <c r="P201" s="10" t="n"/>
    </row>
    <row r="202">
      <c r="B202">
        <f t="array" ref="B202">_xlfn.XLOOKUP(C202,INDIRECT("tblEquipment[Equipment ID]"),INDIRECT("tblEquipment[Production Department]"),"")</f>
        <v/>
      </c>
      <c r="D202">
        <f t="array" ref="D202">_xlfn.XLOOKUP(C202,INDIRECT("tblEquipment[Equipment ID]"),INDIRECT("tblEquipment[Equipment Name]"),"")</f>
        <v/>
      </c>
      <c r="F202" s="16" t="n"/>
      <c r="G202" s="16" t="n"/>
      <c r="H202" s="1">
        <f>IF(OR(F202=0,G202=0),"",(G202-F202)*24)</f>
        <v/>
      </c>
      <c r="I202" s="10" t="n"/>
      <c r="J202" s="1">
        <f>IF(OR(tblDowntime[[#This Row],[Failure Type]]="Sawshop",tblDowntime[[#This Row],[Failure Type]]="Electrical",tblDowntime[[#This Row],[Failure Type]]="Mechanical"),tblDowntime[[#This Row],[Downtime Hours]],"")</f>
        <v/>
      </c>
      <c r="K202" s="10" t="n"/>
      <c r="L202" s="10" t="n"/>
      <c r="M202">
        <f>IF(tblDowntime[[#This Row],[Maintenance Downtime Hours]]="","",tblDowntime[[#This Row],[Equipment ID]])</f>
        <v/>
      </c>
      <c r="N202" s="1">
        <f>IF(tblDowntime[[#This Row],[Failure Type]]="Production",tblDowntime[[#This Row],[Downtime Hours]],"")</f>
        <v/>
      </c>
      <c r="O202">
        <f>IF(tblDowntime[[#This Row],[Production Downtime Hours]]="","",tblDowntime[[#This Row],[Equipment ID]])</f>
        <v/>
      </c>
      <c r="P202" s="10" t="n"/>
    </row>
    <row r="203">
      <c r="B203">
        <f t="array" ref="B203">_xlfn.XLOOKUP(C203,INDIRECT("tblEquipment[Equipment ID]"),INDIRECT("tblEquipment[Production Department]"),"")</f>
        <v/>
      </c>
      <c r="D203">
        <f t="array" ref="D203">_xlfn.XLOOKUP(C203,INDIRECT("tblEquipment[Equipment ID]"),INDIRECT("tblEquipment[Equipment Name]"),"")</f>
        <v/>
      </c>
      <c r="F203" s="16" t="n"/>
      <c r="G203" s="16" t="n"/>
      <c r="H203" s="1">
        <f>IF(OR(F203=0,G203=0),"",(G203-F203)*24)</f>
        <v/>
      </c>
      <c r="I203" s="10" t="n"/>
      <c r="J203" s="1">
        <f>IF(OR(tblDowntime[[#This Row],[Failure Type]]="Sawshop",tblDowntime[[#This Row],[Failure Type]]="Electrical",tblDowntime[[#This Row],[Failure Type]]="Mechanical"),tblDowntime[[#This Row],[Downtime Hours]],"")</f>
        <v/>
      </c>
      <c r="K203" s="10" t="n"/>
      <c r="L203" s="10" t="n"/>
      <c r="M203">
        <f>IF(tblDowntime[[#This Row],[Maintenance Downtime Hours]]="","",tblDowntime[[#This Row],[Equipment ID]])</f>
        <v/>
      </c>
      <c r="N203" s="1">
        <f>IF(tblDowntime[[#This Row],[Failure Type]]="Production",tblDowntime[[#This Row],[Downtime Hours]],"")</f>
        <v/>
      </c>
      <c r="O203">
        <f>IF(tblDowntime[[#This Row],[Production Downtime Hours]]="","",tblDowntime[[#This Row],[Equipment ID]])</f>
        <v/>
      </c>
      <c r="P203" s="10" t="n"/>
    </row>
    <row r="204">
      <c r="B204">
        <f t="array" ref="B204">_xlfn.XLOOKUP(C204,INDIRECT("tblEquipment[Equipment ID]"),INDIRECT("tblEquipment[Production Department]"),"")</f>
        <v/>
      </c>
      <c r="D204">
        <f t="array" ref="D204">_xlfn.XLOOKUP(C204,INDIRECT("tblEquipment[Equipment ID]"),INDIRECT("tblEquipment[Equipment Name]"),"")</f>
        <v/>
      </c>
      <c r="F204" s="16" t="n"/>
      <c r="G204" s="16" t="n"/>
      <c r="H204" s="1">
        <f>IF(OR(F204=0,G204=0),"",(G204-F204)*24)</f>
        <v/>
      </c>
      <c r="I204" s="10" t="n"/>
      <c r="J204" s="1">
        <f>IF(OR(tblDowntime[[#This Row],[Failure Type]]="Sawshop",tblDowntime[[#This Row],[Failure Type]]="Electrical",tblDowntime[[#This Row],[Failure Type]]="Mechanical"),tblDowntime[[#This Row],[Downtime Hours]],"")</f>
        <v/>
      </c>
      <c r="K204" s="10" t="n"/>
      <c r="L204" s="10" t="n"/>
      <c r="M204">
        <f>IF(tblDowntime[[#This Row],[Maintenance Downtime Hours]]="","",tblDowntime[[#This Row],[Equipment ID]])</f>
        <v/>
      </c>
      <c r="N204" s="1">
        <f>IF(tblDowntime[[#This Row],[Failure Type]]="Production",tblDowntime[[#This Row],[Downtime Hours]],"")</f>
        <v/>
      </c>
      <c r="O204">
        <f>IF(tblDowntime[[#This Row],[Production Downtime Hours]]="","",tblDowntime[[#This Row],[Equipment ID]])</f>
        <v/>
      </c>
      <c r="P204" s="10" t="n"/>
    </row>
    <row r="205">
      <c r="B205">
        <f t="array" ref="B205">_xlfn.XLOOKUP(C205,INDIRECT("tblEquipment[Equipment ID]"),INDIRECT("tblEquipment[Production Department]"),"")</f>
        <v/>
      </c>
      <c r="D205">
        <f t="array" ref="D205">_xlfn.XLOOKUP(C205,INDIRECT("tblEquipment[Equipment ID]"),INDIRECT("tblEquipment[Equipment Name]"),"")</f>
        <v/>
      </c>
      <c r="F205" s="16" t="n"/>
      <c r="G205" s="16" t="n"/>
      <c r="H205" s="1">
        <f>IF(OR(F205=0,G205=0),"",(G205-F205)*24)</f>
        <v/>
      </c>
      <c r="I205" s="10" t="n"/>
      <c r="J205" s="1">
        <f>IF(OR(tblDowntime[[#This Row],[Failure Type]]="Sawshop",tblDowntime[[#This Row],[Failure Type]]="Electrical",tblDowntime[[#This Row],[Failure Type]]="Mechanical"),tblDowntime[[#This Row],[Downtime Hours]],"")</f>
        <v/>
      </c>
      <c r="K205" s="10" t="n"/>
      <c r="L205" s="10" t="n"/>
      <c r="M205">
        <f>IF(tblDowntime[[#This Row],[Maintenance Downtime Hours]]="","",tblDowntime[[#This Row],[Equipment ID]])</f>
        <v/>
      </c>
      <c r="N205" s="1">
        <f>IF(tblDowntime[[#This Row],[Failure Type]]="Production",tblDowntime[[#This Row],[Downtime Hours]],"")</f>
        <v/>
      </c>
      <c r="O205">
        <f>IF(tblDowntime[[#This Row],[Production Downtime Hours]]="","",tblDowntime[[#This Row],[Equipment ID]])</f>
        <v/>
      </c>
      <c r="P205" s="10" t="n"/>
    </row>
    <row r="206">
      <c r="B206">
        <f t="array" ref="B206">_xlfn.XLOOKUP(C206,INDIRECT("tblEquipment[Equipment ID]"),INDIRECT("tblEquipment[Production Department]"),"")</f>
        <v/>
      </c>
      <c r="D206">
        <f t="array" ref="D206">_xlfn.XLOOKUP(C206,INDIRECT("tblEquipment[Equipment ID]"),INDIRECT("tblEquipment[Equipment Name]"),"")</f>
        <v/>
      </c>
      <c r="F206" s="16" t="n"/>
      <c r="G206" s="16" t="n"/>
      <c r="H206" s="1">
        <f>IF(OR(F206=0,G206=0),"",(G206-F206)*24)</f>
        <v/>
      </c>
      <c r="I206" s="10" t="n"/>
      <c r="J206" s="1">
        <f>IF(OR(tblDowntime[[#This Row],[Failure Type]]="Sawshop",tblDowntime[[#This Row],[Failure Type]]="Electrical",tblDowntime[[#This Row],[Failure Type]]="Mechanical"),tblDowntime[[#This Row],[Downtime Hours]],"")</f>
        <v/>
      </c>
      <c r="K206" s="10" t="n"/>
      <c r="L206" s="10" t="n"/>
      <c r="M206">
        <f>IF(tblDowntime[[#This Row],[Maintenance Downtime Hours]]="","",tblDowntime[[#This Row],[Equipment ID]])</f>
        <v/>
      </c>
      <c r="N206" s="1">
        <f>IF(tblDowntime[[#This Row],[Failure Type]]="Production",tblDowntime[[#This Row],[Downtime Hours]],"")</f>
        <v/>
      </c>
      <c r="O206">
        <f>IF(tblDowntime[[#This Row],[Production Downtime Hours]]="","",tblDowntime[[#This Row],[Equipment ID]])</f>
        <v/>
      </c>
      <c r="P206" s="10" t="n"/>
    </row>
    <row r="207">
      <c r="B207">
        <f t="array" ref="B207">_xlfn.XLOOKUP(C207,INDIRECT("tblEquipment[Equipment ID]"),INDIRECT("tblEquipment[Production Department]"),"")</f>
        <v/>
      </c>
      <c r="D207">
        <f t="array" ref="D207">_xlfn.XLOOKUP(C207,INDIRECT("tblEquipment[Equipment ID]"),INDIRECT("tblEquipment[Equipment Name]"),"")</f>
        <v/>
      </c>
      <c r="F207" s="16" t="n"/>
      <c r="G207" s="16" t="n"/>
      <c r="H207" s="1">
        <f>IF(OR(F207=0,G207=0),"",(G207-F207)*24)</f>
        <v/>
      </c>
      <c r="I207" s="10" t="n"/>
      <c r="J207" s="1">
        <f>IF(OR(tblDowntime[[#This Row],[Failure Type]]="Sawshop",tblDowntime[[#This Row],[Failure Type]]="Electrical",tblDowntime[[#This Row],[Failure Type]]="Mechanical"),tblDowntime[[#This Row],[Downtime Hours]],"")</f>
        <v/>
      </c>
      <c r="K207" s="10" t="n"/>
      <c r="L207" s="10" t="n"/>
      <c r="M207">
        <f>IF(tblDowntime[[#This Row],[Maintenance Downtime Hours]]="","",tblDowntime[[#This Row],[Equipment ID]])</f>
        <v/>
      </c>
      <c r="N207" s="1">
        <f>IF(tblDowntime[[#This Row],[Failure Type]]="Production",tblDowntime[[#This Row],[Downtime Hours]],"")</f>
        <v/>
      </c>
      <c r="O207">
        <f>IF(tblDowntime[[#This Row],[Production Downtime Hours]]="","",tblDowntime[[#This Row],[Equipment ID]])</f>
        <v/>
      </c>
      <c r="P207" s="10" t="n"/>
    </row>
    <row r="208">
      <c r="B208">
        <f t="array" ref="B208">_xlfn.XLOOKUP(C208,INDIRECT("tblEquipment[Equipment ID]"),INDIRECT("tblEquipment[Production Department]"),"")</f>
        <v/>
      </c>
      <c r="D208">
        <f t="array" ref="D208">_xlfn.XLOOKUP(C208,INDIRECT("tblEquipment[Equipment ID]"),INDIRECT("tblEquipment[Equipment Name]"),"")</f>
        <v/>
      </c>
      <c r="F208" s="16" t="n"/>
      <c r="G208" s="16" t="n"/>
      <c r="H208" s="1">
        <f>IF(OR(F208=0,G208=0),"",(G208-F208)*24)</f>
        <v/>
      </c>
      <c r="I208" s="10" t="n"/>
      <c r="J208" s="1">
        <f>IF(OR(tblDowntime[[#This Row],[Failure Type]]="Sawshop",tblDowntime[[#This Row],[Failure Type]]="Electrical",tblDowntime[[#This Row],[Failure Type]]="Mechanical"),tblDowntime[[#This Row],[Downtime Hours]],"")</f>
        <v/>
      </c>
      <c r="K208" s="10" t="n"/>
      <c r="L208" s="10" t="n"/>
      <c r="M208">
        <f>IF(tblDowntime[[#This Row],[Maintenance Downtime Hours]]="","",tblDowntime[[#This Row],[Equipment ID]])</f>
        <v/>
      </c>
      <c r="N208" s="1">
        <f>IF(tblDowntime[[#This Row],[Failure Type]]="Production",tblDowntime[[#This Row],[Downtime Hours]],"")</f>
        <v/>
      </c>
      <c r="O208">
        <f>IF(tblDowntime[[#This Row],[Production Downtime Hours]]="","",tblDowntime[[#This Row],[Equipment ID]])</f>
        <v/>
      </c>
      <c r="P208" s="10" t="n"/>
    </row>
    <row r="209">
      <c r="B209">
        <f t="array" ref="B209">_xlfn.XLOOKUP(C209,INDIRECT("tblEquipment[Equipment ID]"),INDIRECT("tblEquipment[Production Department]"),"")</f>
        <v/>
      </c>
      <c r="D209">
        <f t="array" ref="D209">_xlfn.XLOOKUP(C209,INDIRECT("tblEquipment[Equipment ID]"),INDIRECT("tblEquipment[Equipment Name]"),"")</f>
        <v/>
      </c>
      <c r="F209" s="16" t="n"/>
      <c r="G209" s="16" t="n"/>
      <c r="H209" s="1">
        <f>IF(OR(F209=0,G209=0),"",(G209-F209)*24)</f>
        <v/>
      </c>
      <c r="I209" s="10" t="n"/>
      <c r="J209" s="1">
        <f>IF(OR(tblDowntime[[#This Row],[Failure Type]]="Sawshop",tblDowntime[[#This Row],[Failure Type]]="Electrical",tblDowntime[[#This Row],[Failure Type]]="Mechanical"),tblDowntime[[#This Row],[Downtime Hours]],"")</f>
        <v/>
      </c>
      <c r="K209" s="10" t="n"/>
      <c r="L209" s="10" t="n"/>
      <c r="M209">
        <f>IF(tblDowntime[[#This Row],[Maintenance Downtime Hours]]="","",tblDowntime[[#This Row],[Equipment ID]])</f>
        <v/>
      </c>
      <c r="N209" s="1">
        <f>IF(tblDowntime[[#This Row],[Failure Type]]="Production",tblDowntime[[#This Row],[Downtime Hours]],"")</f>
        <v/>
      </c>
      <c r="O209">
        <f>IF(tblDowntime[[#This Row],[Production Downtime Hours]]="","",tblDowntime[[#This Row],[Equipment ID]])</f>
        <v/>
      </c>
      <c r="P209" s="10" t="n"/>
    </row>
    <row r="210">
      <c r="B210">
        <f t="array" ref="B210">_xlfn.XLOOKUP(C210,INDIRECT("tblEquipment[Equipment ID]"),INDIRECT("tblEquipment[Production Department]"),"")</f>
        <v/>
      </c>
      <c r="D210">
        <f t="array" ref="D210">_xlfn.XLOOKUP(C210,INDIRECT("tblEquipment[Equipment ID]"),INDIRECT("tblEquipment[Equipment Name]"),"")</f>
        <v/>
      </c>
      <c r="F210" s="16" t="n"/>
      <c r="G210" s="16" t="n"/>
      <c r="H210" s="1">
        <f>IF(OR(F210=0,G210=0),"",(G210-F210)*24)</f>
        <v/>
      </c>
      <c r="I210" s="10" t="n"/>
      <c r="J210" s="1">
        <f>IF(OR(tblDowntime[[#This Row],[Failure Type]]="Sawshop",tblDowntime[[#This Row],[Failure Type]]="Electrical",tblDowntime[[#This Row],[Failure Type]]="Mechanical"),tblDowntime[[#This Row],[Downtime Hours]],"")</f>
        <v/>
      </c>
      <c r="K210" s="10" t="n"/>
      <c r="L210" s="10" t="n"/>
      <c r="M210">
        <f>IF(tblDowntime[[#This Row],[Maintenance Downtime Hours]]="","",tblDowntime[[#This Row],[Equipment ID]])</f>
        <v/>
      </c>
      <c r="N210" s="1">
        <f>IF(tblDowntime[[#This Row],[Failure Type]]="Production",tblDowntime[[#This Row],[Downtime Hours]],"")</f>
        <v/>
      </c>
      <c r="O210">
        <f>IF(tblDowntime[[#This Row],[Production Downtime Hours]]="","",tblDowntime[[#This Row],[Equipment ID]])</f>
        <v/>
      </c>
      <c r="P210" s="10" t="n"/>
    </row>
    <row r="211">
      <c r="B211">
        <f t="array" ref="B211">_xlfn.XLOOKUP(C211,INDIRECT("tblEquipment[Equipment ID]"),INDIRECT("tblEquipment[Production Department]"),"")</f>
        <v/>
      </c>
      <c r="D211">
        <f t="array" ref="D211">_xlfn.XLOOKUP(C211,INDIRECT("tblEquipment[Equipment ID]"),INDIRECT("tblEquipment[Equipment Name]"),"")</f>
        <v/>
      </c>
      <c r="F211" s="16" t="n"/>
      <c r="G211" s="16" t="n"/>
      <c r="H211" s="1">
        <f>IF(OR(F211=0,G211=0),"",(G211-F211)*24)</f>
        <v/>
      </c>
      <c r="I211" s="10" t="n"/>
      <c r="J211" s="1">
        <f>IF(OR(tblDowntime[[#This Row],[Failure Type]]="Sawshop",tblDowntime[[#This Row],[Failure Type]]="Electrical",tblDowntime[[#This Row],[Failure Type]]="Mechanical"),tblDowntime[[#This Row],[Downtime Hours]],"")</f>
        <v/>
      </c>
      <c r="K211" s="10" t="n"/>
      <c r="L211" s="10" t="n"/>
      <c r="M211">
        <f>IF(tblDowntime[[#This Row],[Maintenance Downtime Hours]]="","",tblDowntime[[#This Row],[Equipment ID]])</f>
        <v/>
      </c>
      <c r="N211" s="1">
        <f>IF(tblDowntime[[#This Row],[Failure Type]]="Production",tblDowntime[[#This Row],[Downtime Hours]],"")</f>
        <v/>
      </c>
      <c r="O211">
        <f>IF(tblDowntime[[#This Row],[Production Downtime Hours]]="","",tblDowntime[[#This Row],[Equipment ID]])</f>
        <v/>
      </c>
      <c r="P211" s="10" t="n"/>
    </row>
    <row r="212">
      <c r="B212">
        <f t="array" ref="B212">_xlfn.XLOOKUP(C212,INDIRECT("tblEquipment[Equipment ID]"),INDIRECT("tblEquipment[Production Department]"),"")</f>
        <v/>
      </c>
      <c r="D212">
        <f t="array" ref="D212">_xlfn.XLOOKUP(C212,INDIRECT("tblEquipment[Equipment ID]"),INDIRECT("tblEquipment[Equipment Name]"),"")</f>
        <v/>
      </c>
      <c r="F212" s="16" t="n"/>
      <c r="G212" s="16" t="n"/>
      <c r="H212" s="1">
        <f>IF(OR(F212=0,G212=0),"",(G212-F212)*24)</f>
        <v/>
      </c>
      <c r="I212" s="10" t="n"/>
      <c r="J212" s="1">
        <f>IF(OR(tblDowntime[[#This Row],[Failure Type]]="Sawshop",tblDowntime[[#This Row],[Failure Type]]="Electrical",tblDowntime[[#This Row],[Failure Type]]="Mechanical"),tblDowntime[[#This Row],[Downtime Hours]],"")</f>
        <v/>
      </c>
      <c r="K212" s="10" t="n"/>
      <c r="L212" s="10" t="n"/>
      <c r="M212">
        <f>IF(tblDowntime[[#This Row],[Maintenance Downtime Hours]]="","",tblDowntime[[#This Row],[Equipment ID]])</f>
        <v/>
      </c>
      <c r="N212" s="1">
        <f>IF(tblDowntime[[#This Row],[Failure Type]]="Production",tblDowntime[[#This Row],[Downtime Hours]],"")</f>
        <v/>
      </c>
      <c r="O212">
        <f>IF(tblDowntime[[#This Row],[Production Downtime Hours]]="","",tblDowntime[[#This Row],[Equipment ID]])</f>
        <v/>
      </c>
      <c r="P212" s="10" t="n"/>
    </row>
    <row r="213">
      <c r="B213">
        <f t="array" ref="B213">_xlfn.XLOOKUP(C213,INDIRECT("tblEquipment[Equipment ID]"),INDIRECT("tblEquipment[Production Department]"),"")</f>
        <v/>
      </c>
      <c r="D213">
        <f t="array" ref="D213">_xlfn.XLOOKUP(C213,INDIRECT("tblEquipment[Equipment ID]"),INDIRECT("tblEquipment[Equipment Name]"),"")</f>
        <v/>
      </c>
      <c r="F213" s="16" t="n"/>
      <c r="G213" s="16" t="n"/>
      <c r="H213" s="1">
        <f>IF(OR(F213=0,G213=0),"",(G213-F213)*24)</f>
        <v/>
      </c>
      <c r="I213" s="10" t="n"/>
      <c r="J213" s="1">
        <f>IF(OR(tblDowntime[[#This Row],[Failure Type]]="Sawshop",tblDowntime[[#This Row],[Failure Type]]="Electrical",tblDowntime[[#This Row],[Failure Type]]="Mechanical"),tblDowntime[[#This Row],[Downtime Hours]],"")</f>
        <v/>
      </c>
      <c r="K213" s="10" t="n"/>
      <c r="L213" s="10" t="n"/>
      <c r="M213">
        <f>IF(tblDowntime[[#This Row],[Maintenance Downtime Hours]]="","",tblDowntime[[#This Row],[Equipment ID]])</f>
        <v/>
      </c>
      <c r="N213" s="1">
        <f>IF(tblDowntime[[#This Row],[Failure Type]]="Production",tblDowntime[[#This Row],[Downtime Hours]],"")</f>
        <v/>
      </c>
      <c r="O213">
        <f>IF(tblDowntime[[#This Row],[Production Downtime Hours]]="","",tblDowntime[[#This Row],[Equipment ID]])</f>
        <v/>
      </c>
      <c r="P213" s="10" t="n"/>
    </row>
    <row r="214">
      <c r="B214">
        <f t="array" ref="B214">_xlfn.XLOOKUP(C214,INDIRECT("tblEquipment[Equipment ID]"),INDIRECT("tblEquipment[Production Department]"),"")</f>
        <v/>
      </c>
      <c r="D214">
        <f t="array" ref="D214">_xlfn.XLOOKUP(C214,INDIRECT("tblEquipment[Equipment ID]"),INDIRECT("tblEquipment[Equipment Name]"),"")</f>
        <v/>
      </c>
      <c r="F214" s="16" t="n"/>
      <c r="G214" s="16" t="n"/>
      <c r="H214" s="1">
        <f>IF(OR(F214=0,G214=0),"",(G214-F214)*24)</f>
        <v/>
      </c>
      <c r="I214" s="10" t="n"/>
      <c r="J214" s="1">
        <f>IF(OR(tblDowntime[[#This Row],[Failure Type]]="Sawshop",tblDowntime[[#This Row],[Failure Type]]="Electrical",tblDowntime[[#This Row],[Failure Type]]="Mechanical"),tblDowntime[[#This Row],[Downtime Hours]],"")</f>
        <v/>
      </c>
      <c r="K214" s="10" t="n"/>
      <c r="L214" s="10" t="n"/>
      <c r="M214">
        <f>IF(tblDowntime[[#This Row],[Maintenance Downtime Hours]]="","",tblDowntime[[#This Row],[Equipment ID]])</f>
        <v/>
      </c>
      <c r="N214" s="1">
        <f>IF(tblDowntime[[#This Row],[Failure Type]]="Production",tblDowntime[[#This Row],[Downtime Hours]],"")</f>
        <v/>
      </c>
      <c r="O214">
        <f>IF(tblDowntime[[#This Row],[Production Downtime Hours]]="","",tblDowntime[[#This Row],[Equipment ID]])</f>
        <v/>
      </c>
      <c r="P214" s="10" t="n"/>
    </row>
    <row r="215">
      <c r="B215">
        <f t="array" ref="B215">_xlfn.XLOOKUP(C215,INDIRECT("tblEquipment[Equipment ID]"),INDIRECT("tblEquipment[Production Department]"),"")</f>
        <v/>
      </c>
      <c r="D215">
        <f t="array" ref="D215">_xlfn.XLOOKUP(C215,INDIRECT("tblEquipment[Equipment ID]"),INDIRECT("tblEquipment[Equipment Name]"),"")</f>
        <v/>
      </c>
      <c r="F215" s="16" t="n"/>
      <c r="G215" s="16" t="n"/>
      <c r="H215" s="1">
        <f>IF(OR(F215=0,G215=0),"",(G215-F215)*24)</f>
        <v/>
      </c>
      <c r="I215" s="10" t="n"/>
      <c r="J215" s="1">
        <f>IF(OR(tblDowntime[[#This Row],[Failure Type]]="Sawshop",tblDowntime[[#This Row],[Failure Type]]="Electrical",tblDowntime[[#This Row],[Failure Type]]="Mechanical"),tblDowntime[[#This Row],[Downtime Hours]],"")</f>
        <v/>
      </c>
      <c r="K215" s="10" t="n"/>
      <c r="L215" s="10" t="n"/>
      <c r="M215">
        <f>IF(tblDowntime[[#This Row],[Maintenance Downtime Hours]]="","",tblDowntime[[#This Row],[Equipment ID]])</f>
        <v/>
      </c>
      <c r="N215" s="1">
        <f>IF(tblDowntime[[#This Row],[Failure Type]]="Production",tblDowntime[[#This Row],[Downtime Hours]],"")</f>
        <v/>
      </c>
      <c r="O215">
        <f>IF(tblDowntime[[#This Row],[Production Downtime Hours]]="","",tblDowntime[[#This Row],[Equipment ID]])</f>
        <v/>
      </c>
      <c r="P215" s="10" t="n"/>
    </row>
    <row r="216">
      <c r="B216">
        <f t="array" ref="B216">_xlfn.XLOOKUP(C216,INDIRECT("tblEquipment[Equipment ID]"),INDIRECT("tblEquipment[Production Department]"),"")</f>
        <v/>
      </c>
      <c r="D216">
        <f t="array" ref="D216">_xlfn.XLOOKUP(C216,INDIRECT("tblEquipment[Equipment ID]"),INDIRECT("tblEquipment[Equipment Name]"),"")</f>
        <v/>
      </c>
      <c r="F216" s="16" t="n"/>
      <c r="G216" s="16" t="n"/>
      <c r="H216" s="1">
        <f>IF(OR(F216=0,G216=0),"",(G216-F216)*24)</f>
        <v/>
      </c>
      <c r="I216" s="10" t="n"/>
      <c r="J216" s="1">
        <f>IF(OR(tblDowntime[[#This Row],[Failure Type]]="Sawshop",tblDowntime[[#This Row],[Failure Type]]="Electrical",tblDowntime[[#This Row],[Failure Type]]="Mechanical"),tblDowntime[[#This Row],[Downtime Hours]],"")</f>
        <v/>
      </c>
      <c r="K216" s="10" t="n"/>
      <c r="L216" s="10" t="n"/>
      <c r="M216">
        <f>IF(tblDowntime[[#This Row],[Maintenance Downtime Hours]]="","",tblDowntime[[#This Row],[Equipment ID]])</f>
        <v/>
      </c>
      <c r="N216" s="1">
        <f>IF(tblDowntime[[#This Row],[Failure Type]]="Production",tblDowntime[[#This Row],[Downtime Hours]],"")</f>
        <v/>
      </c>
      <c r="O216">
        <f>IF(tblDowntime[[#This Row],[Production Downtime Hours]]="","",tblDowntime[[#This Row],[Equipment ID]])</f>
        <v/>
      </c>
      <c r="P216" s="10" t="n"/>
    </row>
    <row r="217">
      <c r="B217">
        <f t="array" ref="B217">_xlfn.XLOOKUP(C217,INDIRECT("tblEquipment[Equipment ID]"),INDIRECT("tblEquipment[Production Department]"),"")</f>
        <v/>
      </c>
      <c r="D217">
        <f t="array" ref="D217">_xlfn.XLOOKUP(C217,INDIRECT("tblEquipment[Equipment ID]"),INDIRECT("tblEquipment[Equipment Name]"),"")</f>
        <v/>
      </c>
      <c r="F217" s="16" t="n"/>
      <c r="G217" s="16" t="n"/>
      <c r="H217" s="1">
        <f>IF(OR(F217=0,G217=0),"",(G217-F217)*24)</f>
        <v/>
      </c>
      <c r="I217" s="10" t="n"/>
      <c r="J217" s="1">
        <f>IF(OR(tblDowntime[[#This Row],[Failure Type]]="Sawshop",tblDowntime[[#This Row],[Failure Type]]="Electrical",tblDowntime[[#This Row],[Failure Type]]="Mechanical"),tblDowntime[[#This Row],[Downtime Hours]],"")</f>
        <v/>
      </c>
      <c r="K217" s="10" t="n"/>
      <c r="L217" s="10" t="n"/>
      <c r="M217">
        <f>IF(tblDowntime[[#This Row],[Maintenance Downtime Hours]]="","",tblDowntime[[#This Row],[Equipment ID]])</f>
        <v/>
      </c>
      <c r="N217" s="1">
        <f>IF(tblDowntime[[#This Row],[Failure Type]]="Production",tblDowntime[[#This Row],[Downtime Hours]],"")</f>
        <v/>
      </c>
      <c r="O217">
        <f>IF(tblDowntime[[#This Row],[Production Downtime Hours]]="","",tblDowntime[[#This Row],[Equipment ID]])</f>
        <v/>
      </c>
      <c r="P217" s="10" t="n"/>
    </row>
    <row r="218">
      <c r="B218">
        <f t="array" ref="B218">_xlfn.XLOOKUP(C218,INDIRECT("tblEquipment[Equipment ID]"),INDIRECT("tblEquipment[Production Department]"),"")</f>
        <v/>
      </c>
      <c r="D218">
        <f t="array" ref="D218">_xlfn.XLOOKUP(C218,INDIRECT("tblEquipment[Equipment ID]"),INDIRECT("tblEquipment[Equipment Name]"),"")</f>
        <v/>
      </c>
      <c r="F218" s="16" t="n"/>
      <c r="G218" s="16" t="n"/>
      <c r="H218" s="1">
        <f>IF(OR(F218=0,G218=0),"",(G218-F218)*24)</f>
        <v/>
      </c>
      <c r="I218" s="10" t="n"/>
      <c r="J218" s="1">
        <f>IF(OR(tblDowntime[[#This Row],[Failure Type]]="Sawshop",tblDowntime[[#This Row],[Failure Type]]="Electrical",tblDowntime[[#This Row],[Failure Type]]="Mechanical"),tblDowntime[[#This Row],[Downtime Hours]],"")</f>
        <v/>
      </c>
      <c r="K218" s="10" t="n"/>
      <c r="L218" s="10" t="n"/>
      <c r="M218">
        <f>IF(tblDowntime[[#This Row],[Maintenance Downtime Hours]]="","",tblDowntime[[#This Row],[Equipment ID]])</f>
        <v/>
      </c>
      <c r="N218" s="1">
        <f>IF(tblDowntime[[#This Row],[Failure Type]]="Production",tblDowntime[[#This Row],[Downtime Hours]],"")</f>
        <v/>
      </c>
      <c r="O218">
        <f>IF(tblDowntime[[#This Row],[Production Downtime Hours]]="","",tblDowntime[[#This Row],[Equipment ID]])</f>
        <v/>
      </c>
      <c r="P218" s="10" t="n"/>
    </row>
    <row r="219">
      <c r="B219">
        <f t="array" ref="B219">_xlfn.XLOOKUP(C219,INDIRECT("tblEquipment[Equipment ID]"),INDIRECT("tblEquipment[Production Department]"),"")</f>
        <v/>
      </c>
      <c r="D219">
        <f t="array" ref="D219">_xlfn.XLOOKUP(C219,INDIRECT("tblEquipment[Equipment ID]"),INDIRECT("tblEquipment[Equipment Name]"),"")</f>
        <v/>
      </c>
      <c r="F219" s="16" t="n"/>
      <c r="G219" s="16" t="n"/>
      <c r="H219" s="1">
        <f>IF(OR(F219=0,G219=0),"",(G219-F219)*24)</f>
        <v/>
      </c>
      <c r="I219" s="10" t="n"/>
      <c r="J219" s="1">
        <f>IF(OR(tblDowntime[[#This Row],[Failure Type]]="Sawshop",tblDowntime[[#This Row],[Failure Type]]="Electrical",tblDowntime[[#This Row],[Failure Type]]="Mechanical"),tblDowntime[[#This Row],[Downtime Hours]],"")</f>
        <v/>
      </c>
      <c r="K219" s="10" t="n"/>
      <c r="L219" s="10" t="n"/>
      <c r="M219">
        <f>IF(tblDowntime[[#This Row],[Maintenance Downtime Hours]]="","",tblDowntime[[#This Row],[Equipment ID]])</f>
        <v/>
      </c>
      <c r="N219" s="1">
        <f>IF(tblDowntime[[#This Row],[Failure Type]]="Production",tblDowntime[[#This Row],[Downtime Hours]],"")</f>
        <v/>
      </c>
      <c r="O219">
        <f>IF(tblDowntime[[#This Row],[Production Downtime Hours]]="","",tblDowntime[[#This Row],[Equipment ID]])</f>
        <v/>
      </c>
      <c r="P219" s="10" t="n"/>
    </row>
    <row r="220">
      <c r="B220">
        <f t="array" ref="B220">_xlfn.XLOOKUP(C220,INDIRECT("tblEquipment[Equipment ID]"),INDIRECT("tblEquipment[Production Department]"),"")</f>
        <v/>
      </c>
      <c r="D220">
        <f t="array" ref="D220">_xlfn.XLOOKUP(C220,INDIRECT("tblEquipment[Equipment ID]"),INDIRECT("tblEquipment[Equipment Name]"),"")</f>
        <v/>
      </c>
      <c r="F220" s="16" t="n"/>
      <c r="G220" s="16" t="n"/>
      <c r="H220" s="1">
        <f>IF(OR(F220=0,G220=0),"",(G220-F220)*24)</f>
        <v/>
      </c>
      <c r="I220" s="10" t="n"/>
      <c r="J220" s="1">
        <f>IF(OR(tblDowntime[[#This Row],[Failure Type]]="Sawshop",tblDowntime[[#This Row],[Failure Type]]="Electrical",tblDowntime[[#This Row],[Failure Type]]="Mechanical"),tblDowntime[[#This Row],[Downtime Hours]],"")</f>
        <v/>
      </c>
      <c r="K220" s="10" t="n"/>
      <c r="L220" s="10" t="n"/>
      <c r="M220">
        <f>IF(tblDowntime[[#This Row],[Maintenance Downtime Hours]]="","",tblDowntime[[#This Row],[Equipment ID]])</f>
        <v/>
      </c>
      <c r="N220" s="1">
        <f>IF(tblDowntime[[#This Row],[Failure Type]]="Production",tblDowntime[[#This Row],[Downtime Hours]],"")</f>
        <v/>
      </c>
      <c r="O220">
        <f>IF(tblDowntime[[#This Row],[Production Downtime Hours]]="","",tblDowntime[[#This Row],[Equipment ID]])</f>
        <v/>
      </c>
      <c r="P220" s="10" t="n"/>
    </row>
    <row r="221">
      <c r="B221">
        <f t="array" ref="B221">_xlfn.XLOOKUP(C221,INDIRECT("tblEquipment[Equipment ID]"),INDIRECT("tblEquipment[Production Department]"),"")</f>
        <v/>
      </c>
      <c r="D221">
        <f t="array" ref="D221">_xlfn.XLOOKUP(C221,INDIRECT("tblEquipment[Equipment ID]"),INDIRECT("tblEquipment[Equipment Name]"),"")</f>
        <v/>
      </c>
      <c r="F221" s="16" t="n"/>
      <c r="G221" s="16" t="n"/>
      <c r="H221" s="1">
        <f>IF(OR(F221=0,G221=0),"",(G221-F221)*24)</f>
        <v/>
      </c>
      <c r="I221" s="10" t="n"/>
      <c r="J221" s="1">
        <f>IF(OR(tblDowntime[[#This Row],[Failure Type]]="Sawshop",tblDowntime[[#This Row],[Failure Type]]="Electrical",tblDowntime[[#This Row],[Failure Type]]="Mechanical"),tblDowntime[[#This Row],[Downtime Hours]],"")</f>
        <v/>
      </c>
      <c r="K221" s="10" t="n"/>
      <c r="L221" s="10" t="n"/>
      <c r="M221">
        <f>IF(tblDowntime[[#This Row],[Maintenance Downtime Hours]]="","",tblDowntime[[#This Row],[Equipment ID]])</f>
        <v/>
      </c>
      <c r="N221" s="1">
        <f>IF(tblDowntime[[#This Row],[Failure Type]]="Production",tblDowntime[[#This Row],[Downtime Hours]],"")</f>
        <v/>
      </c>
      <c r="O221">
        <f>IF(tblDowntime[[#This Row],[Production Downtime Hours]]="","",tblDowntime[[#This Row],[Equipment ID]])</f>
        <v/>
      </c>
      <c r="P221" s="10" t="n"/>
    </row>
    <row r="222">
      <c r="B222">
        <f t="array" ref="B222">_xlfn.XLOOKUP(C222,INDIRECT("tblEquipment[Equipment ID]"),INDIRECT("tblEquipment[Production Department]"),"")</f>
        <v/>
      </c>
      <c r="D222">
        <f t="array" ref="D222">_xlfn.XLOOKUP(C222,INDIRECT("tblEquipment[Equipment ID]"),INDIRECT("tblEquipment[Equipment Name]"),"")</f>
        <v/>
      </c>
      <c r="F222" s="16" t="n"/>
      <c r="G222" s="16" t="n"/>
      <c r="H222" s="1">
        <f>IF(OR(F222=0,G222=0),"",(G222-F222)*24)</f>
        <v/>
      </c>
      <c r="I222" s="10" t="n"/>
      <c r="J222" s="1">
        <f>IF(OR(tblDowntime[[#This Row],[Failure Type]]="Sawshop",tblDowntime[[#This Row],[Failure Type]]="Electrical",tblDowntime[[#This Row],[Failure Type]]="Mechanical"),tblDowntime[[#This Row],[Downtime Hours]],"")</f>
        <v/>
      </c>
      <c r="K222" s="10" t="n"/>
      <c r="L222" s="10" t="n"/>
      <c r="M222">
        <f>IF(tblDowntime[[#This Row],[Maintenance Downtime Hours]]="","",tblDowntime[[#This Row],[Equipment ID]])</f>
        <v/>
      </c>
      <c r="N222" s="1">
        <f>IF(tblDowntime[[#This Row],[Failure Type]]="Production",tblDowntime[[#This Row],[Downtime Hours]],"")</f>
        <v/>
      </c>
      <c r="O222">
        <f>IF(tblDowntime[[#This Row],[Production Downtime Hours]]="","",tblDowntime[[#This Row],[Equipment ID]])</f>
        <v/>
      </c>
      <c r="P222" s="10" t="n"/>
    </row>
    <row r="223">
      <c r="B223">
        <f t="array" ref="B223">_xlfn.XLOOKUP(C223,INDIRECT("tblEquipment[Equipment ID]"),INDIRECT("tblEquipment[Production Department]"),"")</f>
        <v/>
      </c>
      <c r="D223">
        <f t="array" ref="D223">_xlfn.XLOOKUP(C223,INDIRECT("tblEquipment[Equipment ID]"),INDIRECT("tblEquipment[Equipment Name]"),"")</f>
        <v/>
      </c>
      <c r="F223" s="16" t="n"/>
      <c r="G223" s="16" t="n"/>
      <c r="H223" s="1">
        <f>IF(OR(F223=0,G223=0),"",(G223-F223)*24)</f>
        <v/>
      </c>
      <c r="I223" s="10" t="n"/>
      <c r="J223" s="1">
        <f>IF(OR(tblDowntime[[#This Row],[Failure Type]]="Sawshop",tblDowntime[[#This Row],[Failure Type]]="Electrical",tblDowntime[[#This Row],[Failure Type]]="Mechanical"),tblDowntime[[#This Row],[Downtime Hours]],"")</f>
        <v/>
      </c>
      <c r="K223" s="10" t="n"/>
      <c r="L223" s="10" t="n"/>
      <c r="M223">
        <f>IF(tblDowntime[[#This Row],[Maintenance Downtime Hours]]="","",tblDowntime[[#This Row],[Equipment ID]])</f>
        <v/>
      </c>
      <c r="N223" s="1">
        <f>IF(tblDowntime[[#This Row],[Failure Type]]="Production",tblDowntime[[#This Row],[Downtime Hours]],"")</f>
        <v/>
      </c>
      <c r="O223">
        <f>IF(tblDowntime[[#This Row],[Production Downtime Hours]]="","",tblDowntime[[#This Row],[Equipment ID]])</f>
        <v/>
      </c>
      <c r="P223" s="10" t="n"/>
    </row>
    <row r="224">
      <c r="B224">
        <f t="array" ref="B224">_xlfn.XLOOKUP(C224,INDIRECT("tblEquipment[Equipment ID]"),INDIRECT("tblEquipment[Production Department]"),"")</f>
        <v/>
      </c>
      <c r="D224">
        <f t="array" ref="D224">_xlfn.XLOOKUP(C224,INDIRECT("tblEquipment[Equipment ID]"),INDIRECT("tblEquipment[Equipment Name]"),"")</f>
        <v/>
      </c>
      <c r="F224" s="16" t="n"/>
      <c r="G224" s="16" t="n"/>
      <c r="H224" s="1">
        <f>IF(OR(F224=0,G224=0),"",(G224-F224)*24)</f>
        <v/>
      </c>
      <c r="I224" s="10" t="n"/>
      <c r="J224" s="1">
        <f>IF(OR(tblDowntime[[#This Row],[Failure Type]]="Sawshop",tblDowntime[[#This Row],[Failure Type]]="Electrical",tblDowntime[[#This Row],[Failure Type]]="Mechanical"),tblDowntime[[#This Row],[Downtime Hours]],"")</f>
        <v/>
      </c>
      <c r="K224" s="10" t="n"/>
      <c r="L224" s="10" t="n"/>
      <c r="M224">
        <f>IF(tblDowntime[[#This Row],[Maintenance Downtime Hours]]="","",tblDowntime[[#This Row],[Equipment ID]])</f>
        <v/>
      </c>
      <c r="N224" s="1">
        <f>IF(tblDowntime[[#This Row],[Failure Type]]="Production",tblDowntime[[#This Row],[Downtime Hours]],"")</f>
        <v/>
      </c>
      <c r="O224">
        <f>IF(tblDowntime[[#This Row],[Production Downtime Hours]]="","",tblDowntime[[#This Row],[Equipment ID]])</f>
        <v/>
      </c>
      <c r="P224" s="10" t="n"/>
    </row>
    <row r="225">
      <c r="B225">
        <f t="array" ref="B225">_xlfn.XLOOKUP(C225,INDIRECT("tblEquipment[Equipment ID]"),INDIRECT("tblEquipment[Production Department]"),"")</f>
        <v/>
      </c>
      <c r="D225">
        <f t="array" ref="D225">_xlfn.XLOOKUP(C225,INDIRECT("tblEquipment[Equipment ID]"),INDIRECT("tblEquipment[Equipment Name]"),"")</f>
        <v/>
      </c>
      <c r="F225" s="16" t="n"/>
      <c r="G225" s="16" t="n"/>
      <c r="H225" s="1">
        <f>IF(OR(F225=0,G225=0),"",(G225-F225)*24)</f>
        <v/>
      </c>
      <c r="I225" s="10" t="n"/>
      <c r="J225" s="1">
        <f>IF(OR(tblDowntime[[#This Row],[Failure Type]]="Sawshop",tblDowntime[[#This Row],[Failure Type]]="Electrical",tblDowntime[[#This Row],[Failure Type]]="Mechanical"),tblDowntime[[#This Row],[Downtime Hours]],"")</f>
        <v/>
      </c>
      <c r="K225" s="10" t="n"/>
      <c r="L225" s="10" t="n"/>
      <c r="M225">
        <f>IF(tblDowntime[[#This Row],[Maintenance Downtime Hours]]="","",tblDowntime[[#This Row],[Equipment ID]])</f>
        <v/>
      </c>
      <c r="N225" s="1">
        <f>IF(tblDowntime[[#This Row],[Failure Type]]="Production",tblDowntime[[#This Row],[Downtime Hours]],"")</f>
        <v/>
      </c>
      <c r="O225">
        <f>IF(tblDowntime[[#This Row],[Production Downtime Hours]]="","",tblDowntime[[#This Row],[Equipment ID]])</f>
        <v/>
      </c>
      <c r="P225" s="10" t="n"/>
    </row>
    <row r="226">
      <c r="B226">
        <f t="array" ref="B226">_xlfn.XLOOKUP(C226,INDIRECT("tblEquipment[Equipment ID]"),INDIRECT("tblEquipment[Production Department]"),"")</f>
        <v/>
      </c>
      <c r="D226">
        <f t="array" ref="D226">_xlfn.XLOOKUP(C226,INDIRECT("tblEquipment[Equipment ID]"),INDIRECT("tblEquipment[Equipment Name]"),"")</f>
        <v/>
      </c>
      <c r="F226" s="16" t="n"/>
      <c r="G226" s="16" t="n"/>
      <c r="H226" s="1">
        <f>IF(OR(F226=0,G226=0),"",(G226-F226)*24)</f>
        <v/>
      </c>
      <c r="I226" s="10" t="n"/>
      <c r="J226" s="1">
        <f>IF(OR(tblDowntime[[#This Row],[Failure Type]]="Sawshop",tblDowntime[[#This Row],[Failure Type]]="Electrical",tblDowntime[[#This Row],[Failure Type]]="Mechanical"),tblDowntime[[#This Row],[Downtime Hours]],"")</f>
        <v/>
      </c>
      <c r="K226" s="10" t="n"/>
      <c r="L226" s="10" t="n"/>
      <c r="M226">
        <f>IF(tblDowntime[[#This Row],[Maintenance Downtime Hours]]="","",tblDowntime[[#This Row],[Equipment ID]])</f>
        <v/>
      </c>
      <c r="N226" s="1">
        <f>IF(tblDowntime[[#This Row],[Failure Type]]="Production",tblDowntime[[#This Row],[Downtime Hours]],"")</f>
        <v/>
      </c>
      <c r="O226">
        <f>IF(tblDowntime[[#This Row],[Production Downtime Hours]]="","",tblDowntime[[#This Row],[Equipment ID]])</f>
        <v/>
      </c>
      <c r="P226" s="10" t="n"/>
    </row>
    <row r="227">
      <c r="B227">
        <f t="array" ref="B227">_xlfn.XLOOKUP(C227,INDIRECT("tblEquipment[Equipment ID]"),INDIRECT("tblEquipment[Production Department]"),"")</f>
        <v/>
      </c>
      <c r="D227">
        <f t="array" ref="D227">_xlfn.XLOOKUP(C227,INDIRECT("tblEquipment[Equipment ID]"),INDIRECT("tblEquipment[Equipment Name]"),"")</f>
        <v/>
      </c>
      <c r="F227" s="16" t="n"/>
      <c r="G227" s="16" t="n"/>
      <c r="H227" s="1">
        <f>IF(OR(F227=0,G227=0),"",(G227-F227)*24)</f>
        <v/>
      </c>
      <c r="I227" s="10" t="n"/>
      <c r="J227" s="1">
        <f>IF(OR(tblDowntime[[#This Row],[Failure Type]]="Sawshop",tblDowntime[[#This Row],[Failure Type]]="Electrical",tblDowntime[[#This Row],[Failure Type]]="Mechanical"),tblDowntime[[#This Row],[Downtime Hours]],"")</f>
        <v/>
      </c>
      <c r="K227" s="10" t="n"/>
      <c r="L227" s="10" t="n"/>
      <c r="M227">
        <f>IF(tblDowntime[[#This Row],[Maintenance Downtime Hours]]="","",tblDowntime[[#This Row],[Equipment ID]])</f>
        <v/>
      </c>
      <c r="N227" s="1">
        <f>IF(tblDowntime[[#This Row],[Failure Type]]="Production",tblDowntime[[#This Row],[Downtime Hours]],"")</f>
        <v/>
      </c>
      <c r="O227">
        <f>IF(tblDowntime[[#This Row],[Production Downtime Hours]]="","",tblDowntime[[#This Row],[Equipment ID]])</f>
        <v/>
      </c>
      <c r="P227" s="10" t="n"/>
    </row>
    <row r="228">
      <c r="B228">
        <f t="array" ref="B228">_xlfn.XLOOKUP(C228,INDIRECT("tblEquipment[Equipment ID]"),INDIRECT("tblEquipment[Production Department]"),"")</f>
        <v/>
      </c>
      <c r="D228">
        <f t="array" ref="D228">_xlfn.XLOOKUP(C228,INDIRECT("tblEquipment[Equipment ID]"),INDIRECT("tblEquipment[Equipment Name]"),"")</f>
        <v/>
      </c>
      <c r="F228" s="16" t="n"/>
      <c r="G228" s="16" t="n"/>
      <c r="H228" s="1">
        <f>IF(OR(F228=0,G228=0),"",(G228-F228)*24)</f>
        <v/>
      </c>
      <c r="I228" s="10" t="n"/>
      <c r="J228" s="1">
        <f>IF(OR(tblDowntime[[#This Row],[Failure Type]]="Sawshop",tblDowntime[[#This Row],[Failure Type]]="Electrical",tblDowntime[[#This Row],[Failure Type]]="Mechanical"),tblDowntime[[#This Row],[Downtime Hours]],"")</f>
        <v/>
      </c>
      <c r="K228" s="10" t="n"/>
      <c r="L228" s="10" t="n"/>
      <c r="M228">
        <f>IF(tblDowntime[[#This Row],[Maintenance Downtime Hours]]="","",tblDowntime[[#This Row],[Equipment ID]])</f>
        <v/>
      </c>
      <c r="N228" s="1">
        <f>IF(tblDowntime[[#This Row],[Failure Type]]="Production",tblDowntime[[#This Row],[Downtime Hours]],"")</f>
        <v/>
      </c>
      <c r="O228">
        <f>IF(tblDowntime[[#This Row],[Production Downtime Hours]]="","",tblDowntime[[#This Row],[Equipment ID]])</f>
        <v/>
      </c>
      <c r="P228" s="10" t="n"/>
    </row>
    <row r="229">
      <c r="B229">
        <f t="array" ref="B229">_xlfn.XLOOKUP(C229,INDIRECT("tblEquipment[Equipment ID]"),INDIRECT("tblEquipment[Production Department]"),"")</f>
        <v/>
      </c>
      <c r="D229">
        <f t="array" ref="D229">_xlfn.XLOOKUP(C229,INDIRECT("tblEquipment[Equipment ID]"),INDIRECT("tblEquipment[Equipment Name]"),"")</f>
        <v/>
      </c>
      <c r="F229" s="16" t="n"/>
      <c r="G229" s="16" t="n"/>
      <c r="H229" s="1">
        <f>IF(OR(F229=0,G229=0),"",(G229-F229)*24)</f>
        <v/>
      </c>
      <c r="I229" s="10" t="n"/>
      <c r="J229" s="1">
        <f>IF(OR(tblDowntime[[#This Row],[Failure Type]]="Sawshop",tblDowntime[[#This Row],[Failure Type]]="Electrical",tblDowntime[[#This Row],[Failure Type]]="Mechanical"),tblDowntime[[#This Row],[Downtime Hours]],"")</f>
        <v/>
      </c>
      <c r="K229" s="10" t="n"/>
      <c r="L229" s="10" t="n"/>
      <c r="M229">
        <f>IF(tblDowntime[[#This Row],[Maintenance Downtime Hours]]="","",tblDowntime[[#This Row],[Equipment ID]])</f>
        <v/>
      </c>
      <c r="N229" s="1">
        <f>IF(tblDowntime[[#This Row],[Failure Type]]="Production",tblDowntime[[#This Row],[Downtime Hours]],"")</f>
        <v/>
      </c>
      <c r="O229">
        <f>IF(tblDowntime[[#This Row],[Production Downtime Hours]]="","",tblDowntime[[#This Row],[Equipment ID]])</f>
        <v/>
      </c>
      <c r="P229" s="10" t="n"/>
    </row>
    <row r="230">
      <c r="B230">
        <f t="array" ref="B230">_xlfn.XLOOKUP(C230,INDIRECT("tblEquipment[Equipment ID]"),INDIRECT("tblEquipment[Production Department]"),"")</f>
        <v/>
      </c>
      <c r="D230">
        <f t="array" ref="D230">_xlfn.XLOOKUP(C230,INDIRECT("tblEquipment[Equipment ID]"),INDIRECT("tblEquipment[Equipment Name]"),"")</f>
        <v/>
      </c>
      <c r="F230" s="16" t="n"/>
      <c r="G230" s="16" t="n"/>
      <c r="H230" s="1">
        <f>IF(OR(F230=0,G230=0),"",(G230-F230)*24)</f>
        <v/>
      </c>
      <c r="I230" s="10" t="n"/>
      <c r="J230" s="1">
        <f>IF(OR(tblDowntime[[#This Row],[Failure Type]]="Sawshop",tblDowntime[[#This Row],[Failure Type]]="Electrical",tblDowntime[[#This Row],[Failure Type]]="Mechanical"),tblDowntime[[#This Row],[Downtime Hours]],"")</f>
        <v/>
      </c>
      <c r="K230" s="10" t="n"/>
      <c r="L230" s="10" t="n"/>
      <c r="M230">
        <f>IF(tblDowntime[[#This Row],[Maintenance Downtime Hours]]="","",tblDowntime[[#This Row],[Equipment ID]])</f>
        <v/>
      </c>
      <c r="N230" s="1">
        <f>IF(tblDowntime[[#This Row],[Failure Type]]="Production",tblDowntime[[#This Row],[Downtime Hours]],"")</f>
        <v/>
      </c>
      <c r="O230">
        <f>IF(tblDowntime[[#This Row],[Production Downtime Hours]]="","",tblDowntime[[#This Row],[Equipment ID]])</f>
        <v/>
      </c>
      <c r="P230" s="10" t="n"/>
    </row>
    <row r="231">
      <c r="B231">
        <f t="array" ref="B231">_xlfn.XLOOKUP(C231,INDIRECT("tblEquipment[Equipment ID]"),INDIRECT("tblEquipment[Production Department]"),"")</f>
        <v/>
      </c>
      <c r="D231">
        <f t="array" ref="D231">_xlfn.XLOOKUP(C231,INDIRECT("tblEquipment[Equipment ID]"),INDIRECT("tblEquipment[Equipment Name]"),"")</f>
        <v/>
      </c>
      <c r="F231" s="16" t="n"/>
      <c r="G231" s="16" t="n"/>
      <c r="H231" s="1">
        <f>IF(OR(F231=0,G231=0),"",(G231-F231)*24)</f>
        <v/>
      </c>
      <c r="I231" s="10" t="n"/>
      <c r="J231" s="1">
        <f>IF(OR(tblDowntime[[#This Row],[Failure Type]]="Sawshop",tblDowntime[[#This Row],[Failure Type]]="Electrical",tblDowntime[[#This Row],[Failure Type]]="Mechanical"),tblDowntime[[#This Row],[Downtime Hours]],"")</f>
        <v/>
      </c>
      <c r="K231" s="10" t="n"/>
      <c r="L231" s="10" t="n"/>
      <c r="M231">
        <f>IF(tblDowntime[[#This Row],[Maintenance Downtime Hours]]="","",tblDowntime[[#This Row],[Equipment ID]])</f>
        <v/>
      </c>
      <c r="N231" s="1">
        <f>IF(tblDowntime[[#This Row],[Failure Type]]="Production",tblDowntime[[#This Row],[Downtime Hours]],"")</f>
        <v/>
      </c>
      <c r="O231">
        <f>IF(tblDowntime[[#This Row],[Production Downtime Hours]]="","",tblDowntime[[#This Row],[Equipment ID]])</f>
        <v/>
      </c>
      <c r="P231" s="10" t="n"/>
    </row>
    <row r="232">
      <c r="B232">
        <f t="array" ref="B232">_xlfn.XLOOKUP(C232,INDIRECT("tblEquipment[Equipment ID]"),INDIRECT("tblEquipment[Production Department]"),"")</f>
        <v/>
      </c>
      <c r="D232">
        <f t="array" ref="D232">_xlfn.XLOOKUP(C232,INDIRECT("tblEquipment[Equipment ID]"),INDIRECT("tblEquipment[Equipment Name]"),"")</f>
        <v/>
      </c>
      <c r="F232" s="16" t="n"/>
      <c r="G232" s="16" t="n"/>
      <c r="H232" s="1">
        <f>IF(OR(F232=0,G232=0),"",(G232-F232)*24)</f>
        <v/>
      </c>
      <c r="I232" s="10" t="n"/>
      <c r="J232" s="1">
        <f>IF(OR(tblDowntime[[#This Row],[Failure Type]]="Sawshop",tblDowntime[[#This Row],[Failure Type]]="Electrical",tblDowntime[[#This Row],[Failure Type]]="Mechanical"),tblDowntime[[#This Row],[Downtime Hours]],"")</f>
        <v/>
      </c>
      <c r="K232" s="10" t="n"/>
      <c r="L232" s="10" t="n"/>
      <c r="M232">
        <f>IF(tblDowntime[[#This Row],[Maintenance Downtime Hours]]="","",tblDowntime[[#This Row],[Equipment ID]])</f>
        <v/>
      </c>
      <c r="N232" s="1">
        <f>IF(tblDowntime[[#This Row],[Failure Type]]="Production",tblDowntime[[#This Row],[Downtime Hours]],"")</f>
        <v/>
      </c>
      <c r="O232">
        <f>IF(tblDowntime[[#This Row],[Production Downtime Hours]]="","",tblDowntime[[#This Row],[Equipment ID]])</f>
        <v/>
      </c>
      <c r="P232" s="10" t="n"/>
    </row>
    <row r="233">
      <c r="B233">
        <f t="array" ref="B233">_xlfn.XLOOKUP(C233,INDIRECT("tblEquipment[Equipment ID]"),INDIRECT("tblEquipment[Production Department]"),"")</f>
        <v/>
      </c>
      <c r="D233">
        <f t="array" ref="D233">_xlfn.XLOOKUP(C233,INDIRECT("tblEquipment[Equipment ID]"),INDIRECT("tblEquipment[Equipment Name]"),"")</f>
        <v/>
      </c>
      <c r="F233" s="16" t="n"/>
      <c r="G233" s="16" t="n"/>
      <c r="H233" s="1">
        <f>IF(OR(F233=0,G233=0),"",(G233-F233)*24)</f>
        <v/>
      </c>
      <c r="I233" s="10" t="n"/>
      <c r="J233" s="1">
        <f>IF(OR(tblDowntime[[#This Row],[Failure Type]]="Sawshop",tblDowntime[[#This Row],[Failure Type]]="Electrical",tblDowntime[[#This Row],[Failure Type]]="Mechanical"),tblDowntime[[#This Row],[Downtime Hours]],"")</f>
        <v/>
      </c>
      <c r="K233" s="10" t="n"/>
      <c r="L233" s="10" t="n"/>
      <c r="M233">
        <f>IF(tblDowntime[[#This Row],[Maintenance Downtime Hours]]="","",tblDowntime[[#This Row],[Equipment ID]])</f>
        <v/>
      </c>
      <c r="N233" s="1">
        <f>IF(tblDowntime[[#This Row],[Failure Type]]="Production",tblDowntime[[#This Row],[Downtime Hours]],"")</f>
        <v/>
      </c>
      <c r="O233">
        <f>IF(tblDowntime[[#This Row],[Production Downtime Hours]]="","",tblDowntime[[#This Row],[Equipment ID]])</f>
        <v/>
      </c>
      <c r="P233" s="10" t="n"/>
    </row>
    <row r="234">
      <c r="B234">
        <f t="array" ref="B234">_xlfn.XLOOKUP(C234,INDIRECT("tblEquipment[Equipment ID]"),INDIRECT("tblEquipment[Production Department]"),"")</f>
        <v/>
      </c>
      <c r="D234">
        <f t="array" ref="D234">_xlfn.XLOOKUP(C234,INDIRECT("tblEquipment[Equipment ID]"),INDIRECT("tblEquipment[Equipment Name]"),"")</f>
        <v/>
      </c>
      <c r="F234" s="16" t="n"/>
      <c r="G234" s="16" t="n"/>
      <c r="H234" s="1">
        <f>IF(OR(F234=0,G234=0),"",(G234-F234)*24)</f>
        <v/>
      </c>
      <c r="I234" s="10" t="n"/>
      <c r="J234" s="1">
        <f>IF(OR(tblDowntime[[#This Row],[Failure Type]]="Sawshop",tblDowntime[[#This Row],[Failure Type]]="Electrical",tblDowntime[[#This Row],[Failure Type]]="Mechanical"),tblDowntime[[#This Row],[Downtime Hours]],"")</f>
        <v/>
      </c>
      <c r="K234" s="10" t="n"/>
      <c r="L234" s="10" t="n"/>
      <c r="M234">
        <f>IF(tblDowntime[[#This Row],[Maintenance Downtime Hours]]="","",tblDowntime[[#This Row],[Equipment ID]])</f>
        <v/>
      </c>
      <c r="N234" s="1">
        <f>IF(tblDowntime[[#This Row],[Failure Type]]="Production",tblDowntime[[#This Row],[Downtime Hours]],"")</f>
        <v/>
      </c>
      <c r="O234">
        <f>IF(tblDowntime[[#This Row],[Production Downtime Hours]]="","",tblDowntime[[#This Row],[Equipment ID]])</f>
        <v/>
      </c>
      <c r="P234" s="10" t="n"/>
    </row>
    <row r="235">
      <c r="B235">
        <f t="array" ref="B235">_xlfn.XLOOKUP(C235,INDIRECT("tblEquipment[Equipment ID]"),INDIRECT("tblEquipment[Production Department]"),"")</f>
        <v/>
      </c>
      <c r="D235">
        <f t="array" ref="D235">_xlfn.XLOOKUP(C235,INDIRECT("tblEquipment[Equipment ID]"),INDIRECT("tblEquipment[Equipment Name]"),"")</f>
        <v/>
      </c>
      <c r="F235" s="16" t="n"/>
      <c r="G235" s="16" t="n"/>
      <c r="H235" s="1">
        <f>IF(OR(F235=0,G235=0),"",(G235-F235)*24)</f>
        <v/>
      </c>
      <c r="I235" s="10" t="n"/>
      <c r="J235" s="1">
        <f>IF(OR(tblDowntime[[#This Row],[Failure Type]]="Sawshop",tblDowntime[[#This Row],[Failure Type]]="Electrical",tblDowntime[[#This Row],[Failure Type]]="Mechanical"),tblDowntime[[#This Row],[Downtime Hours]],"")</f>
        <v/>
      </c>
      <c r="K235" s="10" t="n"/>
      <c r="L235" s="10" t="n"/>
      <c r="M235">
        <f>IF(tblDowntime[[#This Row],[Maintenance Downtime Hours]]="","",tblDowntime[[#This Row],[Equipment ID]])</f>
        <v/>
      </c>
      <c r="N235" s="1">
        <f>IF(tblDowntime[[#This Row],[Failure Type]]="Production",tblDowntime[[#This Row],[Downtime Hours]],"")</f>
        <v/>
      </c>
      <c r="O235">
        <f>IF(tblDowntime[[#This Row],[Production Downtime Hours]]="","",tblDowntime[[#This Row],[Equipment ID]])</f>
        <v/>
      </c>
      <c r="P235" s="10" t="n"/>
    </row>
    <row r="236">
      <c r="B236">
        <f t="array" ref="B236">_xlfn.XLOOKUP(C236,INDIRECT("tblEquipment[Equipment ID]"),INDIRECT("tblEquipment[Production Department]"),"")</f>
        <v/>
      </c>
      <c r="D236">
        <f t="array" ref="D236">_xlfn.XLOOKUP(C236,INDIRECT("tblEquipment[Equipment ID]"),INDIRECT("tblEquipment[Equipment Name]"),"")</f>
        <v/>
      </c>
      <c r="F236" s="16" t="n"/>
      <c r="G236" s="16" t="n"/>
      <c r="H236" s="1">
        <f>IF(OR(F236=0,G236=0),"",(G236-F236)*24)</f>
        <v/>
      </c>
      <c r="I236" s="10" t="n"/>
      <c r="J236" s="1">
        <f>IF(OR(tblDowntime[[#This Row],[Failure Type]]="Sawshop",tblDowntime[[#This Row],[Failure Type]]="Electrical",tblDowntime[[#This Row],[Failure Type]]="Mechanical"),tblDowntime[[#This Row],[Downtime Hours]],"")</f>
        <v/>
      </c>
      <c r="K236" s="10" t="n"/>
      <c r="L236" s="10" t="n"/>
      <c r="M236">
        <f>IF(tblDowntime[[#This Row],[Maintenance Downtime Hours]]="","",tblDowntime[[#This Row],[Equipment ID]])</f>
        <v/>
      </c>
      <c r="N236" s="1">
        <f>IF(tblDowntime[[#This Row],[Failure Type]]="Production",tblDowntime[[#This Row],[Downtime Hours]],"")</f>
        <v/>
      </c>
      <c r="O236">
        <f>IF(tblDowntime[[#This Row],[Production Downtime Hours]]="","",tblDowntime[[#This Row],[Equipment ID]])</f>
        <v/>
      </c>
      <c r="P236" s="10" t="n"/>
    </row>
    <row r="237">
      <c r="B237">
        <f t="array" ref="B237">_xlfn.XLOOKUP(C237,INDIRECT("tblEquipment[Equipment ID]"),INDIRECT("tblEquipment[Production Department]"),"")</f>
        <v/>
      </c>
      <c r="D237">
        <f t="array" ref="D237">_xlfn.XLOOKUP(C237,INDIRECT("tblEquipment[Equipment ID]"),INDIRECT("tblEquipment[Equipment Name]"),"")</f>
        <v/>
      </c>
      <c r="F237" s="16" t="n"/>
      <c r="G237" s="16" t="n"/>
      <c r="H237" s="1">
        <f>IF(OR(F237=0,G237=0),"",(G237-F237)*24)</f>
        <v/>
      </c>
      <c r="I237" s="10" t="n"/>
      <c r="J237" s="1">
        <f>IF(OR(tblDowntime[[#This Row],[Failure Type]]="Sawshop",tblDowntime[[#This Row],[Failure Type]]="Electrical",tblDowntime[[#This Row],[Failure Type]]="Mechanical"),tblDowntime[[#This Row],[Downtime Hours]],"")</f>
        <v/>
      </c>
      <c r="K237" s="10" t="n"/>
      <c r="L237" s="10" t="n"/>
      <c r="M237">
        <f>IF(tblDowntime[[#This Row],[Maintenance Downtime Hours]]="","",tblDowntime[[#This Row],[Equipment ID]])</f>
        <v/>
      </c>
      <c r="N237" s="1">
        <f>IF(tblDowntime[[#This Row],[Failure Type]]="Production",tblDowntime[[#This Row],[Downtime Hours]],"")</f>
        <v/>
      </c>
      <c r="O237">
        <f>IF(tblDowntime[[#This Row],[Production Downtime Hours]]="","",tblDowntime[[#This Row],[Equipment ID]])</f>
        <v/>
      </c>
      <c r="P237" s="10" t="n"/>
    </row>
    <row r="238">
      <c r="B238">
        <f t="array" ref="B238">_xlfn.XLOOKUP(C238,INDIRECT("tblEquipment[Equipment ID]"),INDIRECT("tblEquipment[Production Department]"),"")</f>
        <v/>
      </c>
      <c r="D238">
        <f t="array" ref="D238">_xlfn.XLOOKUP(C238,INDIRECT("tblEquipment[Equipment ID]"),INDIRECT("tblEquipment[Equipment Name]"),"")</f>
        <v/>
      </c>
      <c r="F238" s="16" t="n"/>
      <c r="G238" s="16" t="n"/>
      <c r="H238" s="1">
        <f>IF(OR(F238=0,G238=0),"",(G238-F238)*24)</f>
        <v/>
      </c>
      <c r="I238" s="10" t="n"/>
      <c r="J238" s="1">
        <f>IF(OR(tblDowntime[[#This Row],[Failure Type]]="Sawshop",tblDowntime[[#This Row],[Failure Type]]="Electrical",tblDowntime[[#This Row],[Failure Type]]="Mechanical"),tblDowntime[[#This Row],[Downtime Hours]],"")</f>
        <v/>
      </c>
      <c r="K238" s="10" t="n"/>
      <c r="L238" s="10" t="n"/>
      <c r="M238">
        <f>IF(tblDowntime[[#This Row],[Maintenance Downtime Hours]]="","",tblDowntime[[#This Row],[Equipment ID]])</f>
        <v/>
      </c>
      <c r="N238" s="1">
        <f>IF(tblDowntime[[#This Row],[Failure Type]]="Production",tblDowntime[[#This Row],[Downtime Hours]],"")</f>
        <v/>
      </c>
      <c r="O238">
        <f>IF(tblDowntime[[#This Row],[Production Downtime Hours]]="","",tblDowntime[[#This Row],[Equipment ID]])</f>
        <v/>
      </c>
      <c r="P238" s="10" t="n"/>
    </row>
    <row r="239">
      <c r="B239">
        <f t="array" ref="B239">_xlfn.XLOOKUP(C239,INDIRECT("tblEquipment[Equipment ID]"),INDIRECT("tblEquipment[Production Department]"),"")</f>
        <v/>
      </c>
      <c r="D239">
        <f t="array" ref="D239">_xlfn.XLOOKUP(C239,INDIRECT("tblEquipment[Equipment ID]"),INDIRECT("tblEquipment[Equipment Name]"),"")</f>
        <v/>
      </c>
      <c r="F239" s="16" t="n"/>
      <c r="G239" s="16" t="n"/>
      <c r="H239" s="1">
        <f>IF(OR(F239=0,G239=0),"",(G239-F239)*24)</f>
        <v/>
      </c>
      <c r="I239" s="10" t="n"/>
      <c r="J239" s="1">
        <f>IF(OR(tblDowntime[[#This Row],[Failure Type]]="Sawshop",tblDowntime[[#This Row],[Failure Type]]="Electrical",tblDowntime[[#This Row],[Failure Type]]="Mechanical"),tblDowntime[[#This Row],[Downtime Hours]],"")</f>
        <v/>
      </c>
      <c r="K239" s="10" t="n"/>
      <c r="L239" s="10" t="n"/>
      <c r="M239">
        <f>IF(tblDowntime[[#This Row],[Maintenance Downtime Hours]]="","",tblDowntime[[#This Row],[Equipment ID]])</f>
        <v/>
      </c>
      <c r="N239" s="1">
        <f>IF(tblDowntime[[#This Row],[Failure Type]]="Production",tblDowntime[[#This Row],[Downtime Hours]],"")</f>
        <v/>
      </c>
      <c r="O239">
        <f>IF(tblDowntime[[#This Row],[Production Downtime Hours]]="","",tblDowntime[[#This Row],[Equipment ID]])</f>
        <v/>
      </c>
      <c r="P239" s="10" t="n"/>
    </row>
    <row r="240">
      <c r="B240">
        <f t="array" ref="B240">_xlfn.XLOOKUP(C240,INDIRECT("tblEquipment[Equipment ID]"),INDIRECT("tblEquipment[Production Department]"),"")</f>
        <v/>
      </c>
      <c r="D240">
        <f t="array" ref="D240">_xlfn.XLOOKUP(C240,INDIRECT("tblEquipment[Equipment ID]"),INDIRECT("tblEquipment[Equipment Name]"),"")</f>
        <v/>
      </c>
      <c r="F240" s="16" t="n"/>
      <c r="G240" s="16" t="n"/>
      <c r="H240" s="1">
        <f>IF(OR(F240=0,G240=0),"",(G240-F240)*24)</f>
        <v/>
      </c>
      <c r="I240" s="10" t="n"/>
      <c r="J240" s="1">
        <f>IF(OR(tblDowntime[[#This Row],[Failure Type]]="Sawshop",tblDowntime[[#This Row],[Failure Type]]="Electrical",tblDowntime[[#This Row],[Failure Type]]="Mechanical"),tblDowntime[[#This Row],[Downtime Hours]],"")</f>
        <v/>
      </c>
      <c r="K240" s="10" t="n"/>
      <c r="L240" s="10" t="n"/>
      <c r="M240">
        <f>IF(tblDowntime[[#This Row],[Maintenance Downtime Hours]]="","",tblDowntime[[#This Row],[Equipment ID]])</f>
        <v/>
      </c>
      <c r="N240" s="1">
        <f>IF(tblDowntime[[#This Row],[Failure Type]]="Production",tblDowntime[[#This Row],[Downtime Hours]],"")</f>
        <v/>
      </c>
      <c r="O240">
        <f>IF(tblDowntime[[#This Row],[Production Downtime Hours]]="","",tblDowntime[[#This Row],[Equipment ID]])</f>
        <v/>
      </c>
      <c r="P240" s="10" t="n"/>
    </row>
    <row r="241">
      <c r="B241">
        <f t="array" ref="B241">_xlfn.XLOOKUP(C241,INDIRECT("tblEquipment[Equipment ID]"),INDIRECT("tblEquipment[Production Department]"),"")</f>
        <v/>
      </c>
      <c r="D241">
        <f t="array" ref="D241">_xlfn.XLOOKUP(C241,INDIRECT("tblEquipment[Equipment ID]"),INDIRECT("tblEquipment[Equipment Name]"),"")</f>
        <v/>
      </c>
      <c r="F241" s="16" t="n"/>
      <c r="G241" s="16" t="n"/>
      <c r="H241" s="1">
        <f>IF(OR(F241=0,G241=0),"",(G241-F241)*24)</f>
        <v/>
      </c>
      <c r="I241" s="10" t="n"/>
      <c r="J241" s="1">
        <f>IF(OR(tblDowntime[[#This Row],[Failure Type]]="Sawshop",tblDowntime[[#This Row],[Failure Type]]="Electrical",tblDowntime[[#This Row],[Failure Type]]="Mechanical"),tblDowntime[[#This Row],[Downtime Hours]],"")</f>
        <v/>
      </c>
      <c r="K241" s="10" t="n"/>
      <c r="L241" s="10" t="n"/>
      <c r="M241">
        <f>IF(tblDowntime[[#This Row],[Maintenance Downtime Hours]]="","",tblDowntime[[#This Row],[Equipment ID]])</f>
        <v/>
      </c>
      <c r="N241" s="1">
        <f>IF(tblDowntime[[#This Row],[Failure Type]]="Production",tblDowntime[[#This Row],[Downtime Hours]],"")</f>
        <v/>
      </c>
      <c r="O241">
        <f>IF(tblDowntime[[#This Row],[Production Downtime Hours]]="","",tblDowntime[[#This Row],[Equipment ID]])</f>
        <v/>
      </c>
      <c r="P241" s="10" t="n"/>
    </row>
    <row r="242">
      <c r="B242">
        <f t="array" ref="B242">_xlfn.XLOOKUP(C242,INDIRECT("tblEquipment[Equipment ID]"),INDIRECT("tblEquipment[Production Department]"),"")</f>
        <v/>
      </c>
      <c r="D242">
        <f t="array" ref="D242">_xlfn.XLOOKUP(C242,INDIRECT("tblEquipment[Equipment ID]"),INDIRECT("tblEquipment[Equipment Name]"),"")</f>
        <v/>
      </c>
      <c r="F242" s="16" t="n"/>
      <c r="G242" s="16" t="n"/>
      <c r="H242" s="1">
        <f>IF(OR(F242=0,G242=0),"",(G242-F242)*24)</f>
        <v/>
      </c>
      <c r="I242" s="10" t="n"/>
      <c r="J242" s="1">
        <f>IF(OR(tblDowntime[[#This Row],[Failure Type]]="Sawshop",tblDowntime[[#This Row],[Failure Type]]="Electrical",tblDowntime[[#This Row],[Failure Type]]="Mechanical"),tblDowntime[[#This Row],[Downtime Hours]],"")</f>
        <v/>
      </c>
      <c r="K242" s="10" t="n"/>
      <c r="L242" s="10" t="n"/>
      <c r="M242">
        <f>IF(tblDowntime[[#This Row],[Maintenance Downtime Hours]]="","",tblDowntime[[#This Row],[Equipment ID]])</f>
        <v/>
      </c>
      <c r="N242" s="1">
        <f>IF(tblDowntime[[#This Row],[Failure Type]]="Production",tblDowntime[[#This Row],[Downtime Hours]],"")</f>
        <v/>
      </c>
      <c r="O242">
        <f>IF(tblDowntime[[#This Row],[Production Downtime Hours]]="","",tblDowntime[[#This Row],[Equipment ID]])</f>
        <v/>
      </c>
      <c r="P242" s="10" t="n"/>
    </row>
    <row r="243">
      <c r="B243">
        <f t="array" ref="B243">_xlfn.XLOOKUP(C243,INDIRECT("tblEquipment[Equipment ID]"),INDIRECT("tblEquipment[Production Department]"),"")</f>
        <v/>
      </c>
      <c r="D243">
        <f t="array" ref="D243">_xlfn.XLOOKUP(C243,INDIRECT("tblEquipment[Equipment ID]"),INDIRECT("tblEquipment[Equipment Name]"),"")</f>
        <v/>
      </c>
      <c r="F243" s="16" t="n"/>
      <c r="G243" s="16" t="n"/>
      <c r="H243" s="1">
        <f>IF(OR(F243=0,G243=0),"",(G243-F243)*24)</f>
        <v/>
      </c>
      <c r="I243" s="10" t="n"/>
      <c r="J243" s="1">
        <f>IF(OR(tblDowntime[[#This Row],[Failure Type]]="Sawshop",tblDowntime[[#This Row],[Failure Type]]="Electrical",tblDowntime[[#This Row],[Failure Type]]="Mechanical"),tblDowntime[[#This Row],[Downtime Hours]],"")</f>
        <v/>
      </c>
      <c r="K243" s="10" t="n"/>
      <c r="L243" s="10" t="n"/>
      <c r="M243">
        <f>IF(tblDowntime[[#This Row],[Maintenance Downtime Hours]]="","",tblDowntime[[#This Row],[Equipment ID]])</f>
        <v/>
      </c>
      <c r="N243" s="1">
        <f>IF(tblDowntime[[#This Row],[Failure Type]]="Production",tblDowntime[[#This Row],[Downtime Hours]],"")</f>
        <v/>
      </c>
      <c r="O243">
        <f>IF(tblDowntime[[#This Row],[Production Downtime Hours]]="","",tblDowntime[[#This Row],[Equipment ID]])</f>
        <v/>
      </c>
      <c r="P243" s="10" t="n"/>
    </row>
    <row r="244">
      <c r="B244">
        <f t="array" ref="B244">_xlfn.XLOOKUP(C244,INDIRECT("tblEquipment[Equipment ID]"),INDIRECT("tblEquipment[Production Department]"),"")</f>
        <v/>
      </c>
      <c r="D244">
        <f t="array" ref="D244">_xlfn.XLOOKUP(C244,INDIRECT("tblEquipment[Equipment ID]"),INDIRECT("tblEquipment[Equipment Name]"),"")</f>
        <v/>
      </c>
      <c r="F244" s="16" t="n"/>
      <c r="G244" s="16" t="n"/>
      <c r="H244" s="1">
        <f>IF(OR(F244=0,G244=0),"",(G244-F244)*24)</f>
        <v/>
      </c>
      <c r="I244" s="10" t="n"/>
      <c r="J244" s="1">
        <f>IF(OR(tblDowntime[[#This Row],[Failure Type]]="Sawshop",tblDowntime[[#This Row],[Failure Type]]="Electrical",tblDowntime[[#This Row],[Failure Type]]="Mechanical"),tblDowntime[[#This Row],[Downtime Hours]],"")</f>
        <v/>
      </c>
      <c r="K244" s="10" t="n"/>
      <c r="L244" s="10" t="n"/>
      <c r="M244">
        <f>IF(tblDowntime[[#This Row],[Maintenance Downtime Hours]]="","",tblDowntime[[#This Row],[Equipment ID]])</f>
        <v/>
      </c>
      <c r="N244" s="1">
        <f>IF(tblDowntime[[#This Row],[Failure Type]]="Production",tblDowntime[[#This Row],[Downtime Hours]],"")</f>
        <v/>
      </c>
      <c r="O244">
        <f>IF(tblDowntime[[#This Row],[Production Downtime Hours]]="","",tblDowntime[[#This Row],[Equipment ID]])</f>
        <v/>
      </c>
      <c r="P244" s="10" t="n"/>
    </row>
    <row r="245">
      <c r="B245">
        <f t="array" ref="B245">_xlfn.XLOOKUP(C245,INDIRECT("tblEquipment[Equipment ID]"),INDIRECT("tblEquipment[Production Department]"),"")</f>
        <v/>
      </c>
      <c r="D245">
        <f t="array" ref="D245">_xlfn.XLOOKUP(C245,INDIRECT("tblEquipment[Equipment ID]"),INDIRECT("tblEquipment[Equipment Name]"),"")</f>
        <v/>
      </c>
      <c r="F245" s="16" t="n"/>
      <c r="G245" s="16" t="n"/>
      <c r="H245" s="1">
        <f>IF(OR(F245=0,G245=0),"",(G245-F245)*24)</f>
        <v/>
      </c>
      <c r="I245" s="10" t="n"/>
      <c r="J245" s="1">
        <f>IF(OR(tblDowntime[[#This Row],[Failure Type]]="Sawshop",tblDowntime[[#This Row],[Failure Type]]="Electrical",tblDowntime[[#This Row],[Failure Type]]="Mechanical"),tblDowntime[[#This Row],[Downtime Hours]],"")</f>
        <v/>
      </c>
      <c r="K245" s="10" t="n"/>
      <c r="L245" s="10" t="n"/>
      <c r="M245">
        <f>IF(tblDowntime[[#This Row],[Maintenance Downtime Hours]]="","",tblDowntime[[#This Row],[Equipment ID]])</f>
        <v/>
      </c>
      <c r="N245" s="1">
        <f>IF(tblDowntime[[#This Row],[Failure Type]]="Production",tblDowntime[[#This Row],[Downtime Hours]],"")</f>
        <v/>
      </c>
      <c r="O245">
        <f>IF(tblDowntime[[#This Row],[Production Downtime Hours]]="","",tblDowntime[[#This Row],[Equipment ID]])</f>
        <v/>
      </c>
      <c r="P245" s="10" t="n"/>
    </row>
    <row r="246">
      <c r="B246">
        <f t="array" ref="B246">_xlfn.XLOOKUP(C246,INDIRECT("tblEquipment[Equipment ID]"),INDIRECT("tblEquipment[Production Department]"),"")</f>
        <v/>
      </c>
      <c r="D246">
        <f t="array" ref="D246">_xlfn.XLOOKUP(C246,INDIRECT("tblEquipment[Equipment ID]"),INDIRECT("tblEquipment[Equipment Name]"),"")</f>
        <v/>
      </c>
      <c r="F246" s="16" t="n"/>
      <c r="G246" s="16" t="n"/>
      <c r="H246" s="1">
        <f>IF(OR(F246=0,G246=0),"",(G246-F246)*24)</f>
        <v/>
      </c>
      <c r="I246" s="10" t="n"/>
      <c r="J246" s="1">
        <f>IF(OR(tblDowntime[[#This Row],[Failure Type]]="Sawshop",tblDowntime[[#This Row],[Failure Type]]="Electrical",tblDowntime[[#This Row],[Failure Type]]="Mechanical"),tblDowntime[[#This Row],[Downtime Hours]],"")</f>
        <v/>
      </c>
      <c r="K246" s="10" t="n"/>
      <c r="L246" s="10" t="n"/>
      <c r="M246">
        <f>IF(tblDowntime[[#This Row],[Maintenance Downtime Hours]]="","",tblDowntime[[#This Row],[Equipment ID]])</f>
        <v/>
      </c>
      <c r="N246" s="1">
        <f>IF(tblDowntime[[#This Row],[Failure Type]]="Production",tblDowntime[[#This Row],[Downtime Hours]],"")</f>
        <v/>
      </c>
      <c r="O246">
        <f>IF(tblDowntime[[#This Row],[Production Downtime Hours]]="","",tblDowntime[[#This Row],[Equipment ID]])</f>
        <v/>
      </c>
      <c r="P246" s="10" t="n"/>
    </row>
    <row r="247">
      <c r="B247">
        <f t="array" ref="B247">_xlfn.XLOOKUP(C247,INDIRECT("tblEquipment[Equipment ID]"),INDIRECT("tblEquipment[Production Department]"),"")</f>
        <v/>
      </c>
      <c r="D247">
        <f t="array" ref="D247">_xlfn.XLOOKUP(C247,INDIRECT("tblEquipment[Equipment ID]"),INDIRECT("tblEquipment[Equipment Name]"),"")</f>
        <v/>
      </c>
      <c r="F247" s="16" t="n"/>
      <c r="G247" s="16" t="n"/>
      <c r="H247" s="1">
        <f>IF(OR(F247=0,G247=0),"",(G247-F247)*24)</f>
        <v/>
      </c>
      <c r="I247" s="10" t="n"/>
      <c r="J247" s="1">
        <f>IF(OR(tblDowntime[[#This Row],[Failure Type]]="Sawshop",tblDowntime[[#This Row],[Failure Type]]="Electrical",tblDowntime[[#This Row],[Failure Type]]="Mechanical"),tblDowntime[[#This Row],[Downtime Hours]],"")</f>
        <v/>
      </c>
      <c r="K247" s="10" t="n"/>
      <c r="L247" s="10" t="n"/>
      <c r="M247">
        <f>IF(tblDowntime[[#This Row],[Maintenance Downtime Hours]]="","",tblDowntime[[#This Row],[Equipment ID]])</f>
        <v/>
      </c>
      <c r="N247" s="1">
        <f>IF(tblDowntime[[#This Row],[Failure Type]]="Production",tblDowntime[[#This Row],[Downtime Hours]],"")</f>
        <v/>
      </c>
      <c r="O247">
        <f>IF(tblDowntime[[#This Row],[Production Downtime Hours]]="","",tblDowntime[[#This Row],[Equipment ID]])</f>
        <v/>
      </c>
      <c r="P247" s="10" t="n"/>
    </row>
    <row r="248">
      <c r="B248">
        <f t="array" ref="B248">_xlfn.XLOOKUP(C248,INDIRECT("tblEquipment[Equipment ID]"),INDIRECT("tblEquipment[Production Department]"),"")</f>
        <v/>
      </c>
      <c r="D248">
        <f t="array" ref="D248">_xlfn.XLOOKUP(C248,INDIRECT("tblEquipment[Equipment ID]"),INDIRECT("tblEquipment[Equipment Name]"),"")</f>
        <v/>
      </c>
      <c r="F248" s="16" t="n"/>
      <c r="G248" s="16" t="n"/>
      <c r="H248" s="1">
        <f>IF(OR(F248=0,G248=0),"",(G248-F248)*24)</f>
        <v/>
      </c>
      <c r="I248" s="10" t="n"/>
      <c r="J248" s="1">
        <f>IF(OR(tblDowntime[[#This Row],[Failure Type]]="Sawshop",tblDowntime[[#This Row],[Failure Type]]="Electrical",tblDowntime[[#This Row],[Failure Type]]="Mechanical"),tblDowntime[[#This Row],[Downtime Hours]],"")</f>
        <v/>
      </c>
      <c r="K248" s="10" t="n"/>
      <c r="L248" s="10" t="n"/>
      <c r="M248">
        <f>IF(tblDowntime[[#This Row],[Maintenance Downtime Hours]]="","",tblDowntime[[#This Row],[Equipment ID]])</f>
        <v/>
      </c>
      <c r="N248" s="1">
        <f>IF(tblDowntime[[#This Row],[Failure Type]]="Production",tblDowntime[[#This Row],[Downtime Hours]],"")</f>
        <v/>
      </c>
      <c r="O248">
        <f>IF(tblDowntime[[#This Row],[Production Downtime Hours]]="","",tblDowntime[[#This Row],[Equipment ID]])</f>
        <v/>
      </c>
      <c r="P248" s="10" t="n"/>
    </row>
    <row r="249">
      <c r="B249">
        <f t="array" ref="B249">_xlfn.XLOOKUP(C249,INDIRECT("tblEquipment[Equipment ID]"),INDIRECT("tblEquipment[Production Department]"),"")</f>
        <v/>
      </c>
      <c r="D249">
        <f t="array" ref="D249">_xlfn.XLOOKUP(C249,INDIRECT("tblEquipment[Equipment ID]"),INDIRECT("tblEquipment[Equipment Name]"),"")</f>
        <v/>
      </c>
      <c r="F249" s="16" t="n"/>
      <c r="G249" s="16" t="n"/>
      <c r="H249" s="1">
        <f>IF(OR(F249=0,G249=0),"",(G249-F249)*24)</f>
        <v/>
      </c>
      <c r="I249" s="10" t="n"/>
      <c r="J249" s="1">
        <f>IF(OR(tblDowntime[[#This Row],[Failure Type]]="Sawshop",tblDowntime[[#This Row],[Failure Type]]="Electrical",tblDowntime[[#This Row],[Failure Type]]="Mechanical"),tblDowntime[[#This Row],[Downtime Hours]],"")</f>
        <v/>
      </c>
      <c r="K249" s="10" t="n"/>
      <c r="L249" s="10" t="n"/>
      <c r="M249">
        <f>IF(tblDowntime[[#This Row],[Maintenance Downtime Hours]]="","",tblDowntime[[#This Row],[Equipment ID]])</f>
        <v/>
      </c>
      <c r="N249" s="1">
        <f>IF(tblDowntime[[#This Row],[Failure Type]]="Production",tblDowntime[[#This Row],[Downtime Hours]],"")</f>
        <v/>
      </c>
      <c r="O249">
        <f>IF(tblDowntime[[#This Row],[Production Downtime Hours]]="","",tblDowntime[[#This Row],[Equipment ID]])</f>
        <v/>
      </c>
      <c r="P249" s="10" t="n"/>
    </row>
    <row r="250">
      <c r="B250">
        <f t="array" ref="B250">_xlfn.XLOOKUP(C250,INDIRECT("tblEquipment[Equipment ID]"),INDIRECT("tblEquipment[Production Department]"),"")</f>
        <v/>
      </c>
      <c r="D250">
        <f t="array" ref="D250">_xlfn.XLOOKUP(C250,INDIRECT("tblEquipment[Equipment ID]"),INDIRECT("tblEquipment[Equipment Name]"),"")</f>
        <v/>
      </c>
      <c r="F250" s="16" t="n"/>
      <c r="G250" s="16" t="n"/>
      <c r="H250" s="1">
        <f>IF(OR(F250=0,G250=0),"",(G250-F250)*24)</f>
        <v/>
      </c>
      <c r="I250" s="10" t="n"/>
      <c r="J250" s="1">
        <f>IF(OR(tblDowntime[[#This Row],[Failure Type]]="Sawshop",tblDowntime[[#This Row],[Failure Type]]="Electrical",tblDowntime[[#This Row],[Failure Type]]="Mechanical"),tblDowntime[[#This Row],[Downtime Hours]],"")</f>
        <v/>
      </c>
      <c r="K250" s="10" t="n"/>
      <c r="L250" s="10" t="n"/>
      <c r="M250">
        <f>IF(tblDowntime[[#This Row],[Maintenance Downtime Hours]]="","",tblDowntime[[#This Row],[Equipment ID]])</f>
        <v/>
      </c>
      <c r="N250" s="1">
        <f>IF(tblDowntime[[#This Row],[Failure Type]]="Production",tblDowntime[[#This Row],[Downtime Hours]],"")</f>
        <v/>
      </c>
      <c r="O250">
        <f>IF(tblDowntime[[#This Row],[Production Downtime Hours]]="","",tblDowntime[[#This Row],[Equipment ID]])</f>
        <v/>
      </c>
      <c r="P250" s="10" t="n"/>
    </row>
    <row r="251">
      <c r="B251">
        <f t="array" ref="B251">_xlfn.XLOOKUP(C251,INDIRECT("tblEquipment[Equipment ID]"),INDIRECT("tblEquipment[Production Department]"),"")</f>
        <v/>
      </c>
      <c r="D251">
        <f t="array" ref="D251">_xlfn.XLOOKUP(C251,INDIRECT("tblEquipment[Equipment ID]"),INDIRECT("tblEquipment[Equipment Name]"),"")</f>
        <v/>
      </c>
      <c r="F251" s="16" t="n"/>
      <c r="G251" s="16" t="n"/>
      <c r="H251" s="1">
        <f>IF(OR(F251=0,G251=0),"",(G251-F251)*24)</f>
        <v/>
      </c>
      <c r="I251" s="10" t="n"/>
      <c r="J251" s="1">
        <f>IF(OR(tblDowntime[[#This Row],[Failure Type]]="Sawshop",tblDowntime[[#This Row],[Failure Type]]="Electrical",tblDowntime[[#This Row],[Failure Type]]="Mechanical"),tblDowntime[[#This Row],[Downtime Hours]],"")</f>
        <v/>
      </c>
      <c r="K251" s="10" t="n"/>
      <c r="L251" s="10" t="n"/>
      <c r="M251">
        <f>IF(tblDowntime[[#This Row],[Maintenance Downtime Hours]]="","",tblDowntime[[#This Row],[Equipment ID]])</f>
        <v/>
      </c>
      <c r="N251" s="1">
        <f>IF(tblDowntime[[#This Row],[Failure Type]]="Production",tblDowntime[[#This Row],[Downtime Hours]],"")</f>
        <v/>
      </c>
      <c r="O251">
        <f>IF(tblDowntime[[#This Row],[Production Downtime Hours]]="","",tblDowntime[[#This Row],[Equipment ID]])</f>
        <v/>
      </c>
      <c r="P251" s="10" t="n"/>
    </row>
    <row r="252">
      <c r="B252">
        <f t="array" ref="B252">_xlfn.XLOOKUP(C252,INDIRECT("tblEquipment[Equipment ID]"),INDIRECT("tblEquipment[Production Department]"),"")</f>
        <v/>
      </c>
      <c r="D252">
        <f t="array" ref="D252">_xlfn.XLOOKUP(C252,INDIRECT("tblEquipment[Equipment ID]"),INDIRECT("tblEquipment[Equipment Name]"),"")</f>
        <v/>
      </c>
      <c r="F252" s="16" t="n"/>
      <c r="G252" s="16" t="n"/>
      <c r="H252" s="1">
        <f>IF(OR(F252=0,G252=0),"",(G252-F252)*24)</f>
        <v/>
      </c>
      <c r="I252" s="10" t="n"/>
      <c r="J252" s="1">
        <f>IF(OR(tblDowntime[[#This Row],[Failure Type]]="Sawshop",tblDowntime[[#This Row],[Failure Type]]="Electrical",tblDowntime[[#This Row],[Failure Type]]="Mechanical"),tblDowntime[[#This Row],[Downtime Hours]],"")</f>
        <v/>
      </c>
      <c r="K252" s="10" t="n"/>
      <c r="L252" s="10" t="n"/>
      <c r="M252">
        <f>IF(tblDowntime[[#This Row],[Maintenance Downtime Hours]]="","",tblDowntime[[#This Row],[Equipment ID]])</f>
        <v/>
      </c>
      <c r="N252" s="1">
        <f>IF(tblDowntime[[#This Row],[Failure Type]]="Production",tblDowntime[[#This Row],[Downtime Hours]],"")</f>
        <v/>
      </c>
      <c r="O252">
        <f>IF(tblDowntime[[#This Row],[Production Downtime Hours]]="","",tblDowntime[[#This Row],[Equipment ID]])</f>
        <v/>
      </c>
      <c r="P252" s="10" t="n"/>
    </row>
    <row r="253">
      <c r="B253">
        <f t="array" ref="B253">_xlfn.XLOOKUP(C253,INDIRECT("tblEquipment[Equipment ID]"),INDIRECT("tblEquipment[Production Department]"),"")</f>
        <v/>
      </c>
      <c r="D253">
        <f t="array" ref="D253">_xlfn.XLOOKUP(C253,INDIRECT("tblEquipment[Equipment ID]"),INDIRECT("tblEquipment[Equipment Name]"),"")</f>
        <v/>
      </c>
      <c r="F253" s="16" t="n"/>
      <c r="G253" s="16" t="n"/>
      <c r="H253" s="1">
        <f>IF(OR(F253=0,G253=0),"",(G253-F253)*24)</f>
        <v/>
      </c>
      <c r="I253" s="10" t="n"/>
      <c r="J253" s="1">
        <f>IF(OR(tblDowntime[[#This Row],[Failure Type]]="Sawshop",tblDowntime[[#This Row],[Failure Type]]="Electrical",tblDowntime[[#This Row],[Failure Type]]="Mechanical"),tblDowntime[[#This Row],[Downtime Hours]],"")</f>
        <v/>
      </c>
      <c r="K253" s="10" t="n"/>
      <c r="L253" s="10" t="n"/>
      <c r="M253">
        <f>IF(tblDowntime[[#This Row],[Maintenance Downtime Hours]]="","",tblDowntime[[#This Row],[Equipment ID]])</f>
        <v/>
      </c>
      <c r="N253" s="1">
        <f>IF(tblDowntime[[#This Row],[Failure Type]]="Production",tblDowntime[[#This Row],[Downtime Hours]],"")</f>
        <v/>
      </c>
      <c r="O253">
        <f>IF(tblDowntime[[#This Row],[Production Downtime Hours]]="","",tblDowntime[[#This Row],[Equipment ID]])</f>
        <v/>
      </c>
      <c r="P253" s="10" t="n"/>
    </row>
    <row r="254">
      <c r="B254">
        <f t="array" ref="B254">_xlfn.XLOOKUP(C254,INDIRECT("tblEquipment[Equipment ID]"),INDIRECT("tblEquipment[Production Department]"),"")</f>
        <v/>
      </c>
      <c r="D254">
        <f t="array" ref="D254">_xlfn.XLOOKUP(C254,INDIRECT("tblEquipment[Equipment ID]"),INDIRECT("tblEquipment[Equipment Name]"),"")</f>
        <v/>
      </c>
      <c r="F254" s="16" t="n"/>
      <c r="G254" s="16" t="n"/>
      <c r="H254" s="1">
        <f>IF(OR(F254=0,G254=0),"",(G254-F254)*24)</f>
        <v/>
      </c>
      <c r="I254" s="10" t="n"/>
      <c r="J254" s="1">
        <f>IF(OR(tblDowntime[[#This Row],[Failure Type]]="Sawshop",tblDowntime[[#This Row],[Failure Type]]="Electrical",tblDowntime[[#This Row],[Failure Type]]="Mechanical"),tblDowntime[[#This Row],[Downtime Hours]],"")</f>
        <v/>
      </c>
      <c r="K254" s="10" t="n"/>
      <c r="L254" s="10" t="n"/>
      <c r="M254">
        <f>IF(tblDowntime[[#This Row],[Maintenance Downtime Hours]]="","",tblDowntime[[#This Row],[Equipment ID]])</f>
        <v/>
      </c>
      <c r="N254" s="1">
        <f>IF(tblDowntime[[#This Row],[Failure Type]]="Production",tblDowntime[[#This Row],[Downtime Hours]],"")</f>
        <v/>
      </c>
      <c r="O254">
        <f>IF(tblDowntime[[#This Row],[Production Downtime Hours]]="","",tblDowntime[[#This Row],[Equipment ID]])</f>
        <v/>
      </c>
      <c r="P254" s="10" t="n"/>
    </row>
    <row r="255">
      <c r="B255">
        <f t="array" ref="B255">_xlfn.XLOOKUP(C255,INDIRECT("tblEquipment[Equipment ID]"),INDIRECT("tblEquipment[Production Department]"),"")</f>
        <v/>
      </c>
      <c r="D255">
        <f t="array" ref="D255">_xlfn.XLOOKUP(C255,INDIRECT("tblEquipment[Equipment ID]"),INDIRECT("tblEquipment[Equipment Name]"),"")</f>
        <v/>
      </c>
      <c r="F255" s="16" t="n"/>
      <c r="G255" s="16" t="n"/>
      <c r="H255" s="1">
        <f>IF(OR(F255=0,G255=0),"",(G255-F255)*24)</f>
        <v/>
      </c>
      <c r="I255" s="10" t="n"/>
      <c r="J255" s="1">
        <f>IF(OR(tblDowntime[[#This Row],[Failure Type]]="Sawshop",tblDowntime[[#This Row],[Failure Type]]="Electrical",tblDowntime[[#This Row],[Failure Type]]="Mechanical"),tblDowntime[[#This Row],[Downtime Hours]],"")</f>
        <v/>
      </c>
      <c r="K255" s="10" t="n"/>
      <c r="L255" s="10" t="n"/>
      <c r="M255">
        <f>IF(tblDowntime[[#This Row],[Maintenance Downtime Hours]]="","",tblDowntime[[#This Row],[Equipment ID]])</f>
        <v/>
      </c>
      <c r="N255" s="1">
        <f>IF(tblDowntime[[#This Row],[Failure Type]]="Production",tblDowntime[[#This Row],[Downtime Hours]],"")</f>
        <v/>
      </c>
      <c r="O255">
        <f>IF(tblDowntime[[#This Row],[Production Downtime Hours]]="","",tblDowntime[[#This Row],[Equipment ID]])</f>
        <v/>
      </c>
      <c r="P255" s="10" t="n"/>
    </row>
    <row r="256">
      <c r="B256">
        <f t="array" ref="B256">_xlfn.XLOOKUP(C256,INDIRECT("tblEquipment[Equipment ID]"),INDIRECT("tblEquipment[Production Department]"),"")</f>
        <v/>
      </c>
      <c r="D256">
        <f t="array" ref="D256">_xlfn.XLOOKUP(C256,INDIRECT("tblEquipment[Equipment ID]"),INDIRECT("tblEquipment[Equipment Name]"),"")</f>
        <v/>
      </c>
      <c r="F256" s="16" t="n"/>
      <c r="G256" s="16" t="n"/>
      <c r="H256" s="1">
        <f>IF(OR(F256=0,G256=0),"",(G256-F256)*24)</f>
        <v/>
      </c>
      <c r="I256" s="10" t="n"/>
      <c r="J256" s="1">
        <f>IF(OR(tblDowntime[[#This Row],[Failure Type]]="Sawshop",tblDowntime[[#This Row],[Failure Type]]="Electrical",tblDowntime[[#This Row],[Failure Type]]="Mechanical"),tblDowntime[[#This Row],[Downtime Hours]],"")</f>
        <v/>
      </c>
      <c r="K256" s="10" t="n"/>
      <c r="L256" s="10" t="n"/>
      <c r="M256">
        <f>IF(tblDowntime[[#This Row],[Maintenance Downtime Hours]]="","",tblDowntime[[#This Row],[Equipment ID]])</f>
        <v/>
      </c>
      <c r="N256" s="1">
        <f>IF(tblDowntime[[#This Row],[Failure Type]]="Production",tblDowntime[[#This Row],[Downtime Hours]],"")</f>
        <v/>
      </c>
      <c r="O256">
        <f>IF(tblDowntime[[#This Row],[Production Downtime Hours]]="","",tblDowntime[[#This Row],[Equipment ID]])</f>
        <v/>
      </c>
      <c r="P256" s="10" t="n"/>
    </row>
    <row r="257">
      <c r="B257">
        <f t="array" ref="B257">_xlfn.XLOOKUP(C257,INDIRECT("tblEquipment[Equipment ID]"),INDIRECT("tblEquipment[Production Department]"),"")</f>
        <v/>
      </c>
      <c r="D257">
        <f t="array" ref="D257">_xlfn.XLOOKUP(C257,INDIRECT("tblEquipment[Equipment ID]"),INDIRECT("tblEquipment[Equipment Name]"),"")</f>
        <v/>
      </c>
      <c r="F257" s="16" t="n"/>
      <c r="G257" s="16" t="n"/>
      <c r="H257" s="1">
        <f>IF(OR(F257=0,G257=0),"",(G257-F257)*24)</f>
        <v/>
      </c>
      <c r="I257" s="10" t="n"/>
      <c r="J257" s="1">
        <f>IF(OR(tblDowntime[[#This Row],[Failure Type]]="Sawshop",tblDowntime[[#This Row],[Failure Type]]="Electrical",tblDowntime[[#This Row],[Failure Type]]="Mechanical"),tblDowntime[[#This Row],[Downtime Hours]],"")</f>
        <v/>
      </c>
      <c r="K257" s="10" t="n"/>
      <c r="L257" s="10" t="n"/>
      <c r="M257">
        <f>IF(tblDowntime[[#This Row],[Maintenance Downtime Hours]]="","",tblDowntime[[#This Row],[Equipment ID]])</f>
        <v/>
      </c>
      <c r="N257" s="1">
        <f>IF(tblDowntime[[#This Row],[Failure Type]]="Production",tblDowntime[[#This Row],[Downtime Hours]],"")</f>
        <v/>
      </c>
      <c r="O257">
        <f>IF(tblDowntime[[#This Row],[Production Downtime Hours]]="","",tblDowntime[[#This Row],[Equipment ID]])</f>
        <v/>
      </c>
      <c r="P257" s="10" t="n"/>
    </row>
    <row r="258">
      <c r="B258">
        <f t="array" ref="B258">_xlfn.XLOOKUP(C258,INDIRECT("tblEquipment[Equipment ID]"),INDIRECT("tblEquipment[Production Department]"),"")</f>
        <v/>
      </c>
      <c r="D258">
        <f t="array" ref="D258">_xlfn.XLOOKUP(C258,INDIRECT("tblEquipment[Equipment ID]"),INDIRECT("tblEquipment[Equipment Name]"),"")</f>
        <v/>
      </c>
      <c r="F258" s="16" t="n"/>
      <c r="G258" s="16" t="n"/>
      <c r="H258" s="1">
        <f>IF(OR(F258=0,G258=0),"",(G258-F258)*24)</f>
        <v/>
      </c>
      <c r="I258" s="10" t="n"/>
      <c r="J258" s="1">
        <f>IF(OR(tblDowntime[[#This Row],[Failure Type]]="Sawshop",tblDowntime[[#This Row],[Failure Type]]="Electrical",tblDowntime[[#This Row],[Failure Type]]="Mechanical"),tblDowntime[[#This Row],[Downtime Hours]],"")</f>
        <v/>
      </c>
      <c r="K258" s="10" t="n"/>
      <c r="L258" s="10" t="n"/>
      <c r="M258">
        <f>IF(tblDowntime[[#This Row],[Maintenance Downtime Hours]]="","",tblDowntime[[#This Row],[Equipment ID]])</f>
        <v/>
      </c>
      <c r="N258" s="1">
        <f>IF(tblDowntime[[#This Row],[Failure Type]]="Production",tblDowntime[[#This Row],[Downtime Hours]],"")</f>
        <v/>
      </c>
      <c r="O258">
        <f>IF(tblDowntime[[#This Row],[Production Downtime Hours]]="","",tblDowntime[[#This Row],[Equipment ID]])</f>
        <v/>
      </c>
      <c r="P258" s="10" t="n"/>
    </row>
    <row r="259">
      <c r="B259">
        <f t="array" ref="B259">_xlfn.XLOOKUP(C259,INDIRECT("tblEquipment[Equipment ID]"),INDIRECT("tblEquipment[Production Department]"),"")</f>
        <v/>
      </c>
      <c r="D259">
        <f t="array" ref="D259">_xlfn.XLOOKUP(C259,INDIRECT("tblEquipment[Equipment ID]"),INDIRECT("tblEquipment[Equipment Name]"),"")</f>
        <v/>
      </c>
      <c r="F259" s="16" t="n"/>
      <c r="G259" s="16" t="n"/>
      <c r="H259" s="1">
        <f>IF(OR(F259=0,G259=0),"",(G259-F259)*24)</f>
        <v/>
      </c>
      <c r="I259" s="10" t="n"/>
      <c r="J259" s="1">
        <f>IF(OR(tblDowntime[[#This Row],[Failure Type]]="Sawshop",tblDowntime[[#This Row],[Failure Type]]="Electrical",tblDowntime[[#This Row],[Failure Type]]="Mechanical"),tblDowntime[[#This Row],[Downtime Hours]],"")</f>
        <v/>
      </c>
      <c r="K259" s="10" t="n"/>
      <c r="L259" s="10" t="n"/>
      <c r="M259">
        <f>IF(tblDowntime[[#This Row],[Maintenance Downtime Hours]]="","",tblDowntime[[#This Row],[Equipment ID]])</f>
        <v/>
      </c>
      <c r="N259" s="1">
        <f>IF(tblDowntime[[#This Row],[Failure Type]]="Production",tblDowntime[[#This Row],[Downtime Hours]],"")</f>
        <v/>
      </c>
      <c r="O259">
        <f>IF(tblDowntime[[#This Row],[Production Downtime Hours]]="","",tblDowntime[[#This Row],[Equipment ID]])</f>
        <v/>
      </c>
      <c r="P259" s="10" t="n"/>
    </row>
    <row r="260">
      <c r="B260">
        <f t="array" ref="B260">_xlfn.XLOOKUP(C260,INDIRECT("tblEquipment[Equipment ID]"),INDIRECT("tblEquipment[Production Department]"),"")</f>
        <v/>
      </c>
      <c r="D260">
        <f t="array" ref="D260">_xlfn.XLOOKUP(C260,INDIRECT("tblEquipment[Equipment ID]"),INDIRECT("tblEquipment[Equipment Name]"),"")</f>
        <v/>
      </c>
      <c r="F260" s="16" t="n"/>
      <c r="G260" s="16" t="n"/>
      <c r="H260" s="1">
        <f>IF(OR(F260=0,G260=0),"",(G260-F260)*24)</f>
        <v/>
      </c>
      <c r="I260" s="10" t="n"/>
      <c r="J260" s="1">
        <f>IF(OR(tblDowntime[[#This Row],[Failure Type]]="Sawshop",tblDowntime[[#This Row],[Failure Type]]="Electrical",tblDowntime[[#This Row],[Failure Type]]="Mechanical"),tblDowntime[[#This Row],[Downtime Hours]],"")</f>
        <v/>
      </c>
      <c r="K260" s="10" t="n"/>
      <c r="L260" s="10" t="n"/>
      <c r="M260">
        <f>IF(tblDowntime[[#This Row],[Maintenance Downtime Hours]]="","",tblDowntime[[#This Row],[Equipment ID]])</f>
        <v/>
      </c>
      <c r="N260" s="1">
        <f>IF(tblDowntime[[#This Row],[Failure Type]]="Production",tblDowntime[[#This Row],[Downtime Hours]],"")</f>
        <v/>
      </c>
      <c r="O260">
        <f>IF(tblDowntime[[#This Row],[Production Downtime Hours]]="","",tblDowntime[[#This Row],[Equipment ID]])</f>
        <v/>
      </c>
      <c r="P260" s="10" t="n"/>
    </row>
    <row r="261">
      <c r="B261">
        <f t="array" ref="B261">_xlfn.XLOOKUP(C261,INDIRECT("tblEquipment[Equipment ID]"),INDIRECT("tblEquipment[Production Department]"),"")</f>
        <v/>
      </c>
      <c r="D261">
        <f t="array" ref="D261">_xlfn.XLOOKUP(C261,INDIRECT("tblEquipment[Equipment ID]"),INDIRECT("tblEquipment[Equipment Name]"),"")</f>
        <v/>
      </c>
      <c r="F261" s="16" t="n"/>
      <c r="G261" s="16" t="n"/>
      <c r="H261" s="1">
        <f>IF(OR(F261=0,G261=0),"",(G261-F261)*24)</f>
        <v/>
      </c>
      <c r="I261" s="10" t="n"/>
      <c r="J261" s="1">
        <f>IF(OR(tblDowntime[[#This Row],[Failure Type]]="Sawshop",tblDowntime[[#This Row],[Failure Type]]="Electrical",tblDowntime[[#This Row],[Failure Type]]="Mechanical"),tblDowntime[[#This Row],[Downtime Hours]],"")</f>
        <v/>
      </c>
      <c r="K261" s="10" t="n"/>
      <c r="L261" s="10" t="n"/>
      <c r="M261">
        <f>IF(tblDowntime[[#This Row],[Maintenance Downtime Hours]]="","",tblDowntime[[#This Row],[Equipment ID]])</f>
        <v/>
      </c>
      <c r="N261" s="1">
        <f>IF(tblDowntime[[#This Row],[Failure Type]]="Production",tblDowntime[[#This Row],[Downtime Hours]],"")</f>
        <v/>
      </c>
      <c r="O261">
        <f>IF(tblDowntime[[#This Row],[Production Downtime Hours]]="","",tblDowntime[[#This Row],[Equipment ID]])</f>
        <v/>
      </c>
      <c r="P261" s="10" t="n"/>
    </row>
    <row r="262">
      <c r="B262">
        <f t="array" ref="B262">_xlfn.XLOOKUP(C262,INDIRECT("tblEquipment[Equipment ID]"),INDIRECT("tblEquipment[Production Department]"),"")</f>
        <v/>
      </c>
      <c r="D262">
        <f t="array" ref="D262">_xlfn.XLOOKUP(C262,INDIRECT("tblEquipment[Equipment ID]"),INDIRECT("tblEquipment[Equipment Name]"),"")</f>
        <v/>
      </c>
      <c r="F262" s="16" t="n"/>
      <c r="G262" s="16" t="n"/>
      <c r="H262" s="1">
        <f>IF(OR(F262=0,G262=0),"",(G262-F262)*24)</f>
        <v/>
      </c>
      <c r="I262" s="10" t="n"/>
      <c r="J262" s="1">
        <f>IF(OR(tblDowntime[[#This Row],[Failure Type]]="Sawshop",tblDowntime[[#This Row],[Failure Type]]="Electrical",tblDowntime[[#This Row],[Failure Type]]="Mechanical"),tblDowntime[[#This Row],[Downtime Hours]],"")</f>
        <v/>
      </c>
      <c r="K262" s="10" t="n"/>
      <c r="L262" s="10" t="n"/>
      <c r="M262">
        <f>IF(tblDowntime[[#This Row],[Maintenance Downtime Hours]]="","",tblDowntime[[#This Row],[Equipment ID]])</f>
        <v/>
      </c>
      <c r="N262" s="1">
        <f>IF(tblDowntime[[#This Row],[Failure Type]]="Production",tblDowntime[[#This Row],[Downtime Hours]],"")</f>
        <v/>
      </c>
      <c r="O262">
        <f>IF(tblDowntime[[#This Row],[Production Downtime Hours]]="","",tblDowntime[[#This Row],[Equipment ID]])</f>
        <v/>
      </c>
      <c r="P262" s="10" t="n"/>
    </row>
    <row r="263">
      <c r="B263">
        <f t="array" ref="B263">_xlfn.XLOOKUP(C263,INDIRECT("tblEquipment[Equipment ID]"),INDIRECT("tblEquipment[Production Department]"),"")</f>
        <v/>
      </c>
      <c r="D263">
        <f t="array" ref="D263">_xlfn.XLOOKUP(C263,INDIRECT("tblEquipment[Equipment ID]"),INDIRECT("tblEquipment[Equipment Name]"),"")</f>
        <v/>
      </c>
      <c r="F263" s="16" t="n"/>
      <c r="G263" s="16" t="n"/>
      <c r="H263" s="1">
        <f>IF(OR(F263=0,G263=0),"",(G263-F263)*24)</f>
        <v/>
      </c>
      <c r="I263" s="10" t="n"/>
      <c r="J263" s="1">
        <f>IF(OR(tblDowntime[[#This Row],[Failure Type]]="Sawshop",tblDowntime[[#This Row],[Failure Type]]="Electrical",tblDowntime[[#This Row],[Failure Type]]="Mechanical"),tblDowntime[[#This Row],[Downtime Hours]],"")</f>
        <v/>
      </c>
      <c r="K263" s="10" t="n"/>
      <c r="L263" s="10" t="n"/>
      <c r="M263">
        <f>IF(tblDowntime[[#This Row],[Maintenance Downtime Hours]]="","",tblDowntime[[#This Row],[Equipment ID]])</f>
        <v/>
      </c>
      <c r="N263" s="1">
        <f>IF(tblDowntime[[#This Row],[Failure Type]]="Production",tblDowntime[[#This Row],[Downtime Hours]],"")</f>
        <v/>
      </c>
      <c r="O263">
        <f>IF(tblDowntime[[#This Row],[Production Downtime Hours]]="","",tblDowntime[[#This Row],[Equipment ID]])</f>
        <v/>
      </c>
      <c r="P263" s="10" t="n"/>
    </row>
    <row r="264">
      <c r="B264">
        <f t="array" ref="B264">_xlfn.XLOOKUP(C264,INDIRECT("tblEquipment[Equipment ID]"),INDIRECT("tblEquipment[Production Department]"),"")</f>
        <v/>
      </c>
      <c r="D264">
        <f t="array" ref="D264">_xlfn.XLOOKUP(C264,INDIRECT("tblEquipment[Equipment ID]"),INDIRECT("tblEquipment[Equipment Name]"),"")</f>
        <v/>
      </c>
      <c r="F264" s="16" t="n"/>
      <c r="G264" s="16" t="n"/>
      <c r="H264" s="1">
        <f>IF(OR(F264=0,G264=0),"",(G264-F264)*24)</f>
        <v/>
      </c>
      <c r="I264" s="10" t="n"/>
      <c r="J264" s="1">
        <f>IF(OR(tblDowntime[[#This Row],[Failure Type]]="Sawshop",tblDowntime[[#This Row],[Failure Type]]="Electrical",tblDowntime[[#This Row],[Failure Type]]="Mechanical"),tblDowntime[[#This Row],[Downtime Hours]],"")</f>
        <v/>
      </c>
      <c r="K264" s="10" t="n"/>
      <c r="L264" s="10" t="n"/>
      <c r="M264">
        <f>IF(tblDowntime[[#This Row],[Maintenance Downtime Hours]]="","",tblDowntime[[#This Row],[Equipment ID]])</f>
        <v/>
      </c>
      <c r="N264" s="1">
        <f>IF(tblDowntime[[#This Row],[Failure Type]]="Production",tblDowntime[[#This Row],[Downtime Hours]],"")</f>
        <v/>
      </c>
      <c r="O264">
        <f>IF(tblDowntime[[#This Row],[Production Downtime Hours]]="","",tblDowntime[[#This Row],[Equipment ID]])</f>
        <v/>
      </c>
      <c r="P264" s="10" t="n"/>
    </row>
    <row r="265">
      <c r="B265">
        <f t="array" ref="B265">_xlfn.XLOOKUP(C265,INDIRECT("tblEquipment[Equipment ID]"),INDIRECT("tblEquipment[Production Department]"),"")</f>
        <v/>
      </c>
      <c r="D265">
        <f t="array" ref="D265">_xlfn.XLOOKUP(C265,INDIRECT("tblEquipment[Equipment ID]"),INDIRECT("tblEquipment[Equipment Name]"),"")</f>
        <v/>
      </c>
      <c r="F265" s="16" t="n"/>
      <c r="G265" s="16" t="n"/>
      <c r="H265" s="1">
        <f>IF(OR(F265=0,G265=0),"",(G265-F265)*24)</f>
        <v/>
      </c>
      <c r="I265" s="10" t="n"/>
      <c r="J265" s="1">
        <f>IF(OR(tblDowntime[[#This Row],[Failure Type]]="Sawshop",tblDowntime[[#This Row],[Failure Type]]="Electrical",tblDowntime[[#This Row],[Failure Type]]="Mechanical"),tblDowntime[[#This Row],[Downtime Hours]],"")</f>
        <v/>
      </c>
      <c r="K265" s="10" t="n"/>
      <c r="L265" s="10" t="n"/>
      <c r="M265">
        <f>IF(tblDowntime[[#This Row],[Maintenance Downtime Hours]]="","",tblDowntime[[#This Row],[Equipment ID]])</f>
        <v/>
      </c>
      <c r="N265" s="1">
        <f>IF(tblDowntime[[#This Row],[Failure Type]]="Production",tblDowntime[[#This Row],[Downtime Hours]],"")</f>
        <v/>
      </c>
      <c r="O265">
        <f>IF(tblDowntime[[#This Row],[Production Downtime Hours]]="","",tblDowntime[[#This Row],[Equipment ID]])</f>
        <v/>
      </c>
      <c r="P265" s="10" t="n"/>
    </row>
    <row r="266">
      <c r="B266">
        <f t="array" ref="B266">_xlfn.XLOOKUP(C266,INDIRECT("tblEquipment[Equipment ID]"),INDIRECT("tblEquipment[Production Department]"),"")</f>
        <v/>
      </c>
      <c r="D266">
        <f t="array" ref="D266">_xlfn.XLOOKUP(C266,INDIRECT("tblEquipment[Equipment ID]"),INDIRECT("tblEquipment[Equipment Name]"),"")</f>
        <v/>
      </c>
      <c r="F266" s="16" t="n"/>
      <c r="G266" s="16" t="n"/>
      <c r="H266" s="1">
        <f>IF(OR(F266=0,G266=0),"",(G266-F266)*24)</f>
        <v/>
      </c>
      <c r="I266" s="10" t="n"/>
      <c r="J266" s="1">
        <f>IF(OR(tblDowntime[[#This Row],[Failure Type]]="Sawshop",tblDowntime[[#This Row],[Failure Type]]="Electrical",tblDowntime[[#This Row],[Failure Type]]="Mechanical"),tblDowntime[[#This Row],[Downtime Hours]],"")</f>
        <v/>
      </c>
      <c r="K266" s="10" t="n"/>
      <c r="L266" s="10" t="n"/>
      <c r="M266">
        <f>IF(tblDowntime[[#This Row],[Maintenance Downtime Hours]]="","",tblDowntime[[#This Row],[Equipment ID]])</f>
        <v/>
      </c>
      <c r="N266" s="1">
        <f>IF(tblDowntime[[#This Row],[Failure Type]]="Production",tblDowntime[[#This Row],[Downtime Hours]],"")</f>
        <v/>
      </c>
      <c r="O266">
        <f>IF(tblDowntime[[#This Row],[Production Downtime Hours]]="","",tblDowntime[[#This Row],[Equipment ID]])</f>
        <v/>
      </c>
      <c r="P266" s="10" t="n"/>
    </row>
    <row r="267">
      <c r="B267">
        <f t="array" ref="B267">_xlfn.XLOOKUP(C267,INDIRECT("tblEquipment[Equipment ID]"),INDIRECT("tblEquipment[Production Department]"),"")</f>
        <v/>
      </c>
      <c r="D267">
        <f t="array" ref="D267">_xlfn.XLOOKUP(C267,INDIRECT("tblEquipment[Equipment ID]"),INDIRECT("tblEquipment[Equipment Name]"),"")</f>
        <v/>
      </c>
      <c r="F267" s="16" t="n"/>
      <c r="G267" s="16" t="n"/>
      <c r="H267" s="1">
        <f>IF(OR(F267=0,G267=0),"",(G267-F267)*24)</f>
        <v/>
      </c>
      <c r="I267" s="10" t="n"/>
      <c r="J267" s="1">
        <f>IF(OR(tblDowntime[[#This Row],[Failure Type]]="Sawshop",tblDowntime[[#This Row],[Failure Type]]="Electrical",tblDowntime[[#This Row],[Failure Type]]="Mechanical"),tblDowntime[[#This Row],[Downtime Hours]],"")</f>
        <v/>
      </c>
      <c r="K267" s="10" t="n"/>
      <c r="L267" s="10" t="n"/>
      <c r="M267">
        <f>IF(tblDowntime[[#This Row],[Maintenance Downtime Hours]]="","",tblDowntime[[#This Row],[Equipment ID]])</f>
        <v/>
      </c>
      <c r="N267" s="1">
        <f>IF(tblDowntime[[#This Row],[Failure Type]]="Production",tblDowntime[[#This Row],[Downtime Hours]],"")</f>
        <v/>
      </c>
      <c r="O267">
        <f>IF(tblDowntime[[#This Row],[Production Downtime Hours]]="","",tblDowntime[[#This Row],[Equipment ID]])</f>
        <v/>
      </c>
      <c r="P267" s="10" t="n"/>
    </row>
    <row r="268">
      <c r="B268">
        <f t="array" ref="B268">_xlfn.XLOOKUP(C268,INDIRECT("tblEquipment[Equipment ID]"),INDIRECT("tblEquipment[Production Department]"),"")</f>
        <v/>
      </c>
      <c r="D268">
        <f t="array" ref="D268">_xlfn.XLOOKUP(C268,INDIRECT("tblEquipment[Equipment ID]"),INDIRECT("tblEquipment[Equipment Name]"),"")</f>
        <v/>
      </c>
      <c r="F268" s="16" t="n"/>
      <c r="G268" s="16" t="n"/>
      <c r="H268" s="1">
        <f>IF(OR(F268=0,G268=0),"",(G268-F268)*24)</f>
        <v/>
      </c>
      <c r="I268" s="10" t="n"/>
      <c r="J268" s="1">
        <f>IF(OR(tblDowntime[[#This Row],[Failure Type]]="Sawshop",tblDowntime[[#This Row],[Failure Type]]="Electrical",tblDowntime[[#This Row],[Failure Type]]="Mechanical"),tblDowntime[[#This Row],[Downtime Hours]],"")</f>
        <v/>
      </c>
      <c r="K268" s="10" t="n"/>
      <c r="L268" s="10" t="n"/>
      <c r="M268">
        <f>IF(tblDowntime[[#This Row],[Maintenance Downtime Hours]]="","",tblDowntime[[#This Row],[Equipment ID]])</f>
        <v/>
      </c>
      <c r="N268" s="1">
        <f>IF(tblDowntime[[#This Row],[Failure Type]]="Production",tblDowntime[[#This Row],[Downtime Hours]],"")</f>
        <v/>
      </c>
      <c r="O268">
        <f>IF(tblDowntime[[#This Row],[Production Downtime Hours]]="","",tblDowntime[[#This Row],[Equipment ID]])</f>
        <v/>
      </c>
      <c r="P268" s="10" t="n"/>
    </row>
    <row r="269">
      <c r="B269">
        <f t="array" ref="B269">_xlfn.XLOOKUP(C269,INDIRECT("tblEquipment[Equipment ID]"),INDIRECT("tblEquipment[Production Department]"),"")</f>
        <v/>
      </c>
      <c r="D269">
        <f t="array" ref="D269">_xlfn.XLOOKUP(C269,INDIRECT("tblEquipment[Equipment ID]"),INDIRECT("tblEquipment[Equipment Name]"),"")</f>
        <v/>
      </c>
      <c r="F269" s="16" t="n"/>
      <c r="G269" s="16" t="n"/>
      <c r="H269" s="1">
        <f>IF(OR(F269=0,G269=0),"",(G269-F269)*24)</f>
        <v/>
      </c>
      <c r="I269" s="10" t="n"/>
      <c r="J269" s="1">
        <f>IF(OR(tblDowntime[[#This Row],[Failure Type]]="Sawshop",tblDowntime[[#This Row],[Failure Type]]="Electrical",tblDowntime[[#This Row],[Failure Type]]="Mechanical"),tblDowntime[[#This Row],[Downtime Hours]],"")</f>
        <v/>
      </c>
      <c r="K269" s="10" t="n"/>
      <c r="L269" s="10" t="n"/>
      <c r="M269">
        <f>IF(tblDowntime[[#This Row],[Maintenance Downtime Hours]]="","",tblDowntime[[#This Row],[Equipment ID]])</f>
        <v/>
      </c>
      <c r="N269" s="1">
        <f>IF(tblDowntime[[#This Row],[Failure Type]]="Production",tblDowntime[[#This Row],[Downtime Hours]],"")</f>
        <v/>
      </c>
      <c r="O269">
        <f>IF(tblDowntime[[#This Row],[Production Downtime Hours]]="","",tblDowntime[[#This Row],[Equipment ID]])</f>
        <v/>
      </c>
      <c r="P269" s="10" t="n"/>
    </row>
    <row r="270">
      <c r="B270">
        <f t="array" ref="B270">_xlfn.XLOOKUP(C270,INDIRECT("tblEquipment[Equipment ID]"),INDIRECT("tblEquipment[Production Department]"),"")</f>
        <v/>
      </c>
      <c r="D270">
        <f t="array" ref="D270">_xlfn.XLOOKUP(C270,INDIRECT("tblEquipment[Equipment ID]"),INDIRECT("tblEquipment[Equipment Name]"),"")</f>
        <v/>
      </c>
      <c r="F270" s="16" t="n"/>
      <c r="G270" s="16" t="n"/>
      <c r="H270" s="1">
        <f>IF(OR(F270=0,G270=0),"",(G270-F270)*24)</f>
        <v/>
      </c>
      <c r="I270" s="10" t="n"/>
      <c r="J270" s="1">
        <f>IF(OR(tblDowntime[[#This Row],[Failure Type]]="Sawshop",tblDowntime[[#This Row],[Failure Type]]="Electrical",tblDowntime[[#This Row],[Failure Type]]="Mechanical"),tblDowntime[[#This Row],[Downtime Hours]],"")</f>
        <v/>
      </c>
      <c r="K270" s="10" t="n"/>
      <c r="L270" s="10" t="n"/>
      <c r="M270">
        <f>IF(tblDowntime[[#This Row],[Maintenance Downtime Hours]]="","",tblDowntime[[#This Row],[Equipment ID]])</f>
        <v/>
      </c>
      <c r="N270" s="1">
        <f>IF(tblDowntime[[#This Row],[Failure Type]]="Production",tblDowntime[[#This Row],[Downtime Hours]],"")</f>
        <v/>
      </c>
      <c r="O270">
        <f>IF(tblDowntime[[#This Row],[Production Downtime Hours]]="","",tblDowntime[[#This Row],[Equipment ID]])</f>
        <v/>
      </c>
      <c r="P270" s="10" t="n"/>
    </row>
    <row r="271">
      <c r="B271">
        <f t="array" ref="B271">_xlfn.XLOOKUP(C271,INDIRECT("tblEquipment[Equipment ID]"),INDIRECT("tblEquipment[Production Department]"),"")</f>
        <v/>
      </c>
      <c r="D271">
        <f t="array" ref="D271">_xlfn.XLOOKUP(C271,INDIRECT("tblEquipment[Equipment ID]"),INDIRECT("tblEquipment[Equipment Name]"),"")</f>
        <v/>
      </c>
      <c r="F271" s="16" t="n"/>
      <c r="G271" s="16" t="n"/>
      <c r="H271" s="1">
        <f>IF(OR(F271=0,G271=0),"",(G271-F271)*24)</f>
        <v/>
      </c>
      <c r="I271" s="10" t="n"/>
      <c r="J271" s="1">
        <f>IF(OR(tblDowntime[[#This Row],[Failure Type]]="Sawshop",tblDowntime[[#This Row],[Failure Type]]="Electrical",tblDowntime[[#This Row],[Failure Type]]="Mechanical"),tblDowntime[[#This Row],[Downtime Hours]],"")</f>
        <v/>
      </c>
      <c r="K271" s="10" t="n"/>
      <c r="L271" s="10" t="n"/>
      <c r="M271">
        <f>IF(tblDowntime[[#This Row],[Maintenance Downtime Hours]]="","",tblDowntime[[#This Row],[Equipment ID]])</f>
        <v/>
      </c>
      <c r="N271" s="1">
        <f>IF(tblDowntime[[#This Row],[Failure Type]]="Production",tblDowntime[[#This Row],[Downtime Hours]],"")</f>
        <v/>
      </c>
      <c r="O271">
        <f>IF(tblDowntime[[#This Row],[Production Downtime Hours]]="","",tblDowntime[[#This Row],[Equipment ID]])</f>
        <v/>
      </c>
      <c r="P271" s="10" t="n"/>
    </row>
    <row r="272">
      <c r="B272">
        <f t="array" ref="B272">_xlfn.XLOOKUP(C272,INDIRECT("tblEquipment[Equipment ID]"),INDIRECT("tblEquipment[Production Department]"),"")</f>
        <v/>
      </c>
      <c r="D272">
        <f t="array" ref="D272">_xlfn.XLOOKUP(C272,INDIRECT("tblEquipment[Equipment ID]"),INDIRECT("tblEquipment[Equipment Name]"),"")</f>
        <v/>
      </c>
      <c r="F272" s="16" t="n"/>
      <c r="G272" s="16" t="n"/>
      <c r="H272" s="1">
        <f>IF(OR(F272=0,G272=0),"",(G272-F272)*24)</f>
        <v/>
      </c>
      <c r="I272" s="10" t="n"/>
      <c r="J272" s="1">
        <f>IF(OR(tblDowntime[[#This Row],[Failure Type]]="Sawshop",tblDowntime[[#This Row],[Failure Type]]="Electrical",tblDowntime[[#This Row],[Failure Type]]="Mechanical"),tblDowntime[[#This Row],[Downtime Hours]],"")</f>
        <v/>
      </c>
      <c r="K272" s="10" t="n"/>
      <c r="L272" s="10" t="n"/>
      <c r="M272">
        <f>IF(tblDowntime[[#This Row],[Maintenance Downtime Hours]]="","",tblDowntime[[#This Row],[Equipment ID]])</f>
        <v/>
      </c>
      <c r="N272" s="1">
        <f>IF(tblDowntime[[#This Row],[Failure Type]]="Production",tblDowntime[[#This Row],[Downtime Hours]],"")</f>
        <v/>
      </c>
      <c r="O272">
        <f>IF(tblDowntime[[#This Row],[Production Downtime Hours]]="","",tblDowntime[[#This Row],[Equipment ID]])</f>
        <v/>
      </c>
      <c r="P272" s="10" t="n"/>
    </row>
    <row r="273">
      <c r="B273">
        <f t="array" ref="B273">_xlfn.XLOOKUP(C273,INDIRECT("tblEquipment[Equipment ID]"),INDIRECT("tblEquipment[Production Department]"),"")</f>
        <v/>
      </c>
      <c r="D273">
        <f t="array" ref="D273">_xlfn.XLOOKUP(C273,INDIRECT("tblEquipment[Equipment ID]"),INDIRECT("tblEquipment[Equipment Name]"),"")</f>
        <v/>
      </c>
      <c r="F273" s="16" t="n"/>
      <c r="G273" s="16" t="n"/>
      <c r="H273" s="1">
        <f>IF(OR(F273=0,G273=0),"",(G273-F273)*24)</f>
        <v/>
      </c>
      <c r="I273" s="10" t="n"/>
      <c r="J273" s="1">
        <f>IF(OR(tblDowntime[[#This Row],[Failure Type]]="Sawshop",tblDowntime[[#This Row],[Failure Type]]="Electrical",tblDowntime[[#This Row],[Failure Type]]="Mechanical"),tblDowntime[[#This Row],[Downtime Hours]],"")</f>
        <v/>
      </c>
      <c r="K273" s="10" t="n"/>
      <c r="L273" s="10" t="n"/>
      <c r="M273">
        <f>IF(tblDowntime[[#This Row],[Maintenance Downtime Hours]]="","",tblDowntime[[#This Row],[Equipment ID]])</f>
        <v/>
      </c>
      <c r="N273" s="1">
        <f>IF(tblDowntime[[#This Row],[Failure Type]]="Production",tblDowntime[[#This Row],[Downtime Hours]],"")</f>
        <v/>
      </c>
      <c r="O273">
        <f>IF(tblDowntime[[#This Row],[Production Downtime Hours]]="","",tblDowntime[[#This Row],[Equipment ID]])</f>
        <v/>
      </c>
      <c r="P273" s="10" t="n"/>
    </row>
    <row r="274">
      <c r="B274">
        <f t="array" ref="B274">_xlfn.XLOOKUP(C274,INDIRECT("tblEquipment[Equipment ID]"),INDIRECT("tblEquipment[Production Department]"),"")</f>
        <v/>
      </c>
      <c r="D274">
        <f t="array" ref="D274">_xlfn.XLOOKUP(C274,INDIRECT("tblEquipment[Equipment ID]"),INDIRECT("tblEquipment[Equipment Name]"),"")</f>
        <v/>
      </c>
      <c r="F274" s="16" t="n"/>
      <c r="G274" s="16" t="n"/>
      <c r="H274" s="1">
        <f>IF(OR(F274=0,G274=0),"",(G274-F274)*24)</f>
        <v/>
      </c>
      <c r="I274" s="10" t="n"/>
      <c r="J274" s="1">
        <f>IF(OR(tblDowntime[[#This Row],[Failure Type]]="Sawshop",tblDowntime[[#This Row],[Failure Type]]="Electrical",tblDowntime[[#This Row],[Failure Type]]="Mechanical"),tblDowntime[[#This Row],[Downtime Hours]],"")</f>
        <v/>
      </c>
      <c r="K274" s="10" t="n"/>
      <c r="L274" s="10" t="n"/>
      <c r="M274">
        <f>IF(tblDowntime[[#This Row],[Maintenance Downtime Hours]]="","",tblDowntime[[#This Row],[Equipment ID]])</f>
        <v/>
      </c>
      <c r="N274" s="1">
        <f>IF(tblDowntime[[#This Row],[Failure Type]]="Production",tblDowntime[[#This Row],[Downtime Hours]],"")</f>
        <v/>
      </c>
      <c r="O274">
        <f>IF(tblDowntime[[#This Row],[Production Downtime Hours]]="","",tblDowntime[[#This Row],[Equipment ID]])</f>
        <v/>
      </c>
      <c r="P274" s="10" t="n"/>
    </row>
    <row r="275">
      <c r="B275">
        <f t="array" ref="B275">_xlfn.XLOOKUP(C275,INDIRECT("tblEquipment[Equipment ID]"),INDIRECT("tblEquipment[Production Department]"),"")</f>
        <v/>
      </c>
      <c r="D275">
        <f t="array" ref="D275">_xlfn.XLOOKUP(C275,INDIRECT("tblEquipment[Equipment ID]"),INDIRECT("tblEquipment[Equipment Name]"),"")</f>
        <v/>
      </c>
      <c r="F275" s="16" t="n"/>
      <c r="G275" s="16" t="n"/>
      <c r="H275" s="1">
        <f>IF(OR(F275=0,G275=0),"",(G275-F275)*24)</f>
        <v/>
      </c>
      <c r="I275" s="10" t="n"/>
      <c r="J275" s="1">
        <f>IF(OR(tblDowntime[[#This Row],[Failure Type]]="Sawshop",tblDowntime[[#This Row],[Failure Type]]="Electrical",tblDowntime[[#This Row],[Failure Type]]="Mechanical"),tblDowntime[[#This Row],[Downtime Hours]],"")</f>
        <v/>
      </c>
      <c r="K275" s="10" t="n"/>
      <c r="L275" s="10" t="n"/>
      <c r="M275">
        <f>IF(tblDowntime[[#This Row],[Maintenance Downtime Hours]]="","",tblDowntime[[#This Row],[Equipment ID]])</f>
        <v/>
      </c>
      <c r="N275" s="1">
        <f>IF(tblDowntime[[#This Row],[Failure Type]]="Production",tblDowntime[[#This Row],[Downtime Hours]],"")</f>
        <v/>
      </c>
      <c r="O275">
        <f>IF(tblDowntime[[#This Row],[Production Downtime Hours]]="","",tblDowntime[[#This Row],[Equipment ID]])</f>
        <v/>
      </c>
      <c r="P275" s="10" t="n"/>
    </row>
    <row r="276">
      <c r="B276">
        <f t="array" ref="B276">_xlfn.XLOOKUP(C276,INDIRECT("tblEquipment[Equipment ID]"),INDIRECT("tblEquipment[Production Department]"),"")</f>
        <v/>
      </c>
      <c r="D276">
        <f t="array" ref="D276">_xlfn.XLOOKUP(C276,INDIRECT("tblEquipment[Equipment ID]"),INDIRECT("tblEquipment[Equipment Name]"),"")</f>
        <v/>
      </c>
      <c r="F276" s="16" t="n"/>
      <c r="G276" s="16" t="n"/>
      <c r="H276" s="1">
        <f>IF(OR(F276=0,G276=0),"",(G276-F276)*24)</f>
        <v/>
      </c>
      <c r="I276" s="10" t="n"/>
      <c r="J276" s="1">
        <f>IF(OR(tblDowntime[[#This Row],[Failure Type]]="Sawshop",tblDowntime[[#This Row],[Failure Type]]="Electrical",tblDowntime[[#This Row],[Failure Type]]="Mechanical"),tblDowntime[[#This Row],[Downtime Hours]],"")</f>
        <v/>
      </c>
      <c r="K276" s="10" t="n"/>
      <c r="L276" s="10" t="n"/>
      <c r="M276">
        <f>IF(tblDowntime[[#This Row],[Maintenance Downtime Hours]]="","",tblDowntime[[#This Row],[Equipment ID]])</f>
        <v/>
      </c>
      <c r="N276" s="1">
        <f>IF(tblDowntime[[#This Row],[Failure Type]]="Production",tblDowntime[[#This Row],[Downtime Hours]],"")</f>
        <v/>
      </c>
      <c r="O276">
        <f>IF(tblDowntime[[#This Row],[Production Downtime Hours]]="","",tblDowntime[[#This Row],[Equipment ID]])</f>
        <v/>
      </c>
      <c r="P276" s="10" t="n"/>
    </row>
    <row r="277">
      <c r="B277">
        <f t="array" ref="B277">_xlfn.XLOOKUP(C277,INDIRECT("tblEquipment[Equipment ID]"),INDIRECT("tblEquipment[Production Department]"),"")</f>
        <v/>
      </c>
      <c r="D277">
        <f t="array" ref="D277">_xlfn.XLOOKUP(C277,INDIRECT("tblEquipment[Equipment ID]"),INDIRECT("tblEquipment[Equipment Name]"),"")</f>
        <v/>
      </c>
      <c r="F277" s="16" t="n"/>
      <c r="G277" s="16" t="n"/>
      <c r="H277" s="1">
        <f>IF(OR(F277=0,G277=0),"",(G277-F277)*24)</f>
        <v/>
      </c>
      <c r="I277" s="10" t="n"/>
      <c r="J277" s="1">
        <f>IF(OR(tblDowntime[[#This Row],[Failure Type]]="Sawshop",tblDowntime[[#This Row],[Failure Type]]="Electrical",tblDowntime[[#This Row],[Failure Type]]="Mechanical"),tblDowntime[[#This Row],[Downtime Hours]],"")</f>
        <v/>
      </c>
      <c r="K277" s="10" t="n"/>
      <c r="L277" s="10" t="n"/>
      <c r="M277">
        <f>IF(tblDowntime[[#This Row],[Maintenance Downtime Hours]]="","",tblDowntime[[#This Row],[Equipment ID]])</f>
        <v/>
      </c>
      <c r="N277" s="1">
        <f>IF(tblDowntime[[#This Row],[Failure Type]]="Production",tblDowntime[[#This Row],[Downtime Hours]],"")</f>
        <v/>
      </c>
      <c r="O277">
        <f>IF(tblDowntime[[#This Row],[Production Downtime Hours]]="","",tblDowntime[[#This Row],[Equipment ID]])</f>
        <v/>
      </c>
      <c r="P277" s="10" t="n"/>
    </row>
    <row r="278">
      <c r="B278">
        <f t="array" ref="B278">_xlfn.XLOOKUP(C278,INDIRECT("tblEquipment[Equipment ID]"),INDIRECT("tblEquipment[Production Department]"),"")</f>
        <v/>
      </c>
      <c r="D278">
        <f t="array" ref="D278">_xlfn.XLOOKUP(C278,INDIRECT("tblEquipment[Equipment ID]"),INDIRECT("tblEquipment[Equipment Name]"),"")</f>
        <v/>
      </c>
      <c r="F278" s="16" t="n"/>
      <c r="G278" s="16" t="n"/>
      <c r="H278" s="1">
        <f>IF(OR(F278=0,G278=0),"",(G278-F278)*24)</f>
        <v/>
      </c>
      <c r="I278" s="10" t="n"/>
      <c r="J278" s="1">
        <f>IF(OR(tblDowntime[[#This Row],[Failure Type]]="Sawshop",tblDowntime[[#This Row],[Failure Type]]="Electrical",tblDowntime[[#This Row],[Failure Type]]="Mechanical"),tblDowntime[[#This Row],[Downtime Hours]],"")</f>
        <v/>
      </c>
      <c r="K278" s="10" t="n"/>
      <c r="L278" s="10" t="n"/>
      <c r="M278">
        <f>IF(tblDowntime[[#This Row],[Maintenance Downtime Hours]]="","",tblDowntime[[#This Row],[Equipment ID]])</f>
        <v/>
      </c>
      <c r="N278" s="1">
        <f>IF(tblDowntime[[#This Row],[Failure Type]]="Production",tblDowntime[[#This Row],[Downtime Hours]],"")</f>
        <v/>
      </c>
      <c r="O278">
        <f>IF(tblDowntime[[#This Row],[Production Downtime Hours]]="","",tblDowntime[[#This Row],[Equipment ID]])</f>
        <v/>
      </c>
      <c r="P278" s="10" t="n"/>
    </row>
    <row r="279">
      <c r="B279">
        <f t="array" ref="B279">_xlfn.XLOOKUP(C279,INDIRECT("tblEquipment[Equipment ID]"),INDIRECT("tblEquipment[Production Department]"),"")</f>
        <v/>
      </c>
      <c r="D279">
        <f t="array" ref="D279">_xlfn.XLOOKUP(C279,INDIRECT("tblEquipment[Equipment ID]"),INDIRECT("tblEquipment[Equipment Name]"),"")</f>
        <v/>
      </c>
      <c r="F279" s="16" t="n"/>
      <c r="G279" s="16" t="n"/>
      <c r="H279" s="1">
        <f>IF(OR(F279=0,G279=0),"",(G279-F279)*24)</f>
        <v/>
      </c>
      <c r="I279" s="10" t="n"/>
      <c r="J279" s="1">
        <f>IF(OR(tblDowntime[[#This Row],[Failure Type]]="Sawshop",tblDowntime[[#This Row],[Failure Type]]="Electrical",tblDowntime[[#This Row],[Failure Type]]="Mechanical"),tblDowntime[[#This Row],[Downtime Hours]],"")</f>
        <v/>
      </c>
      <c r="K279" s="10" t="n"/>
      <c r="L279" s="10" t="n"/>
      <c r="M279">
        <f>IF(tblDowntime[[#This Row],[Maintenance Downtime Hours]]="","",tblDowntime[[#This Row],[Equipment ID]])</f>
        <v/>
      </c>
      <c r="N279" s="1">
        <f>IF(tblDowntime[[#This Row],[Failure Type]]="Production",tblDowntime[[#This Row],[Downtime Hours]],"")</f>
        <v/>
      </c>
      <c r="O279">
        <f>IF(tblDowntime[[#This Row],[Production Downtime Hours]]="","",tblDowntime[[#This Row],[Equipment ID]])</f>
        <v/>
      </c>
      <c r="P279" s="10" t="n"/>
    </row>
    <row r="280">
      <c r="B280">
        <f t="array" ref="B280">_xlfn.XLOOKUP(C280,INDIRECT("tblEquipment[Equipment ID]"),INDIRECT("tblEquipment[Production Department]"),"")</f>
        <v/>
      </c>
      <c r="D280">
        <f t="array" ref="D280">_xlfn.XLOOKUP(C280,INDIRECT("tblEquipment[Equipment ID]"),INDIRECT("tblEquipment[Equipment Name]"),"")</f>
        <v/>
      </c>
      <c r="F280" s="16" t="n"/>
      <c r="G280" s="16" t="n"/>
      <c r="H280" s="1">
        <f>IF(OR(F280=0,G280=0),"",(G280-F280)*24)</f>
        <v/>
      </c>
      <c r="I280" s="10" t="n"/>
      <c r="J280" s="1">
        <f>IF(OR(tblDowntime[[#This Row],[Failure Type]]="Sawshop",tblDowntime[[#This Row],[Failure Type]]="Electrical",tblDowntime[[#This Row],[Failure Type]]="Mechanical"),tblDowntime[[#This Row],[Downtime Hours]],"")</f>
        <v/>
      </c>
      <c r="K280" s="10" t="n"/>
      <c r="L280" s="10" t="n"/>
      <c r="M280">
        <f>IF(tblDowntime[[#This Row],[Maintenance Downtime Hours]]="","",tblDowntime[[#This Row],[Equipment ID]])</f>
        <v/>
      </c>
      <c r="N280" s="1">
        <f>IF(tblDowntime[[#This Row],[Failure Type]]="Production",tblDowntime[[#This Row],[Downtime Hours]],"")</f>
        <v/>
      </c>
      <c r="O280">
        <f>IF(tblDowntime[[#This Row],[Production Downtime Hours]]="","",tblDowntime[[#This Row],[Equipment ID]])</f>
        <v/>
      </c>
      <c r="P280" s="10" t="n"/>
    </row>
    <row r="281">
      <c r="B281">
        <f t="array" ref="B281">_xlfn.XLOOKUP(C281,INDIRECT("tblEquipment[Equipment ID]"),INDIRECT("tblEquipment[Production Department]"),"")</f>
        <v/>
      </c>
      <c r="D281">
        <f t="array" ref="D281">_xlfn.XLOOKUP(C281,INDIRECT("tblEquipment[Equipment ID]"),INDIRECT("tblEquipment[Equipment Name]"),"")</f>
        <v/>
      </c>
      <c r="F281" s="16" t="n"/>
      <c r="G281" s="16" t="n"/>
      <c r="H281" s="1">
        <f>IF(OR(F281=0,G281=0),"",(G281-F281)*24)</f>
        <v/>
      </c>
      <c r="I281" s="10" t="n"/>
      <c r="J281" s="1">
        <f>IF(OR(tblDowntime[[#This Row],[Failure Type]]="Sawshop",tblDowntime[[#This Row],[Failure Type]]="Electrical",tblDowntime[[#This Row],[Failure Type]]="Mechanical"),tblDowntime[[#This Row],[Downtime Hours]],"")</f>
        <v/>
      </c>
      <c r="K281" s="10" t="n"/>
      <c r="L281" s="10" t="n"/>
      <c r="M281">
        <f>IF(tblDowntime[[#This Row],[Maintenance Downtime Hours]]="","",tblDowntime[[#This Row],[Equipment ID]])</f>
        <v/>
      </c>
      <c r="N281" s="1">
        <f>IF(tblDowntime[[#This Row],[Failure Type]]="Production",tblDowntime[[#This Row],[Downtime Hours]],"")</f>
        <v/>
      </c>
      <c r="O281">
        <f>IF(tblDowntime[[#This Row],[Production Downtime Hours]]="","",tblDowntime[[#This Row],[Equipment ID]])</f>
        <v/>
      </c>
      <c r="P281" s="10" t="n"/>
    </row>
    <row r="282">
      <c r="B282">
        <f t="array" ref="B282">_xlfn.XLOOKUP(C282,INDIRECT("tblEquipment[Equipment ID]"),INDIRECT("tblEquipment[Production Department]"),"")</f>
        <v/>
      </c>
      <c r="D282">
        <f t="array" ref="D282">_xlfn.XLOOKUP(C282,INDIRECT("tblEquipment[Equipment ID]"),INDIRECT("tblEquipment[Equipment Name]"),"")</f>
        <v/>
      </c>
      <c r="F282" s="16" t="n"/>
      <c r="G282" s="16" t="n"/>
      <c r="H282" s="1">
        <f>IF(OR(F282=0,G282=0),"",(G282-F282)*24)</f>
        <v/>
      </c>
      <c r="I282" s="10" t="n"/>
      <c r="J282" s="1">
        <f>IF(OR(tblDowntime[[#This Row],[Failure Type]]="Sawshop",tblDowntime[[#This Row],[Failure Type]]="Electrical",tblDowntime[[#This Row],[Failure Type]]="Mechanical"),tblDowntime[[#This Row],[Downtime Hours]],"")</f>
        <v/>
      </c>
      <c r="K282" s="10" t="n"/>
      <c r="L282" s="10" t="n"/>
      <c r="M282">
        <f>IF(tblDowntime[[#This Row],[Maintenance Downtime Hours]]="","",tblDowntime[[#This Row],[Equipment ID]])</f>
        <v/>
      </c>
      <c r="N282" s="1">
        <f>IF(tblDowntime[[#This Row],[Failure Type]]="Production",tblDowntime[[#This Row],[Downtime Hours]],"")</f>
        <v/>
      </c>
      <c r="O282">
        <f>IF(tblDowntime[[#This Row],[Production Downtime Hours]]="","",tblDowntime[[#This Row],[Equipment ID]])</f>
        <v/>
      </c>
      <c r="P282" s="10" t="n"/>
    </row>
    <row r="283">
      <c r="B283">
        <f t="array" ref="B283">_xlfn.XLOOKUP(C283,INDIRECT("tblEquipment[Equipment ID]"),INDIRECT("tblEquipment[Production Department]"),"")</f>
        <v/>
      </c>
      <c r="D283">
        <f t="array" ref="D283">_xlfn.XLOOKUP(C283,INDIRECT("tblEquipment[Equipment ID]"),INDIRECT("tblEquipment[Equipment Name]"),"")</f>
        <v/>
      </c>
      <c r="F283" s="16" t="n"/>
      <c r="G283" s="16" t="n"/>
      <c r="H283" s="1">
        <f>IF(OR(F283=0,G283=0),"",(G283-F283)*24)</f>
        <v/>
      </c>
      <c r="I283" s="10" t="n"/>
      <c r="J283" s="1">
        <f>IF(OR(tblDowntime[[#This Row],[Failure Type]]="Sawshop",tblDowntime[[#This Row],[Failure Type]]="Electrical",tblDowntime[[#This Row],[Failure Type]]="Mechanical"),tblDowntime[[#This Row],[Downtime Hours]],"")</f>
        <v/>
      </c>
      <c r="K283" s="10" t="n"/>
      <c r="L283" s="10" t="n"/>
      <c r="M283">
        <f>IF(tblDowntime[[#This Row],[Maintenance Downtime Hours]]="","",tblDowntime[[#This Row],[Equipment ID]])</f>
        <v/>
      </c>
      <c r="N283" s="1">
        <f>IF(tblDowntime[[#This Row],[Failure Type]]="Production",tblDowntime[[#This Row],[Downtime Hours]],"")</f>
        <v/>
      </c>
      <c r="O283">
        <f>IF(tblDowntime[[#This Row],[Production Downtime Hours]]="","",tblDowntime[[#This Row],[Equipment ID]])</f>
        <v/>
      </c>
      <c r="P283" s="10" t="n"/>
    </row>
    <row r="284">
      <c r="B284">
        <f t="array" ref="B284">_xlfn.XLOOKUP(C284,INDIRECT("tblEquipment[Equipment ID]"),INDIRECT("tblEquipment[Production Department]"),"")</f>
        <v/>
      </c>
      <c r="D284">
        <f t="array" ref="D284">_xlfn.XLOOKUP(C284,INDIRECT("tblEquipment[Equipment ID]"),INDIRECT("tblEquipment[Equipment Name]"),"")</f>
        <v/>
      </c>
      <c r="F284" s="16" t="n"/>
      <c r="G284" s="16" t="n"/>
      <c r="H284" s="1">
        <f>IF(OR(F284=0,G284=0),"",(G284-F284)*24)</f>
        <v/>
      </c>
      <c r="I284" s="10" t="n"/>
      <c r="J284" s="1">
        <f>IF(OR(tblDowntime[[#This Row],[Failure Type]]="Sawshop",tblDowntime[[#This Row],[Failure Type]]="Electrical",tblDowntime[[#This Row],[Failure Type]]="Mechanical"),tblDowntime[[#This Row],[Downtime Hours]],"")</f>
        <v/>
      </c>
      <c r="K284" s="10" t="n"/>
      <c r="L284" s="10" t="n"/>
      <c r="M284">
        <f>IF(tblDowntime[[#This Row],[Maintenance Downtime Hours]]="","",tblDowntime[[#This Row],[Equipment ID]])</f>
        <v/>
      </c>
      <c r="N284" s="1">
        <f>IF(tblDowntime[[#This Row],[Failure Type]]="Production",tblDowntime[[#This Row],[Downtime Hours]],"")</f>
        <v/>
      </c>
      <c r="O284">
        <f>IF(tblDowntime[[#This Row],[Production Downtime Hours]]="","",tblDowntime[[#This Row],[Equipment ID]])</f>
        <v/>
      </c>
      <c r="P284" s="10" t="n"/>
    </row>
    <row r="285">
      <c r="B285">
        <f t="array" ref="B285">_xlfn.XLOOKUP(C285,INDIRECT("tblEquipment[Equipment ID]"),INDIRECT("tblEquipment[Production Department]"),"")</f>
        <v/>
      </c>
      <c r="D285">
        <f t="array" ref="D285">_xlfn.XLOOKUP(C285,INDIRECT("tblEquipment[Equipment ID]"),INDIRECT("tblEquipment[Equipment Name]"),"")</f>
        <v/>
      </c>
      <c r="F285" s="16" t="n"/>
      <c r="G285" s="16" t="n"/>
      <c r="H285" s="1">
        <f>IF(OR(F285=0,G285=0),"",(G285-F285)*24)</f>
        <v/>
      </c>
      <c r="I285" s="10" t="n"/>
      <c r="J285" s="1">
        <f>IF(OR(tblDowntime[[#This Row],[Failure Type]]="Sawshop",tblDowntime[[#This Row],[Failure Type]]="Electrical",tblDowntime[[#This Row],[Failure Type]]="Mechanical"),tblDowntime[[#This Row],[Downtime Hours]],"")</f>
        <v/>
      </c>
      <c r="K285" s="10" t="n"/>
      <c r="L285" s="10" t="n"/>
      <c r="M285">
        <f>IF(tblDowntime[[#This Row],[Maintenance Downtime Hours]]="","",tblDowntime[[#This Row],[Equipment ID]])</f>
        <v/>
      </c>
      <c r="N285" s="1">
        <f>IF(tblDowntime[[#This Row],[Failure Type]]="Production",tblDowntime[[#This Row],[Downtime Hours]],"")</f>
        <v/>
      </c>
      <c r="O285">
        <f>IF(tblDowntime[[#This Row],[Production Downtime Hours]]="","",tblDowntime[[#This Row],[Equipment ID]])</f>
        <v/>
      </c>
      <c r="P285" s="10" t="n"/>
    </row>
    <row r="286">
      <c r="B286">
        <f t="array" ref="B286">_xlfn.XLOOKUP(C286,INDIRECT("tblEquipment[Equipment ID]"),INDIRECT("tblEquipment[Production Department]"),"")</f>
        <v/>
      </c>
      <c r="D286">
        <f t="array" ref="D286">_xlfn.XLOOKUP(C286,INDIRECT("tblEquipment[Equipment ID]"),INDIRECT("tblEquipment[Equipment Name]"),"")</f>
        <v/>
      </c>
      <c r="F286" s="16" t="n"/>
      <c r="G286" s="16" t="n"/>
      <c r="H286" s="1">
        <f>IF(OR(F286=0,G286=0),"",(G286-F286)*24)</f>
        <v/>
      </c>
      <c r="I286" s="10" t="n"/>
      <c r="J286" s="1">
        <f>IF(OR(tblDowntime[[#This Row],[Failure Type]]="Sawshop",tblDowntime[[#This Row],[Failure Type]]="Electrical",tblDowntime[[#This Row],[Failure Type]]="Mechanical"),tblDowntime[[#This Row],[Downtime Hours]],"")</f>
        <v/>
      </c>
      <c r="K286" s="10" t="n"/>
      <c r="L286" s="10" t="n"/>
      <c r="M286">
        <f>IF(tblDowntime[[#This Row],[Maintenance Downtime Hours]]="","",tblDowntime[[#This Row],[Equipment ID]])</f>
        <v/>
      </c>
      <c r="N286" s="1">
        <f>IF(tblDowntime[[#This Row],[Failure Type]]="Production",tblDowntime[[#This Row],[Downtime Hours]],"")</f>
        <v/>
      </c>
      <c r="O286">
        <f>IF(tblDowntime[[#This Row],[Production Downtime Hours]]="","",tblDowntime[[#This Row],[Equipment ID]])</f>
        <v/>
      </c>
      <c r="P286" s="10" t="n"/>
    </row>
    <row r="287">
      <c r="B287">
        <f t="array" ref="B287">_xlfn.XLOOKUP(C287,INDIRECT("tblEquipment[Equipment ID]"),INDIRECT("tblEquipment[Production Department]"),"")</f>
        <v/>
      </c>
      <c r="D287">
        <f t="array" ref="D287">_xlfn.XLOOKUP(C287,INDIRECT("tblEquipment[Equipment ID]"),INDIRECT("tblEquipment[Equipment Name]"),"")</f>
        <v/>
      </c>
      <c r="F287" s="16" t="n"/>
      <c r="G287" s="16" t="n"/>
      <c r="H287" s="1">
        <f>IF(OR(F287=0,G287=0),"",(G287-F287)*24)</f>
        <v/>
      </c>
      <c r="I287" s="10" t="n"/>
      <c r="J287" s="1">
        <f>IF(OR(tblDowntime[[#This Row],[Failure Type]]="Sawshop",tblDowntime[[#This Row],[Failure Type]]="Electrical",tblDowntime[[#This Row],[Failure Type]]="Mechanical"),tblDowntime[[#This Row],[Downtime Hours]],"")</f>
        <v/>
      </c>
      <c r="K287" s="10" t="n"/>
      <c r="L287" s="10" t="n"/>
      <c r="M287">
        <f>IF(tblDowntime[[#This Row],[Maintenance Downtime Hours]]="","",tblDowntime[[#This Row],[Equipment ID]])</f>
        <v/>
      </c>
      <c r="N287" s="1">
        <f>IF(tblDowntime[[#This Row],[Failure Type]]="Production",tblDowntime[[#This Row],[Downtime Hours]],"")</f>
        <v/>
      </c>
      <c r="O287">
        <f>IF(tblDowntime[[#This Row],[Production Downtime Hours]]="","",tblDowntime[[#This Row],[Equipment ID]])</f>
        <v/>
      </c>
      <c r="P287" s="10" t="n"/>
    </row>
    <row r="288">
      <c r="B288">
        <f t="array" ref="B288">_xlfn.XLOOKUP(C288,INDIRECT("tblEquipment[Equipment ID]"),INDIRECT("tblEquipment[Production Department]"),"")</f>
        <v/>
      </c>
      <c r="D288">
        <f t="array" ref="D288">_xlfn.XLOOKUP(C288,INDIRECT("tblEquipment[Equipment ID]"),INDIRECT("tblEquipment[Equipment Name]"),"")</f>
        <v/>
      </c>
      <c r="F288" s="16" t="n"/>
      <c r="G288" s="16" t="n"/>
      <c r="H288" s="1">
        <f>IF(OR(F288=0,G288=0),"",(G288-F288)*24)</f>
        <v/>
      </c>
      <c r="I288" s="10" t="n"/>
      <c r="J288" s="1">
        <f>IF(OR(tblDowntime[[#This Row],[Failure Type]]="Sawshop",tblDowntime[[#This Row],[Failure Type]]="Electrical",tblDowntime[[#This Row],[Failure Type]]="Mechanical"),tblDowntime[[#This Row],[Downtime Hours]],"")</f>
        <v/>
      </c>
      <c r="K288" s="10" t="n"/>
      <c r="L288" s="10" t="n"/>
      <c r="M288">
        <f>IF(tblDowntime[[#This Row],[Maintenance Downtime Hours]]="","",tblDowntime[[#This Row],[Equipment ID]])</f>
        <v/>
      </c>
      <c r="N288" s="1">
        <f>IF(tblDowntime[[#This Row],[Failure Type]]="Production",tblDowntime[[#This Row],[Downtime Hours]],"")</f>
        <v/>
      </c>
      <c r="O288">
        <f>IF(tblDowntime[[#This Row],[Production Downtime Hours]]="","",tblDowntime[[#This Row],[Equipment ID]])</f>
        <v/>
      </c>
      <c r="P288" s="10" t="n"/>
    </row>
    <row r="289">
      <c r="B289">
        <f t="array" ref="B289">_xlfn.XLOOKUP(C289,INDIRECT("tblEquipment[Equipment ID]"),INDIRECT("tblEquipment[Production Department]"),"")</f>
        <v/>
      </c>
      <c r="D289">
        <f t="array" ref="D289">_xlfn.XLOOKUP(C289,INDIRECT("tblEquipment[Equipment ID]"),INDIRECT("tblEquipment[Equipment Name]"),"")</f>
        <v/>
      </c>
      <c r="F289" s="16" t="n"/>
      <c r="G289" s="16" t="n"/>
      <c r="H289" s="1">
        <f>IF(OR(F289=0,G289=0),"",(G289-F289)*24)</f>
        <v/>
      </c>
      <c r="I289" s="10" t="n"/>
      <c r="J289" s="1">
        <f>IF(OR(tblDowntime[[#This Row],[Failure Type]]="Sawshop",tblDowntime[[#This Row],[Failure Type]]="Electrical",tblDowntime[[#This Row],[Failure Type]]="Mechanical"),tblDowntime[[#This Row],[Downtime Hours]],"")</f>
        <v/>
      </c>
      <c r="K289" s="10" t="n"/>
      <c r="L289" s="10" t="n"/>
      <c r="M289">
        <f>IF(tblDowntime[[#This Row],[Maintenance Downtime Hours]]="","",tblDowntime[[#This Row],[Equipment ID]])</f>
        <v/>
      </c>
      <c r="N289" s="1">
        <f>IF(tblDowntime[[#This Row],[Failure Type]]="Production",tblDowntime[[#This Row],[Downtime Hours]],"")</f>
        <v/>
      </c>
      <c r="O289">
        <f>IF(tblDowntime[[#This Row],[Production Downtime Hours]]="","",tblDowntime[[#This Row],[Equipment ID]])</f>
        <v/>
      </c>
      <c r="P289" s="10" t="n"/>
    </row>
    <row r="290">
      <c r="B290">
        <f t="array" ref="B290">_xlfn.XLOOKUP(C290,INDIRECT("tblEquipment[Equipment ID]"),INDIRECT("tblEquipment[Production Department]"),"")</f>
        <v/>
      </c>
      <c r="D290">
        <f t="array" ref="D290">_xlfn.XLOOKUP(C290,INDIRECT("tblEquipment[Equipment ID]"),INDIRECT("tblEquipment[Equipment Name]"),"")</f>
        <v/>
      </c>
      <c r="F290" s="16" t="n"/>
      <c r="G290" s="16" t="n"/>
      <c r="H290" s="1">
        <f>IF(OR(F290=0,G290=0),"",(G290-F290)*24)</f>
        <v/>
      </c>
      <c r="I290" s="10" t="n"/>
      <c r="J290" s="1">
        <f>IF(OR(tblDowntime[[#This Row],[Failure Type]]="Sawshop",tblDowntime[[#This Row],[Failure Type]]="Electrical",tblDowntime[[#This Row],[Failure Type]]="Mechanical"),tblDowntime[[#This Row],[Downtime Hours]],"")</f>
        <v/>
      </c>
      <c r="K290" s="10" t="n"/>
      <c r="L290" s="10" t="n"/>
      <c r="M290">
        <f>IF(tblDowntime[[#This Row],[Maintenance Downtime Hours]]="","",tblDowntime[[#This Row],[Equipment ID]])</f>
        <v/>
      </c>
      <c r="N290" s="1">
        <f>IF(tblDowntime[[#This Row],[Failure Type]]="Production",tblDowntime[[#This Row],[Downtime Hours]],"")</f>
        <v/>
      </c>
      <c r="O290">
        <f>IF(tblDowntime[[#This Row],[Production Downtime Hours]]="","",tblDowntime[[#This Row],[Equipment ID]])</f>
        <v/>
      </c>
      <c r="P290" s="10" t="n"/>
    </row>
    <row r="291">
      <c r="B291">
        <f t="array" ref="B291">_xlfn.XLOOKUP(C291,INDIRECT("tblEquipment[Equipment ID]"),INDIRECT("tblEquipment[Production Department]"),"")</f>
        <v/>
      </c>
      <c r="D291">
        <f t="array" ref="D291">_xlfn.XLOOKUP(C291,INDIRECT("tblEquipment[Equipment ID]"),INDIRECT("tblEquipment[Equipment Name]"),"")</f>
        <v/>
      </c>
      <c r="F291" s="16" t="n"/>
      <c r="G291" s="16" t="n"/>
      <c r="H291" s="1">
        <f>IF(OR(F291=0,G291=0),"",(G291-F291)*24)</f>
        <v/>
      </c>
      <c r="I291" s="10" t="n"/>
      <c r="J291" s="1">
        <f>IF(OR(tblDowntime[[#This Row],[Failure Type]]="Sawshop",tblDowntime[[#This Row],[Failure Type]]="Electrical",tblDowntime[[#This Row],[Failure Type]]="Mechanical"),tblDowntime[[#This Row],[Downtime Hours]],"")</f>
        <v/>
      </c>
      <c r="K291" s="10" t="n"/>
      <c r="L291" s="10" t="n"/>
      <c r="M291">
        <f>IF(tblDowntime[[#This Row],[Maintenance Downtime Hours]]="","",tblDowntime[[#This Row],[Equipment ID]])</f>
        <v/>
      </c>
      <c r="N291" s="1">
        <f>IF(tblDowntime[[#This Row],[Failure Type]]="Production",tblDowntime[[#This Row],[Downtime Hours]],"")</f>
        <v/>
      </c>
      <c r="O291">
        <f>IF(tblDowntime[[#This Row],[Production Downtime Hours]]="","",tblDowntime[[#This Row],[Equipment ID]])</f>
        <v/>
      </c>
      <c r="P291" s="10" t="n"/>
    </row>
    <row r="292">
      <c r="B292">
        <f t="array" ref="B292">_xlfn.XLOOKUP(C292,INDIRECT("tblEquipment[Equipment ID]"),INDIRECT("tblEquipment[Production Department]"),"")</f>
        <v/>
      </c>
      <c r="D292">
        <f t="array" ref="D292">_xlfn.XLOOKUP(C292,INDIRECT("tblEquipment[Equipment ID]"),INDIRECT("tblEquipment[Equipment Name]"),"")</f>
        <v/>
      </c>
      <c r="F292" s="16" t="n"/>
      <c r="G292" s="16" t="n"/>
      <c r="H292" s="1">
        <f>IF(OR(F292=0,G292=0),"",(G292-F292)*24)</f>
        <v/>
      </c>
      <c r="I292" s="10" t="n"/>
      <c r="J292" s="1">
        <f>IF(OR(tblDowntime[[#This Row],[Failure Type]]="Sawshop",tblDowntime[[#This Row],[Failure Type]]="Electrical",tblDowntime[[#This Row],[Failure Type]]="Mechanical"),tblDowntime[[#This Row],[Downtime Hours]],"")</f>
        <v/>
      </c>
      <c r="K292" s="10" t="n"/>
      <c r="L292" s="10" t="n"/>
      <c r="M292">
        <f>IF(tblDowntime[[#This Row],[Maintenance Downtime Hours]]="","",tblDowntime[[#This Row],[Equipment ID]])</f>
        <v/>
      </c>
      <c r="N292" s="1">
        <f>IF(tblDowntime[[#This Row],[Failure Type]]="Production",tblDowntime[[#This Row],[Downtime Hours]],"")</f>
        <v/>
      </c>
      <c r="O292">
        <f>IF(tblDowntime[[#This Row],[Production Downtime Hours]]="","",tblDowntime[[#This Row],[Equipment ID]])</f>
        <v/>
      </c>
      <c r="P292" s="10" t="n"/>
    </row>
    <row r="293">
      <c r="B293">
        <f t="array" ref="B293">_xlfn.XLOOKUP(C293,INDIRECT("tblEquipment[Equipment ID]"),INDIRECT("tblEquipment[Production Department]"),"")</f>
        <v/>
      </c>
      <c r="D293">
        <f t="array" ref="D293">_xlfn.XLOOKUP(C293,INDIRECT("tblEquipment[Equipment ID]"),INDIRECT("tblEquipment[Equipment Name]"),"")</f>
        <v/>
      </c>
      <c r="F293" s="16" t="n"/>
      <c r="G293" s="16" t="n"/>
      <c r="H293" s="1">
        <f>IF(OR(F293=0,G293=0),"",(G293-F293)*24)</f>
        <v/>
      </c>
      <c r="I293" s="10" t="n"/>
      <c r="J293" s="1">
        <f>IF(OR(tblDowntime[[#This Row],[Failure Type]]="Sawshop",tblDowntime[[#This Row],[Failure Type]]="Electrical",tblDowntime[[#This Row],[Failure Type]]="Mechanical"),tblDowntime[[#This Row],[Downtime Hours]],"")</f>
        <v/>
      </c>
      <c r="K293" s="10" t="n"/>
      <c r="L293" s="10" t="n"/>
      <c r="M293">
        <f>IF(tblDowntime[[#This Row],[Maintenance Downtime Hours]]="","",tblDowntime[[#This Row],[Equipment ID]])</f>
        <v/>
      </c>
      <c r="N293" s="1">
        <f>IF(tblDowntime[[#This Row],[Failure Type]]="Production",tblDowntime[[#This Row],[Downtime Hours]],"")</f>
        <v/>
      </c>
      <c r="O293">
        <f>IF(tblDowntime[[#This Row],[Production Downtime Hours]]="","",tblDowntime[[#This Row],[Equipment ID]])</f>
        <v/>
      </c>
      <c r="P293" s="10" t="n"/>
    </row>
    <row r="294">
      <c r="B294">
        <f t="array" ref="B294">_xlfn.XLOOKUP(C294,INDIRECT("tblEquipment[Equipment ID]"),INDIRECT("tblEquipment[Production Department]"),"")</f>
        <v/>
      </c>
      <c r="D294">
        <f t="array" ref="D294">_xlfn.XLOOKUP(C294,INDIRECT("tblEquipment[Equipment ID]"),INDIRECT("tblEquipment[Equipment Name]"),"")</f>
        <v/>
      </c>
      <c r="F294" s="16" t="n"/>
      <c r="G294" s="16" t="n"/>
      <c r="H294" s="1">
        <f>IF(OR(F294=0,G294=0),"",(G294-F294)*24)</f>
        <v/>
      </c>
      <c r="I294" s="10" t="n"/>
      <c r="J294" s="1">
        <f>IF(OR(tblDowntime[[#This Row],[Failure Type]]="Sawshop",tblDowntime[[#This Row],[Failure Type]]="Electrical",tblDowntime[[#This Row],[Failure Type]]="Mechanical"),tblDowntime[[#This Row],[Downtime Hours]],"")</f>
        <v/>
      </c>
      <c r="K294" s="10" t="n"/>
      <c r="L294" s="10" t="n"/>
      <c r="M294">
        <f>IF(tblDowntime[[#This Row],[Maintenance Downtime Hours]]="","",tblDowntime[[#This Row],[Equipment ID]])</f>
        <v/>
      </c>
      <c r="N294" s="1">
        <f>IF(tblDowntime[[#This Row],[Failure Type]]="Production",tblDowntime[[#This Row],[Downtime Hours]],"")</f>
        <v/>
      </c>
      <c r="O294">
        <f>IF(tblDowntime[[#This Row],[Production Downtime Hours]]="","",tblDowntime[[#This Row],[Equipment ID]])</f>
        <v/>
      </c>
      <c r="P294" s="10" t="n"/>
    </row>
    <row r="295">
      <c r="B295">
        <f t="array" ref="B295">_xlfn.XLOOKUP(C295,INDIRECT("tblEquipment[Equipment ID]"),INDIRECT("tblEquipment[Production Department]"),"")</f>
        <v/>
      </c>
      <c r="D295">
        <f t="array" ref="D295">_xlfn.XLOOKUP(C295,INDIRECT("tblEquipment[Equipment ID]"),INDIRECT("tblEquipment[Equipment Name]"),"")</f>
        <v/>
      </c>
      <c r="F295" s="16" t="n"/>
      <c r="G295" s="16" t="n"/>
      <c r="H295" s="1">
        <f>IF(OR(F295=0,G295=0),"",(G295-F295)*24)</f>
        <v/>
      </c>
      <c r="I295" s="10" t="n"/>
      <c r="J295" s="1">
        <f>IF(OR(tblDowntime[[#This Row],[Failure Type]]="Sawshop",tblDowntime[[#This Row],[Failure Type]]="Electrical",tblDowntime[[#This Row],[Failure Type]]="Mechanical"),tblDowntime[[#This Row],[Downtime Hours]],"")</f>
        <v/>
      </c>
      <c r="K295" s="10" t="n"/>
      <c r="L295" s="10" t="n"/>
      <c r="M295">
        <f>IF(tblDowntime[[#This Row],[Maintenance Downtime Hours]]="","",tblDowntime[[#This Row],[Equipment ID]])</f>
        <v/>
      </c>
      <c r="N295" s="1">
        <f>IF(tblDowntime[[#This Row],[Failure Type]]="Production",tblDowntime[[#This Row],[Downtime Hours]],"")</f>
        <v/>
      </c>
      <c r="O295">
        <f>IF(tblDowntime[[#This Row],[Production Downtime Hours]]="","",tblDowntime[[#This Row],[Equipment ID]])</f>
        <v/>
      </c>
      <c r="P295" s="10" t="n"/>
    </row>
    <row r="296">
      <c r="B296">
        <f t="array" ref="B296">_xlfn.XLOOKUP(C296,INDIRECT("tblEquipment[Equipment ID]"),INDIRECT("tblEquipment[Production Department]"),"")</f>
        <v/>
      </c>
      <c r="D296">
        <f t="array" ref="D296">_xlfn.XLOOKUP(C296,INDIRECT("tblEquipment[Equipment ID]"),INDIRECT("tblEquipment[Equipment Name]"),"")</f>
        <v/>
      </c>
      <c r="F296" s="16" t="n"/>
      <c r="G296" s="16" t="n"/>
      <c r="H296" s="1">
        <f>IF(OR(F296=0,G296=0),"",(G296-F296)*24)</f>
        <v/>
      </c>
      <c r="I296" s="10" t="n"/>
      <c r="J296" s="1">
        <f>IF(OR(tblDowntime[[#This Row],[Failure Type]]="Sawshop",tblDowntime[[#This Row],[Failure Type]]="Electrical",tblDowntime[[#This Row],[Failure Type]]="Mechanical"),tblDowntime[[#This Row],[Downtime Hours]],"")</f>
        <v/>
      </c>
      <c r="K296" s="10" t="n"/>
      <c r="L296" s="10" t="n"/>
      <c r="M296">
        <f>IF(tblDowntime[[#This Row],[Maintenance Downtime Hours]]="","",tblDowntime[[#This Row],[Equipment ID]])</f>
        <v/>
      </c>
      <c r="N296" s="1">
        <f>IF(tblDowntime[[#This Row],[Failure Type]]="Production",tblDowntime[[#This Row],[Downtime Hours]],"")</f>
        <v/>
      </c>
      <c r="O296">
        <f>IF(tblDowntime[[#This Row],[Production Downtime Hours]]="","",tblDowntime[[#This Row],[Equipment ID]])</f>
        <v/>
      </c>
      <c r="P296" s="10" t="n"/>
    </row>
    <row r="297">
      <c r="B297">
        <f t="array" ref="B297">_xlfn.XLOOKUP(C297,INDIRECT("tblEquipment[Equipment ID]"),INDIRECT("tblEquipment[Production Department]"),"")</f>
        <v/>
      </c>
      <c r="D297">
        <f t="array" ref="D297">_xlfn.XLOOKUP(C297,INDIRECT("tblEquipment[Equipment ID]"),INDIRECT("tblEquipment[Equipment Name]"),"")</f>
        <v/>
      </c>
      <c r="F297" s="16" t="n"/>
      <c r="G297" s="16" t="n"/>
      <c r="H297" s="1">
        <f>IF(OR(F297=0,G297=0),"",(G297-F297)*24)</f>
        <v/>
      </c>
      <c r="I297" s="10" t="n"/>
      <c r="J297" s="1">
        <f>IF(OR(tblDowntime[[#This Row],[Failure Type]]="Sawshop",tblDowntime[[#This Row],[Failure Type]]="Electrical",tblDowntime[[#This Row],[Failure Type]]="Mechanical"),tblDowntime[[#This Row],[Downtime Hours]],"")</f>
        <v/>
      </c>
      <c r="K297" s="10" t="n"/>
      <c r="L297" s="10" t="n"/>
      <c r="M297">
        <f>IF(tblDowntime[[#This Row],[Maintenance Downtime Hours]]="","",tblDowntime[[#This Row],[Equipment ID]])</f>
        <v/>
      </c>
      <c r="N297" s="1">
        <f>IF(tblDowntime[[#This Row],[Failure Type]]="Production",tblDowntime[[#This Row],[Downtime Hours]],"")</f>
        <v/>
      </c>
      <c r="O297">
        <f>IF(tblDowntime[[#This Row],[Production Downtime Hours]]="","",tblDowntime[[#This Row],[Equipment ID]])</f>
        <v/>
      </c>
      <c r="P297" s="10" t="n"/>
    </row>
    <row r="298">
      <c r="B298">
        <f t="array" ref="B298">_xlfn.XLOOKUP(C298,INDIRECT("tblEquipment[Equipment ID]"),INDIRECT("tblEquipment[Production Department]"),"")</f>
        <v/>
      </c>
      <c r="D298">
        <f t="array" ref="D298">_xlfn.XLOOKUP(C298,INDIRECT("tblEquipment[Equipment ID]"),INDIRECT("tblEquipment[Equipment Name]"),"")</f>
        <v/>
      </c>
      <c r="F298" s="16" t="n"/>
      <c r="G298" s="16" t="n"/>
      <c r="H298" s="1">
        <f>IF(OR(F298=0,G298=0),"",(G298-F298)*24)</f>
        <v/>
      </c>
      <c r="I298" s="10" t="n"/>
      <c r="J298" s="1">
        <f>IF(OR(tblDowntime[[#This Row],[Failure Type]]="Sawshop",tblDowntime[[#This Row],[Failure Type]]="Electrical",tblDowntime[[#This Row],[Failure Type]]="Mechanical"),tblDowntime[[#This Row],[Downtime Hours]],"")</f>
        <v/>
      </c>
      <c r="K298" s="10" t="n"/>
      <c r="L298" s="10" t="n"/>
      <c r="M298">
        <f>IF(tblDowntime[[#This Row],[Maintenance Downtime Hours]]="","",tblDowntime[[#This Row],[Equipment ID]])</f>
        <v/>
      </c>
      <c r="N298" s="1">
        <f>IF(tblDowntime[[#This Row],[Failure Type]]="Production",tblDowntime[[#This Row],[Downtime Hours]],"")</f>
        <v/>
      </c>
      <c r="O298">
        <f>IF(tblDowntime[[#This Row],[Production Downtime Hours]]="","",tblDowntime[[#This Row],[Equipment ID]])</f>
        <v/>
      </c>
      <c r="P298" s="10" t="n"/>
    </row>
    <row r="299">
      <c r="B299">
        <f t="array" ref="B299">_xlfn.XLOOKUP(C299,INDIRECT("tblEquipment[Equipment ID]"),INDIRECT("tblEquipment[Production Department]"),"")</f>
        <v/>
      </c>
      <c r="D299">
        <f t="array" ref="D299">_xlfn.XLOOKUP(C299,INDIRECT("tblEquipment[Equipment ID]"),INDIRECT("tblEquipment[Equipment Name]"),"")</f>
        <v/>
      </c>
      <c r="F299" s="16" t="n"/>
      <c r="G299" s="16" t="n"/>
      <c r="H299" s="1">
        <f>IF(OR(F299=0,G299=0),"",(G299-F299)*24)</f>
        <v/>
      </c>
      <c r="I299" s="10" t="n"/>
      <c r="J299" s="1">
        <f>IF(OR(tblDowntime[[#This Row],[Failure Type]]="Sawshop",tblDowntime[[#This Row],[Failure Type]]="Electrical",tblDowntime[[#This Row],[Failure Type]]="Mechanical"),tblDowntime[[#This Row],[Downtime Hours]],"")</f>
        <v/>
      </c>
      <c r="K299" s="10" t="n"/>
      <c r="L299" s="10" t="n"/>
      <c r="M299">
        <f>IF(tblDowntime[[#This Row],[Maintenance Downtime Hours]]="","",tblDowntime[[#This Row],[Equipment ID]])</f>
        <v/>
      </c>
      <c r="N299" s="1">
        <f>IF(tblDowntime[[#This Row],[Failure Type]]="Production",tblDowntime[[#This Row],[Downtime Hours]],"")</f>
        <v/>
      </c>
      <c r="O299">
        <f>IF(tblDowntime[[#This Row],[Production Downtime Hours]]="","",tblDowntime[[#This Row],[Equipment ID]])</f>
        <v/>
      </c>
      <c r="P299" s="10" t="n"/>
    </row>
    <row r="300">
      <c r="B300">
        <f t="array" ref="B300">_xlfn.XLOOKUP(C300,INDIRECT("tblEquipment[Equipment ID]"),INDIRECT("tblEquipment[Production Department]"),"")</f>
        <v/>
      </c>
      <c r="D300">
        <f t="array" ref="D300">_xlfn.XLOOKUP(C300,INDIRECT("tblEquipment[Equipment ID]"),INDIRECT("tblEquipment[Equipment Name]"),"")</f>
        <v/>
      </c>
      <c r="F300" s="16" t="n"/>
      <c r="G300" s="16" t="n"/>
      <c r="H300" s="1">
        <f>IF(OR(F300=0,G300=0),"",(G300-F300)*24)</f>
        <v/>
      </c>
      <c r="I300" s="10" t="n"/>
      <c r="J300" s="1">
        <f>IF(OR(tblDowntime[[#This Row],[Failure Type]]="Sawshop",tblDowntime[[#This Row],[Failure Type]]="Electrical",tblDowntime[[#This Row],[Failure Type]]="Mechanical"),tblDowntime[[#This Row],[Downtime Hours]],"")</f>
        <v/>
      </c>
      <c r="K300" s="10" t="n"/>
      <c r="L300" s="10" t="n"/>
      <c r="M300">
        <f>IF(tblDowntime[[#This Row],[Maintenance Downtime Hours]]="","",tblDowntime[[#This Row],[Equipment ID]])</f>
        <v/>
      </c>
      <c r="N300" s="1">
        <f>IF(tblDowntime[[#This Row],[Failure Type]]="Production",tblDowntime[[#This Row],[Downtime Hours]],"")</f>
        <v/>
      </c>
      <c r="O300">
        <f>IF(tblDowntime[[#This Row],[Production Downtime Hours]]="","",tblDowntime[[#This Row],[Equipment ID]])</f>
        <v/>
      </c>
      <c r="P300" s="10" t="n"/>
    </row>
    <row r="301">
      <c r="B301">
        <f t="array" ref="B301">_xlfn.XLOOKUP(C301,INDIRECT("tblEquipment[Equipment ID]"),INDIRECT("tblEquipment[Production Department]"),"")</f>
        <v/>
      </c>
      <c r="D301">
        <f t="array" ref="D301">_xlfn.XLOOKUP(C301,INDIRECT("tblEquipment[Equipment ID]"),INDIRECT("tblEquipment[Equipment Name]"),"")</f>
        <v/>
      </c>
      <c r="F301" s="16" t="n"/>
      <c r="G301" s="16" t="n"/>
      <c r="H301" s="1">
        <f>IF(OR(F301=0,G301=0),"",(G301-F301)*24)</f>
        <v/>
      </c>
      <c r="I301" s="10" t="n"/>
      <c r="J301" s="1">
        <f>IF(OR(tblDowntime[[#This Row],[Failure Type]]="Sawshop",tblDowntime[[#This Row],[Failure Type]]="Electrical",tblDowntime[[#This Row],[Failure Type]]="Mechanical"),tblDowntime[[#This Row],[Downtime Hours]],"")</f>
        <v/>
      </c>
      <c r="K301" s="10" t="n"/>
      <c r="L301" s="10" t="n"/>
      <c r="M301">
        <f>IF(tblDowntime[[#This Row],[Maintenance Downtime Hours]]="","",tblDowntime[[#This Row],[Equipment ID]])</f>
        <v/>
      </c>
      <c r="N301" s="1">
        <f>IF(tblDowntime[[#This Row],[Failure Type]]="Production",tblDowntime[[#This Row],[Downtime Hours]],"")</f>
        <v/>
      </c>
      <c r="O301">
        <f>IF(tblDowntime[[#This Row],[Production Downtime Hours]]="","",tblDowntime[[#This Row],[Equipment ID]])</f>
        <v/>
      </c>
      <c r="P301" s="10" t="n"/>
    </row>
    <row r="302">
      <c r="B302">
        <f t="array" ref="B302">_xlfn.XLOOKUP(C302,INDIRECT("tblEquipment[Equipment ID]"),INDIRECT("tblEquipment[Production Department]"),"")</f>
        <v/>
      </c>
      <c r="D302">
        <f t="array" ref="D302">_xlfn.XLOOKUP(C302,INDIRECT("tblEquipment[Equipment ID]"),INDIRECT("tblEquipment[Equipment Name]"),"")</f>
        <v/>
      </c>
      <c r="F302" s="16" t="n"/>
      <c r="G302" s="16" t="n"/>
      <c r="H302" s="1">
        <f>IF(OR(F302=0,G302=0),"",(G302-F302)*24)</f>
        <v/>
      </c>
      <c r="I302" s="10" t="n"/>
      <c r="J302" s="1">
        <f>IF(OR(tblDowntime[[#This Row],[Failure Type]]="Sawshop",tblDowntime[[#This Row],[Failure Type]]="Electrical",tblDowntime[[#This Row],[Failure Type]]="Mechanical"),tblDowntime[[#This Row],[Downtime Hours]],"")</f>
        <v/>
      </c>
      <c r="K302" s="10" t="n"/>
      <c r="L302" s="10" t="n"/>
      <c r="M302">
        <f>IF(tblDowntime[[#This Row],[Maintenance Downtime Hours]]="","",tblDowntime[[#This Row],[Equipment ID]])</f>
        <v/>
      </c>
      <c r="N302" s="1">
        <f>IF(tblDowntime[[#This Row],[Failure Type]]="Production",tblDowntime[[#This Row],[Downtime Hours]],"")</f>
        <v/>
      </c>
      <c r="O302">
        <f>IF(tblDowntime[[#This Row],[Production Downtime Hours]]="","",tblDowntime[[#This Row],[Equipment ID]])</f>
        <v/>
      </c>
      <c r="P302" s="10" t="n"/>
    </row>
    <row r="303">
      <c r="B303">
        <f t="array" ref="B303">_xlfn.XLOOKUP(C303,INDIRECT("tblEquipment[Equipment ID]"),INDIRECT("tblEquipment[Production Department]"),"")</f>
        <v/>
      </c>
      <c r="D303">
        <f t="array" ref="D303">_xlfn.XLOOKUP(C303,INDIRECT("tblEquipment[Equipment ID]"),INDIRECT("tblEquipment[Equipment Name]"),"")</f>
        <v/>
      </c>
      <c r="F303" s="16" t="n"/>
      <c r="G303" s="16" t="n"/>
      <c r="H303" s="1">
        <f>IF(OR(F303=0,G303=0),"",(G303-F303)*24)</f>
        <v/>
      </c>
      <c r="I303" s="10" t="n"/>
      <c r="J303" s="1">
        <f>IF(OR(tblDowntime[[#This Row],[Failure Type]]="Sawshop",tblDowntime[[#This Row],[Failure Type]]="Electrical",tblDowntime[[#This Row],[Failure Type]]="Mechanical"),tblDowntime[[#This Row],[Downtime Hours]],"")</f>
        <v/>
      </c>
      <c r="K303" s="10" t="n"/>
      <c r="L303" s="10" t="n"/>
      <c r="M303">
        <f>IF(tblDowntime[[#This Row],[Maintenance Downtime Hours]]="","",tblDowntime[[#This Row],[Equipment ID]])</f>
        <v/>
      </c>
      <c r="N303" s="1">
        <f>IF(tblDowntime[[#This Row],[Failure Type]]="Production",tblDowntime[[#This Row],[Downtime Hours]],"")</f>
        <v/>
      </c>
      <c r="O303">
        <f>IF(tblDowntime[[#This Row],[Production Downtime Hours]]="","",tblDowntime[[#This Row],[Equipment ID]])</f>
        <v/>
      </c>
      <c r="P303" s="10" t="n"/>
    </row>
    <row r="304">
      <c r="B304">
        <f t="array" ref="B304">_xlfn.XLOOKUP(C304,INDIRECT("tblEquipment[Equipment ID]"),INDIRECT("tblEquipment[Production Department]"),"")</f>
        <v/>
      </c>
      <c r="D304">
        <f t="array" ref="D304">_xlfn.XLOOKUP(C304,INDIRECT("tblEquipment[Equipment ID]"),INDIRECT("tblEquipment[Equipment Name]"),"")</f>
        <v/>
      </c>
      <c r="F304" s="16" t="n"/>
      <c r="G304" s="16" t="n"/>
      <c r="H304" s="1">
        <f>IF(OR(F304=0,G304=0),"",(G304-F304)*24)</f>
        <v/>
      </c>
      <c r="I304" s="10" t="n"/>
      <c r="J304" s="1">
        <f>IF(OR(tblDowntime[[#This Row],[Failure Type]]="Sawshop",tblDowntime[[#This Row],[Failure Type]]="Electrical",tblDowntime[[#This Row],[Failure Type]]="Mechanical"),tblDowntime[[#This Row],[Downtime Hours]],"")</f>
        <v/>
      </c>
      <c r="K304" s="10" t="n"/>
      <c r="L304" s="10" t="n"/>
      <c r="M304">
        <f>IF(tblDowntime[[#This Row],[Maintenance Downtime Hours]]="","",tblDowntime[[#This Row],[Equipment ID]])</f>
        <v/>
      </c>
      <c r="N304" s="1">
        <f>IF(tblDowntime[[#This Row],[Failure Type]]="Production",tblDowntime[[#This Row],[Downtime Hours]],"")</f>
        <v/>
      </c>
      <c r="O304">
        <f>IF(tblDowntime[[#This Row],[Production Downtime Hours]]="","",tblDowntime[[#This Row],[Equipment ID]])</f>
        <v/>
      </c>
      <c r="P304" s="10" t="n"/>
    </row>
    <row r="305">
      <c r="B305">
        <f t="array" ref="B305">_xlfn.XLOOKUP(C305,INDIRECT("tblEquipment[Equipment ID]"),INDIRECT("tblEquipment[Production Department]"),"")</f>
        <v/>
      </c>
      <c r="D305">
        <f t="array" ref="D305">_xlfn.XLOOKUP(C305,INDIRECT("tblEquipment[Equipment ID]"),INDIRECT("tblEquipment[Equipment Name]"),"")</f>
        <v/>
      </c>
      <c r="F305" s="16" t="n"/>
      <c r="G305" s="16" t="n"/>
      <c r="H305" s="1">
        <f>IF(OR(F305=0,G305=0),"",(G305-F305)*24)</f>
        <v/>
      </c>
      <c r="I305" s="10" t="n"/>
      <c r="J305" s="1">
        <f>IF(OR(tblDowntime[[#This Row],[Failure Type]]="Sawshop",tblDowntime[[#This Row],[Failure Type]]="Electrical",tblDowntime[[#This Row],[Failure Type]]="Mechanical"),tblDowntime[[#This Row],[Downtime Hours]],"")</f>
        <v/>
      </c>
      <c r="K305" s="10" t="n"/>
      <c r="L305" s="10" t="n"/>
      <c r="M305">
        <f>IF(tblDowntime[[#This Row],[Maintenance Downtime Hours]]="","",tblDowntime[[#This Row],[Equipment ID]])</f>
        <v/>
      </c>
      <c r="N305" s="1">
        <f>IF(tblDowntime[[#This Row],[Failure Type]]="Production",tblDowntime[[#This Row],[Downtime Hours]],"")</f>
        <v/>
      </c>
      <c r="O305">
        <f>IF(tblDowntime[[#This Row],[Production Downtime Hours]]="","",tblDowntime[[#This Row],[Equipment ID]])</f>
        <v/>
      </c>
      <c r="P305" s="10" t="n"/>
    </row>
    <row r="306">
      <c r="B306">
        <f t="array" ref="B306">_xlfn.XLOOKUP(C306,INDIRECT("tblEquipment[Equipment ID]"),INDIRECT("tblEquipment[Production Department]"),"")</f>
        <v/>
      </c>
      <c r="D306">
        <f t="array" ref="D306">_xlfn.XLOOKUP(C306,INDIRECT("tblEquipment[Equipment ID]"),INDIRECT("tblEquipment[Equipment Name]"),"")</f>
        <v/>
      </c>
      <c r="F306" s="16" t="n"/>
      <c r="G306" s="16" t="n"/>
      <c r="H306" s="1">
        <f>IF(OR(F306=0,G306=0),"",(G306-F306)*24)</f>
        <v/>
      </c>
      <c r="I306" s="10" t="n"/>
      <c r="J306" s="1">
        <f>IF(OR(tblDowntime[[#This Row],[Failure Type]]="Sawshop",tblDowntime[[#This Row],[Failure Type]]="Electrical",tblDowntime[[#This Row],[Failure Type]]="Mechanical"),tblDowntime[[#This Row],[Downtime Hours]],"")</f>
        <v/>
      </c>
      <c r="K306" s="10" t="n"/>
      <c r="L306" s="10" t="n"/>
      <c r="M306">
        <f>IF(tblDowntime[[#This Row],[Maintenance Downtime Hours]]="","",tblDowntime[[#This Row],[Equipment ID]])</f>
        <v/>
      </c>
      <c r="N306" s="1">
        <f>IF(tblDowntime[[#This Row],[Failure Type]]="Production",tblDowntime[[#This Row],[Downtime Hours]],"")</f>
        <v/>
      </c>
      <c r="O306">
        <f>IF(tblDowntime[[#This Row],[Production Downtime Hours]]="","",tblDowntime[[#This Row],[Equipment ID]])</f>
        <v/>
      </c>
      <c r="P306" s="10" t="n"/>
    </row>
    <row r="307">
      <c r="B307">
        <f t="array" ref="B307">_xlfn.XLOOKUP(C307,INDIRECT("tblEquipment[Equipment ID]"),INDIRECT("tblEquipment[Production Department]"),"")</f>
        <v/>
      </c>
      <c r="D307">
        <f t="array" ref="D307">_xlfn.XLOOKUP(C307,INDIRECT("tblEquipment[Equipment ID]"),INDIRECT("tblEquipment[Equipment Name]"),"")</f>
        <v/>
      </c>
      <c r="F307" s="16" t="n"/>
      <c r="G307" s="16" t="n"/>
      <c r="H307" s="1">
        <f>IF(OR(F307=0,G307=0),"",(G307-F307)*24)</f>
        <v/>
      </c>
      <c r="I307" s="10" t="n"/>
      <c r="J307" s="1">
        <f>IF(OR(tblDowntime[[#This Row],[Failure Type]]="Sawshop",tblDowntime[[#This Row],[Failure Type]]="Electrical",tblDowntime[[#This Row],[Failure Type]]="Mechanical"),tblDowntime[[#This Row],[Downtime Hours]],"")</f>
        <v/>
      </c>
      <c r="K307" s="10" t="n"/>
      <c r="L307" s="10" t="n"/>
      <c r="M307">
        <f>IF(tblDowntime[[#This Row],[Maintenance Downtime Hours]]="","",tblDowntime[[#This Row],[Equipment ID]])</f>
        <v/>
      </c>
      <c r="N307" s="1">
        <f>IF(tblDowntime[[#This Row],[Failure Type]]="Production",tblDowntime[[#This Row],[Downtime Hours]],"")</f>
        <v/>
      </c>
      <c r="O307">
        <f>IF(tblDowntime[[#This Row],[Production Downtime Hours]]="","",tblDowntime[[#This Row],[Equipment ID]])</f>
        <v/>
      </c>
      <c r="P307" s="10" t="n"/>
    </row>
    <row r="308">
      <c r="B308">
        <f t="array" ref="B308">_xlfn.XLOOKUP(C308,INDIRECT("tblEquipment[Equipment ID]"),INDIRECT("tblEquipment[Production Department]"),"")</f>
        <v/>
      </c>
      <c r="D308">
        <f t="array" ref="D308">_xlfn.XLOOKUP(C308,INDIRECT("tblEquipment[Equipment ID]"),INDIRECT("tblEquipment[Equipment Name]"),"")</f>
        <v/>
      </c>
      <c r="F308" s="16" t="n"/>
      <c r="G308" s="16" t="n"/>
      <c r="H308" s="1">
        <f>IF(OR(F308=0,G308=0),"",(G308-F308)*24)</f>
        <v/>
      </c>
      <c r="I308" s="10" t="n"/>
      <c r="J308" s="1">
        <f>IF(OR(tblDowntime[[#This Row],[Failure Type]]="Sawshop",tblDowntime[[#This Row],[Failure Type]]="Electrical",tblDowntime[[#This Row],[Failure Type]]="Mechanical"),tblDowntime[[#This Row],[Downtime Hours]],"")</f>
        <v/>
      </c>
      <c r="K308" s="10" t="n"/>
      <c r="L308" s="10" t="n"/>
      <c r="M308">
        <f>IF(tblDowntime[[#This Row],[Maintenance Downtime Hours]]="","",tblDowntime[[#This Row],[Equipment ID]])</f>
        <v/>
      </c>
      <c r="N308" s="1">
        <f>IF(tblDowntime[[#This Row],[Failure Type]]="Production",tblDowntime[[#This Row],[Downtime Hours]],"")</f>
        <v/>
      </c>
      <c r="O308">
        <f>IF(tblDowntime[[#This Row],[Production Downtime Hours]]="","",tblDowntime[[#This Row],[Equipment ID]])</f>
        <v/>
      </c>
      <c r="P308" s="10" t="n"/>
    </row>
    <row r="309">
      <c r="B309">
        <f t="array" ref="B309">_xlfn.XLOOKUP(C309,INDIRECT("tblEquipment[Equipment ID]"),INDIRECT("tblEquipment[Production Department]"),"")</f>
        <v/>
      </c>
      <c r="D309">
        <f t="array" ref="D309">_xlfn.XLOOKUP(C309,INDIRECT("tblEquipment[Equipment ID]"),INDIRECT("tblEquipment[Equipment Name]"),"")</f>
        <v/>
      </c>
      <c r="F309" s="16" t="n"/>
      <c r="G309" s="16" t="n"/>
      <c r="H309" s="1">
        <f>IF(OR(F309=0,G309=0),"",(G309-F309)*24)</f>
        <v/>
      </c>
      <c r="I309" s="10" t="n"/>
      <c r="J309" s="1">
        <f>IF(OR(tblDowntime[[#This Row],[Failure Type]]="Sawshop",tblDowntime[[#This Row],[Failure Type]]="Electrical",tblDowntime[[#This Row],[Failure Type]]="Mechanical"),tblDowntime[[#This Row],[Downtime Hours]],"")</f>
        <v/>
      </c>
      <c r="K309" s="10" t="n"/>
      <c r="L309" s="10" t="n"/>
      <c r="M309">
        <f>IF(tblDowntime[[#This Row],[Maintenance Downtime Hours]]="","",tblDowntime[[#This Row],[Equipment ID]])</f>
        <v/>
      </c>
      <c r="N309" s="1">
        <f>IF(tblDowntime[[#This Row],[Failure Type]]="Production",tblDowntime[[#This Row],[Downtime Hours]],"")</f>
        <v/>
      </c>
      <c r="O309">
        <f>IF(tblDowntime[[#This Row],[Production Downtime Hours]]="","",tblDowntime[[#This Row],[Equipment ID]])</f>
        <v/>
      </c>
      <c r="P309" s="10" t="n"/>
    </row>
    <row r="310">
      <c r="B310">
        <f t="array" ref="B310">_xlfn.XLOOKUP(C310,INDIRECT("tblEquipment[Equipment ID]"),INDIRECT("tblEquipment[Production Department]"),"")</f>
        <v/>
      </c>
      <c r="D310">
        <f t="array" ref="D310">_xlfn.XLOOKUP(C310,INDIRECT("tblEquipment[Equipment ID]"),INDIRECT("tblEquipment[Equipment Name]"),"")</f>
        <v/>
      </c>
      <c r="F310" s="16" t="n"/>
      <c r="G310" s="16" t="n"/>
      <c r="H310" s="1">
        <f>IF(OR(F310=0,G310=0),"",(G310-F310)*24)</f>
        <v/>
      </c>
      <c r="I310" s="10" t="n"/>
      <c r="J310" s="1">
        <f>IF(OR(tblDowntime[[#This Row],[Failure Type]]="Sawshop",tblDowntime[[#This Row],[Failure Type]]="Electrical",tblDowntime[[#This Row],[Failure Type]]="Mechanical"),tblDowntime[[#This Row],[Downtime Hours]],"")</f>
        <v/>
      </c>
      <c r="K310" s="10" t="n"/>
      <c r="L310" s="10" t="n"/>
      <c r="M310">
        <f>IF(tblDowntime[[#This Row],[Maintenance Downtime Hours]]="","",tblDowntime[[#This Row],[Equipment ID]])</f>
        <v/>
      </c>
      <c r="N310" s="1">
        <f>IF(tblDowntime[[#This Row],[Failure Type]]="Production",tblDowntime[[#This Row],[Downtime Hours]],"")</f>
        <v/>
      </c>
      <c r="O310">
        <f>IF(tblDowntime[[#This Row],[Production Downtime Hours]]="","",tblDowntime[[#This Row],[Equipment ID]])</f>
        <v/>
      </c>
      <c r="P310" s="10" t="n"/>
    </row>
    <row r="311">
      <c r="B311">
        <f t="array" ref="B311">_xlfn.XLOOKUP(C311,INDIRECT("tblEquipment[Equipment ID]"),INDIRECT("tblEquipment[Production Department]"),"")</f>
        <v/>
      </c>
      <c r="D311">
        <f t="array" ref="D311">_xlfn.XLOOKUP(C311,INDIRECT("tblEquipment[Equipment ID]"),INDIRECT("tblEquipment[Equipment Name]"),"")</f>
        <v/>
      </c>
      <c r="F311" s="16" t="n"/>
      <c r="G311" s="16" t="n"/>
      <c r="H311" s="1">
        <f>IF(OR(F311=0,G311=0),"",(G311-F311)*24)</f>
        <v/>
      </c>
      <c r="I311" s="10" t="n"/>
      <c r="J311" s="1">
        <f>IF(OR(tblDowntime[[#This Row],[Failure Type]]="Sawshop",tblDowntime[[#This Row],[Failure Type]]="Electrical",tblDowntime[[#This Row],[Failure Type]]="Mechanical"),tblDowntime[[#This Row],[Downtime Hours]],"")</f>
        <v/>
      </c>
      <c r="K311" s="10" t="n"/>
      <c r="L311" s="10" t="n"/>
      <c r="M311">
        <f>IF(tblDowntime[[#This Row],[Maintenance Downtime Hours]]="","",tblDowntime[[#This Row],[Equipment ID]])</f>
        <v/>
      </c>
      <c r="N311" s="1">
        <f>IF(tblDowntime[[#This Row],[Failure Type]]="Production",tblDowntime[[#This Row],[Downtime Hours]],"")</f>
        <v/>
      </c>
      <c r="O311">
        <f>IF(tblDowntime[[#This Row],[Production Downtime Hours]]="","",tblDowntime[[#This Row],[Equipment ID]])</f>
        <v/>
      </c>
      <c r="P311" s="10" t="n"/>
    </row>
    <row r="312">
      <c r="B312">
        <f t="array" ref="B312">_xlfn.XLOOKUP(C312,INDIRECT("tblEquipment[Equipment ID]"),INDIRECT("tblEquipment[Production Department]"),"")</f>
        <v/>
      </c>
      <c r="D312">
        <f t="array" ref="D312">_xlfn.XLOOKUP(C312,INDIRECT("tblEquipment[Equipment ID]"),INDIRECT("tblEquipment[Equipment Name]"),"")</f>
        <v/>
      </c>
      <c r="F312" s="16" t="n"/>
      <c r="G312" s="16" t="n"/>
      <c r="H312" s="1">
        <f>IF(OR(F312=0,G312=0),"",(G312-F312)*24)</f>
        <v/>
      </c>
      <c r="I312" s="10" t="n"/>
      <c r="J312" s="1">
        <f>IF(OR(tblDowntime[[#This Row],[Failure Type]]="Sawshop",tblDowntime[[#This Row],[Failure Type]]="Electrical",tblDowntime[[#This Row],[Failure Type]]="Mechanical"),tblDowntime[[#This Row],[Downtime Hours]],"")</f>
        <v/>
      </c>
      <c r="K312" s="10" t="n"/>
      <c r="L312" s="10" t="n"/>
      <c r="M312">
        <f>IF(tblDowntime[[#This Row],[Maintenance Downtime Hours]]="","",tblDowntime[[#This Row],[Equipment ID]])</f>
        <v/>
      </c>
      <c r="N312" s="1">
        <f>IF(tblDowntime[[#This Row],[Failure Type]]="Production",tblDowntime[[#This Row],[Downtime Hours]],"")</f>
        <v/>
      </c>
      <c r="O312">
        <f>IF(tblDowntime[[#This Row],[Production Downtime Hours]]="","",tblDowntime[[#This Row],[Equipment ID]])</f>
        <v/>
      </c>
      <c r="P312" s="10" t="n"/>
    </row>
    <row r="313">
      <c r="B313">
        <f t="array" ref="B313">_xlfn.XLOOKUP(C313,INDIRECT("tblEquipment[Equipment ID]"),INDIRECT("tblEquipment[Production Department]"),"")</f>
        <v/>
      </c>
      <c r="D313">
        <f t="array" ref="D313">_xlfn.XLOOKUP(C313,INDIRECT("tblEquipment[Equipment ID]"),INDIRECT("tblEquipment[Equipment Name]"),"")</f>
        <v/>
      </c>
      <c r="F313" s="16" t="n"/>
      <c r="G313" s="16" t="n"/>
      <c r="H313" s="1">
        <f>IF(OR(F313=0,G313=0),"",(G313-F313)*24)</f>
        <v/>
      </c>
      <c r="I313" s="10" t="n"/>
      <c r="J313" s="1">
        <f>IF(OR(tblDowntime[[#This Row],[Failure Type]]="Sawshop",tblDowntime[[#This Row],[Failure Type]]="Electrical",tblDowntime[[#This Row],[Failure Type]]="Mechanical"),tblDowntime[[#This Row],[Downtime Hours]],"")</f>
        <v/>
      </c>
      <c r="K313" s="10" t="n"/>
      <c r="L313" s="10" t="n"/>
      <c r="M313">
        <f>IF(tblDowntime[[#This Row],[Maintenance Downtime Hours]]="","",tblDowntime[[#This Row],[Equipment ID]])</f>
        <v/>
      </c>
      <c r="N313" s="1">
        <f>IF(tblDowntime[[#This Row],[Failure Type]]="Production",tblDowntime[[#This Row],[Downtime Hours]],"")</f>
        <v/>
      </c>
      <c r="O313">
        <f>IF(tblDowntime[[#This Row],[Production Downtime Hours]]="","",tblDowntime[[#This Row],[Equipment ID]])</f>
        <v/>
      </c>
      <c r="P313" s="10" t="n"/>
    </row>
    <row r="314">
      <c r="B314">
        <f t="array" ref="B314">_xlfn.XLOOKUP(C314,INDIRECT("tblEquipment[Equipment ID]"),INDIRECT("tblEquipment[Production Department]"),"")</f>
        <v/>
      </c>
      <c r="D314">
        <f t="array" ref="D314">_xlfn.XLOOKUP(C314,INDIRECT("tblEquipment[Equipment ID]"),INDIRECT("tblEquipment[Equipment Name]"),"")</f>
        <v/>
      </c>
      <c r="F314" s="16" t="n"/>
      <c r="G314" s="16" t="n"/>
      <c r="H314" s="1">
        <f>IF(OR(F314=0,G314=0),"",(G314-F314)*24)</f>
        <v/>
      </c>
      <c r="I314" s="10" t="n"/>
      <c r="J314" s="1">
        <f>IF(OR(tblDowntime[[#This Row],[Failure Type]]="Sawshop",tblDowntime[[#This Row],[Failure Type]]="Electrical",tblDowntime[[#This Row],[Failure Type]]="Mechanical"),tblDowntime[[#This Row],[Downtime Hours]],"")</f>
        <v/>
      </c>
      <c r="K314" s="10" t="n"/>
      <c r="L314" s="10" t="n"/>
      <c r="M314">
        <f>IF(tblDowntime[[#This Row],[Maintenance Downtime Hours]]="","",tblDowntime[[#This Row],[Equipment ID]])</f>
        <v/>
      </c>
      <c r="N314" s="1">
        <f>IF(tblDowntime[[#This Row],[Failure Type]]="Production",tblDowntime[[#This Row],[Downtime Hours]],"")</f>
        <v/>
      </c>
      <c r="O314">
        <f>IF(tblDowntime[[#This Row],[Production Downtime Hours]]="","",tblDowntime[[#This Row],[Equipment ID]])</f>
        <v/>
      </c>
      <c r="P314" s="10" t="n"/>
    </row>
    <row r="315">
      <c r="B315">
        <f t="array" ref="B315">_xlfn.XLOOKUP(C315,INDIRECT("tblEquipment[Equipment ID]"),INDIRECT("tblEquipment[Production Department]"),"")</f>
        <v/>
      </c>
      <c r="D315">
        <f t="array" ref="D315">_xlfn.XLOOKUP(C315,INDIRECT("tblEquipment[Equipment ID]"),INDIRECT("tblEquipment[Equipment Name]"),"")</f>
        <v/>
      </c>
      <c r="F315" s="16" t="n"/>
      <c r="G315" s="16" t="n"/>
      <c r="H315" s="1">
        <f>IF(OR(F315=0,G315=0),"",(G315-F315)*24)</f>
        <v/>
      </c>
      <c r="I315" s="10" t="n"/>
      <c r="J315" s="1">
        <f>IF(OR(tblDowntime[[#This Row],[Failure Type]]="Sawshop",tblDowntime[[#This Row],[Failure Type]]="Electrical",tblDowntime[[#This Row],[Failure Type]]="Mechanical"),tblDowntime[[#This Row],[Downtime Hours]],"")</f>
        <v/>
      </c>
      <c r="K315" s="10" t="n"/>
      <c r="L315" s="10" t="n"/>
      <c r="M315">
        <f>IF(tblDowntime[[#This Row],[Maintenance Downtime Hours]]="","",tblDowntime[[#This Row],[Equipment ID]])</f>
        <v/>
      </c>
      <c r="N315" s="1">
        <f>IF(tblDowntime[[#This Row],[Failure Type]]="Production",tblDowntime[[#This Row],[Downtime Hours]],"")</f>
        <v/>
      </c>
      <c r="O315">
        <f>IF(tblDowntime[[#This Row],[Production Downtime Hours]]="","",tblDowntime[[#This Row],[Equipment ID]])</f>
        <v/>
      </c>
      <c r="P315" s="10" t="n"/>
    </row>
    <row r="316">
      <c r="B316">
        <f t="array" ref="B316">_xlfn.XLOOKUP(C316,INDIRECT("tblEquipment[Equipment ID]"),INDIRECT("tblEquipment[Production Department]"),"")</f>
        <v/>
      </c>
      <c r="D316">
        <f t="array" ref="D316">_xlfn.XLOOKUP(C316,INDIRECT("tblEquipment[Equipment ID]"),INDIRECT("tblEquipment[Equipment Name]"),"")</f>
        <v/>
      </c>
      <c r="F316" s="16" t="n"/>
      <c r="G316" s="16" t="n"/>
      <c r="H316" s="1">
        <f>IF(OR(F316=0,G316=0),"",(G316-F316)*24)</f>
        <v/>
      </c>
      <c r="I316" s="10" t="n"/>
      <c r="J316" s="1">
        <f>IF(OR(tblDowntime[[#This Row],[Failure Type]]="Sawshop",tblDowntime[[#This Row],[Failure Type]]="Electrical",tblDowntime[[#This Row],[Failure Type]]="Mechanical"),tblDowntime[[#This Row],[Downtime Hours]],"")</f>
        <v/>
      </c>
      <c r="K316" s="10" t="n"/>
      <c r="L316" s="10" t="n"/>
      <c r="M316">
        <f>IF(tblDowntime[[#This Row],[Maintenance Downtime Hours]]="","",tblDowntime[[#This Row],[Equipment ID]])</f>
        <v/>
      </c>
      <c r="N316" s="1">
        <f>IF(tblDowntime[[#This Row],[Failure Type]]="Production",tblDowntime[[#This Row],[Downtime Hours]],"")</f>
        <v/>
      </c>
      <c r="O316">
        <f>IF(tblDowntime[[#This Row],[Production Downtime Hours]]="","",tblDowntime[[#This Row],[Equipment ID]])</f>
        <v/>
      </c>
      <c r="P316" s="10" t="n"/>
    </row>
    <row r="317">
      <c r="B317">
        <f t="array" ref="B317">_xlfn.XLOOKUP(C317,INDIRECT("tblEquipment[Equipment ID]"),INDIRECT("tblEquipment[Production Department]"),"")</f>
        <v/>
      </c>
      <c r="D317">
        <f t="array" ref="D317">_xlfn.XLOOKUP(C317,INDIRECT("tblEquipment[Equipment ID]"),INDIRECT("tblEquipment[Equipment Name]"),"")</f>
        <v/>
      </c>
      <c r="F317" s="16" t="n"/>
      <c r="G317" s="16" t="n"/>
      <c r="H317" s="1">
        <f>IF(OR(F317=0,G317=0),"",(G317-F317)*24)</f>
        <v/>
      </c>
      <c r="I317" s="10" t="n"/>
      <c r="J317" s="1">
        <f>IF(OR(tblDowntime[[#This Row],[Failure Type]]="Sawshop",tblDowntime[[#This Row],[Failure Type]]="Electrical",tblDowntime[[#This Row],[Failure Type]]="Mechanical"),tblDowntime[[#This Row],[Downtime Hours]],"")</f>
        <v/>
      </c>
      <c r="K317" s="10" t="n"/>
      <c r="L317" s="10" t="n"/>
      <c r="M317">
        <f>IF(tblDowntime[[#This Row],[Maintenance Downtime Hours]]="","",tblDowntime[[#This Row],[Equipment ID]])</f>
        <v/>
      </c>
      <c r="N317" s="1">
        <f>IF(tblDowntime[[#This Row],[Failure Type]]="Production",tblDowntime[[#This Row],[Downtime Hours]],"")</f>
        <v/>
      </c>
      <c r="O317">
        <f>IF(tblDowntime[[#This Row],[Production Downtime Hours]]="","",tblDowntime[[#This Row],[Equipment ID]])</f>
        <v/>
      </c>
      <c r="P317" s="10" t="n"/>
    </row>
    <row r="318">
      <c r="B318">
        <f t="array" ref="B318">_xlfn.XLOOKUP(C318,INDIRECT("tblEquipment[Equipment ID]"),INDIRECT("tblEquipment[Production Department]"),"")</f>
        <v/>
      </c>
      <c r="D318">
        <f t="array" ref="D318">_xlfn.XLOOKUP(C318,INDIRECT("tblEquipment[Equipment ID]"),INDIRECT("tblEquipment[Equipment Name]"),"")</f>
        <v/>
      </c>
      <c r="F318" s="16" t="n"/>
      <c r="G318" s="16" t="n"/>
      <c r="H318" s="1">
        <f>IF(OR(F318=0,G318=0),"",(G318-F318)*24)</f>
        <v/>
      </c>
      <c r="I318" s="10" t="n"/>
      <c r="J318" s="1">
        <f>IF(OR(tblDowntime[[#This Row],[Failure Type]]="Sawshop",tblDowntime[[#This Row],[Failure Type]]="Electrical",tblDowntime[[#This Row],[Failure Type]]="Mechanical"),tblDowntime[[#This Row],[Downtime Hours]],"")</f>
        <v/>
      </c>
      <c r="K318" s="10" t="n"/>
      <c r="L318" s="10" t="n"/>
      <c r="M318">
        <f>IF(tblDowntime[[#This Row],[Maintenance Downtime Hours]]="","",tblDowntime[[#This Row],[Equipment ID]])</f>
        <v/>
      </c>
      <c r="N318" s="1">
        <f>IF(tblDowntime[[#This Row],[Failure Type]]="Production",tblDowntime[[#This Row],[Downtime Hours]],"")</f>
        <v/>
      </c>
      <c r="O318">
        <f>IF(tblDowntime[[#This Row],[Production Downtime Hours]]="","",tblDowntime[[#This Row],[Equipment ID]])</f>
        <v/>
      </c>
      <c r="P318" s="10" t="n"/>
    </row>
    <row r="319">
      <c r="B319">
        <f t="array" ref="B319">_xlfn.XLOOKUP(C319,INDIRECT("tblEquipment[Equipment ID]"),INDIRECT("tblEquipment[Production Department]"),"")</f>
        <v/>
      </c>
      <c r="D319">
        <f t="array" ref="D319">_xlfn.XLOOKUP(C319,INDIRECT("tblEquipment[Equipment ID]"),INDIRECT("tblEquipment[Equipment Name]"),"")</f>
        <v/>
      </c>
      <c r="F319" s="16" t="n"/>
      <c r="G319" s="16" t="n"/>
      <c r="H319" s="1">
        <f>IF(OR(F319=0,G319=0),"",(G319-F319)*24)</f>
        <v/>
      </c>
      <c r="I319" s="10" t="n"/>
      <c r="J319" s="1">
        <f>IF(OR(tblDowntime[[#This Row],[Failure Type]]="Sawshop",tblDowntime[[#This Row],[Failure Type]]="Electrical",tblDowntime[[#This Row],[Failure Type]]="Mechanical"),tblDowntime[[#This Row],[Downtime Hours]],"")</f>
        <v/>
      </c>
      <c r="K319" s="10" t="n"/>
      <c r="L319" s="10" t="n"/>
      <c r="M319">
        <f>IF(tblDowntime[[#This Row],[Maintenance Downtime Hours]]="","",tblDowntime[[#This Row],[Equipment ID]])</f>
        <v/>
      </c>
      <c r="N319" s="1">
        <f>IF(tblDowntime[[#This Row],[Failure Type]]="Production",tblDowntime[[#This Row],[Downtime Hours]],"")</f>
        <v/>
      </c>
      <c r="O319">
        <f>IF(tblDowntime[[#This Row],[Production Downtime Hours]]="","",tblDowntime[[#This Row],[Equipment ID]])</f>
        <v/>
      </c>
      <c r="P319" s="10" t="n"/>
    </row>
    <row r="320">
      <c r="B320">
        <f t="array" ref="B320">_xlfn.XLOOKUP(C320,INDIRECT("tblEquipment[Equipment ID]"),INDIRECT("tblEquipment[Production Department]"),"")</f>
        <v/>
      </c>
      <c r="D320">
        <f t="array" ref="D320">_xlfn.XLOOKUP(C320,INDIRECT("tblEquipment[Equipment ID]"),INDIRECT("tblEquipment[Equipment Name]"),"")</f>
        <v/>
      </c>
      <c r="F320" s="16" t="n"/>
      <c r="G320" s="16" t="n"/>
      <c r="H320" s="1">
        <f>IF(OR(F320=0,G320=0),"",(G320-F320)*24)</f>
        <v/>
      </c>
      <c r="I320" s="10" t="n"/>
      <c r="J320" s="1">
        <f>IF(OR(tblDowntime[[#This Row],[Failure Type]]="Sawshop",tblDowntime[[#This Row],[Failure Type]]="Electrical",tblDowntime[[#This Row],[Failure Type]]="Mechanical"),tblDowntime[[#This Row],[Downtime Hours]],"")</f>
        <v/>
      </c>
      <c r="K320" s="10" t="n"/>
      <c r="L320" s="10" t="n"/>
      <c r="M320">
        <f>IF(tblDowntime[[#This Row],[Maintenance Downtime Hours]]="","",tblDowntime[[#This Row],[Equipment ID]])</f>
        <v/>
      </c>
      <c r="N320" s="1">
        <f>IF(tblDowntime[[#This Row],[Failure Type]]="Production",tblDowntime[[#This Row],[Downtime Hours]],"")</f>
        <v/>
      </c>
      <c r="O320">
        <f>IF(tblDowntime[[#This Row],[Production Downtime Hours]]="","",tblDowntime[[#This Row],[Equipment ID]])</f>
        <v/>
      </c>
      <c r="P320" s="10" t="n"/>
    </row>
    <row r="321">
      <c r="B321">
        <f t="array" ref="B321">_xlfn.XLOOKUP(C321,INDIRECT("tblEquipment[Equipment ID]"),INDIRECT("tblEquipment[Production Department]"),"")</f>
        <v/>
      </c>
      <c r="D321">
        <f t="array" ref="D321">_xlfn.XLOOKUP(C321,INDIRECT("tblEquipment[Equipment ID]"),INDIRECT("tblEquipment[Equipment Name]"),"")</f>
        <v/>
      </c>
      <c r="F321" s="16" t="n"/>
      <c r="G321" s="16" t="n"/>
      <c r="H321" s="1">
        <f>IF(OR(F321=0,G321=0),"",(G321-F321)*24)</f>
        <v/>
      </c>
      <c r="I321" s="10" t="n"/>
      <c r="J321" s="1">
        <f>IF(OR(tblDowntime[[#This Row],[Failure Type]]="Sawshop",tblDowntime[[#This Row],[Failure Type]]="Electrical",tblDowntime[[#This Row],[Failure Type]]="Mechanical"),tblDowntime[[#This Row],[Downtime Hours]],"")</f>
        <v/>
      </c>
      <c r="K321" s="10" t="n"/>
      <c r="L321" s="10" t="n"/>
      <c r="M321">
        <f>IF(tblDowntime[[#This Row],[Maintenance Downtime Hours]]="","",tblDowntime[[#This Row],[Equipment ID]])</f>
        <v/>
      </c>
      <c r="N321" s="1">
        <f>IF(tblDowntime[[#This Row],[Failure Type]]="Production",tblDowntime[[#This Row],[Downtime Hours]],"")</f>
        <v/>
      </c>
      <c r="O321">
        <f>IF(tblDowntime[[#This Row],[Production Downtime Hours]]="","",tblDowntime[[#This Row],[Equipment ID]])</f>
        <v/>
      </c>
      <c r="P321" s="10" t="n"/>
    </row>
    <row r="322">
      <c r="B322">
        <f t="array" ref="B322">_xlfn.XLOOKUP(C322,INDIRECT("tblEquipment[Equipment ID]"),INDIRECT("tblEquipment[Production Department]"),"")</f>
        <v/>
      </c>
      <c r="D322">
        <f t="array" ref="D322">_xlfn.XLOOKUP(C322,INDIRECT("tblEquipment[Equipment ID]"),INDIRECT("tblEquipment[Equipment Name]"),"")</f>
        <v/>
      </c>
      <c r="F322" s="16" t="n"/>
      <c r="G322" s="16" t="n"/>
      <c r="H322" s="1">
        <f>IF(OR(F322=0,G322=0),"",(G322-F322)*24)</f>
        <v/>
      </c>
      <c r="I322" s="10" t="n"/>
      <c r="J322" s="1">
        <f>IF(OR(tblDowntime[[#This Row],[Failure Type]]="Sawshop",tblDowntime[[#This Row],[Failure Type]]="Electrical",tblDowntime[[#This Row],[Failure Type]]="Mechanical"),tblDowntime[[#This Row],[Downtime Hours]],"")</f>
        <v/>
      </c>
      <c r="K322" s="10" t="n"/>
      <c r="L322" s="10" t="n"/>
      <c r="M322">
        <f>IF(tblDowntime[[#This Row],[Maintenance Downtime Hours]]="","",tblDowntime[[#This Row],[Equipment ID]])</f>
        <v/>
      </c>
      <c r="N322" s="1">
        <f>IF(tblDowntime[[#This Row],[Failure Type]]="Production",tblDowntime[[#This Row],[Downtime Hours]],"")</f>
        <v/>
      </c>
      <c r="O322">
        <f>IF(tblDowntime[[#This Row],[Production Downtime Hours]]="","",tblDowntime[[#This Row],[Equipment ID]])</f>
        <v/>
      </c>
      <c r="P322" s="10" t="n"/>
    </row>
    <row r="323">
      <c r="B323">
        <f t="array" ref="B323">_xlfn.XLOOKUP(C323,INDIRECT("tblEquipment[Equipment ID]"),INDIRECT("tblEquipment[Production Department]"),"")</f>
        <v/>
      </c>
      <c r="D323">
        <f t="array" ref="D323">_xlfn.XLOOKUP(C323,INDIRECT("tblEquipment[Equipment ID]"),INDIRECT("tblEquipment[Equipment Name]"),"")</f>
        <v/>
      </c>
      <c r="F323" s="16" t="n"/>
      <c r="G323" s="16" t="n"/>
      <c r="H323" s="1">
        <f>IF(OR(F323=0,G323=0),"",(G323-F323)*24)</f>
        <v/>
      </c>
      <c r="I323" s="10" t="n"/>
      <c r="J323" s="1">
        <f>IF(OR(tblDowntime[[#This Row],[Failure Type]]="Sawshop",tblDowntime[[#This Row],[Failure Type]]="Electrical",tblDowntime[[#This Row],[Failure Type]]="Mechanical"),tblDowntime[[#This Row],[Downtime Hours]],"")</f>
        <v/>
      </c>
      <c r="K323" s="10" t="n"/>
      <c r="L323" s="10" t="n"/>
      <c r="M323">
        <f>IF(tblDowntime[[#This Row],[Maintenance Downtime Hours]]="","",tblDowntime[[#This Row],[Equipment ID]])</f>
        <v/>
      </c>
      <c r="N323" s="1">
        <f>IF(tblDowntime[[#This Row],[Failure Type]]="Production",tblDowntime[[#This Row],[Downtime Hours]],"")</f>
        <v/>
      </c>
      <c r="O323">
        <f>IF(tblDowntime[[#This Row],[Production Downtime Hours]]="","",tblDowntime[[#This Row],[Equipment ID]])</f>
        <v/>
      </c>
      <c r="P323" s="10" t="n"/>
    </row>
    <row r="324">
      <c r="B324">
        <f t="array" ref="B324">_xlfn.XLOOKUP(C324,INDIRECT("tblEquipment[Equipment ID]"),INDIRECT("tblEquipment[Production Department]"),"")</f>
        <v/>
      </c>
      <c r="D324">
        <f t="array" ref="D324">_xlfn.XLOOKUP(C324,INDIRECT("tblEquipment[Equipment ID]"),INDIRECT("tblEquipment[Equipment Name]"),"")</f>
        <v/>
      </c>
      <c r="F324" s="16" t="n"/>
      <c r="G324" s="16" t="n"/>
      <c r="H324" s="1">
        <f>IF(OR(F324=0,G324=0),"",(G324-F324)*24)</f>
        <v/>
      </c>
      <c r="I324" s="10" t="n"/>
      <c r="J324" s="1">
        <f>IF(OR(tblDowntime[[#This Row],[Failure Type]]="Sawshop",tblDowntime[[#This Row],[Failure Type]]="Electrical",tblDowntime[[#This Row],[Failure Type]]="Mechanical"),tblDowntime[[#This Row],[Downtime Hours]],"")</f>
        <v/>
      </c>
      <c r="K324" s="10" t="n"/>
      <c r="L324" s="10" t="n"/>
      <c r="M324">
        <f>IF(tblDowntime[[#This Row],[Maintenance Downtime Hours]]="","",tblDowntime[[#This Row],[Equipment ID]])</f>
        <v/>
      </c>
      <c r="N324" s="1">
        <f>IF(tblDowntime[[#This Row],[Failure Type]]="Production",tblDowntime[[#This Row],[Downtime Hours]],"")</f>
        <v/>
      </c>
      <c r="O324">
        <f>IF(tblDowntime[[#This Row],[Production Downtime Hours]]="","",tblDowntime[[#This Row],[Equipment ID]])</f>
        <v/>
      </c>
      <c r="P324" s="10" t="n"/>
    </row>
    <row r="325">
      <c r="B325">
        <f t="array" ref="B325">_xlfn.XLOOKUP(C325,INDIRECT("tblEquipment[Equipment ID]"),INDIRECT("tblEquipment[Production Department]"),"")</f>
        <v/>
      </c>
      <c r="D325">
        <f t="array" ref="D325">_xlfn.XLOOKUP(C325,INDIRECT("tblEquipment[Equipment ID]"),INDIRECT("tblEquipment[Equipment Name]"),"")</f>
        <v/>
      </c>
      <c r="F325" s="16" t="n"/>
      <c r="G325" s="16" t="n"/>
      <c r="H325" s="1">
        <f>IF(OR(F325=0,G325=0),"",(G325-F325)*24)</f>
        <v/>
      </c>
      <c r="I325" s="10" t="n"/>
      <c r="J325" s="1">
        <f>IF(OR(tblDowntime[[#This Row],[Failure Type]]="Sawshop",tblDowntime[[#This Row],[Failure Type]]="Electrical",tblDowntime[[#This Row],[Failure Type]]="Mechanical"),tblDowntime[[#This Row],[Downtime Hours]],"")</f>
        <v/>
      </c>
      <c r="K325" s="10" t="n"/>
      <c r="L325" s="10" t="n"/>
      <c r="M325">
        <f>IF(tblDowntime[[#This Row],[Maintenance Downtime Hours]]="","",tblDowntime[[#This Row],[Equipment ID]])</f>
        <v/>
      </c>
      <c r="N325" s="1">
        <f>IF(tblDowntime[[#This Row],[Failure Type]]="Production",tblDowntime[[#This Row],[Downtime Hours]],"")</f>
        <v/>
      </c>
      <c r="O325">
        <f>IF(tblDowntime[[#This Row],[Production Downtime Hours]]="","",tblDowntime[[#This Row],[Equipment ID]])</f>
        <v/>
      </c>
      <c r="P325" s="10" t="n"/>
    </row>
    <row r="326">
      <c r="B326">
        <f t="array" ref="B326">_xlfn.XLOOKUP(C326,INDIRECT("tblEquipment[Equipment ID]"),INDIRECT("tblEquipment[Production Department]"),"")</f>
        <v/>
      </c>
      <c r="D326">
        <f t="array" ref="D326">_xlfn.XLOOKUP(C326,INDIRECT("tblEquipment[Equipment ID]"),INDIRECT("tblEquipment[Equipment Name]"),"")</f>
        <v/>
      </c>
      <c r="F326" s="16" t="n"/>
      <c r="G326" s="16" t="n"/>
      <c r="H326" s="1">
        <f>IF(OR(F326=0,G326=0),"",(G326-F326)*24)</f>
        <v/>
      </c>
      <c r="I326" s="10" t="n"/>
      <c r="J326" s="1">
        <f>IF(OR(tblDowntime[[#This Row],[Failure Type]]="Sawshop",tblDowntime[[#This Row],[Failure Type]]="Electrical",tblDowntime[[#This Row],[Failure Type]]="Mechanical"),tblDowntime[[#This Row],[Downtime Hours]],"")</f>
        <v/>
      </c>
      <c r="K326" s="10" t="n"/>
      <c r="L326" s="10" t="n"/>
      <c r="M326">
        <f>IF(tblDowntime[[#This Row],[Maintenance Downtime Hours]]="","",tblDowntime[[#This Row],[Equipment ID]])</f>
        <v/>
      </c>
      <c r="N326" s="1">
        <f>IF(tblDowntime[[#This Row],[Failure Type]]="Production",tblDowntime[[#This Row],[Downtime Hours]],"")</f>
        <v/>
      </c>
      <c r="O326">
        <f>IF(tblDowntime[[#This Row],[Production Downtime Hours]]="","",tblDowntime[[#This Row],[Equipment ID]])</f>
        <v/>
      </c>
      <c r="P326" s="10" t="n"/>
    </row>
    <row r="327">
      <c r="B327">
        <f t="array" ref="B327">_xlfn.XLOOKUP(C327,INDIRECT("tblEquipment[Equipment ID]"),INDIRECT("tblEquipment[Production Department]"),"")</f>
        <v/>
      </c>
      <c r="D327">
        <f t="array" ref="D327">_xlfn.XLOOKUP(C327,INDIRECT("tblEquipment[Equipment ID]"),INDIRECT("tblEquipment[Equipment Name]"),"")</f>
        <v/>
      </c>
      <c r="F327" s="16" t="n"/>
      <c r="G327" s="16" t="n"/>
      <c r="H327" s="1">
        <f>IF(OR(F327=0,G327=0),"",(G327-F327)*24)</f>
        <v/>
      </c>
      <c r="I327" s="10" t="n"/>
      <c r="J327" s="1">
        <f>IF(OR(tblDowntime[[#This Row],[Failure Type]]="Sawshop",tblDowntime[[#This Row],[Failure Type]]="Electrical",tblDowntime[[#This Row],[Failure Type]]="Mechanical"),tblDowntime[[#This Row],[Downtime Hours]],"")</f>
        <v/>
      </c>
      <c r="K327" s="10" t="n"/>
      <c r="L327" s="10" t="n"/>
      <c r="M327">
        <f>IF(tblDowntime[[#This Row],[Maintenance Downtime Hours]]="","",tblDowntime[[#This Row],[Equipment ID]])</f>
        <v/>
      </c>
      <c r="N327" s="1">
        <f>IF(tblDowntime[[#This Row],[Failure Type]]="Production",tblDowntime[[#This Row],[Downtime Hours]],"")</f>
        <v/>
      </c>
      <c r="O327">
        <f>IF(tblDowntime[[#This Row],[Production Downtime Hours]]="","",tblDowntime[[#This Row],[Equipment ID]])</f>
        <v/>
      </c>
      <c r="P327" s="10" t="n"/>
    </row>
    <row r="328">
      <c r="B328">
        <f t="array" ref="B328">_xlfn.XLOOKUP(C328,INDIRECT("tblEquipment[Equipment ID]"),INDIRECT("tblEquipment[Production Department]"),"")</f>
        <v/>
      </c>
      <c r="D328">
        <f t="array" ref="D328">_xlfn.XLOOKUP(C328,INDIRECT("tblEquipment[Equipment ID]"),INDIRECT("tblEquipment[Equipment Name]"),"")</f>
        <v/>
      </c>
      <c r="F328" s="16" t="n"/>
      <c r="G328" s="16" t="n"/>
      <c r="H328" s="1">
        <f>IF(OR(F328=0,G328=0),"",(G328-F328)*24)</f>
        <v/>
      </c>
      <c r="I328" s="10" t="n"/>
      <c r="J328" s="1">
        <f>IF(OR(tblDowntime[[#This Row],[Failure Type]]="Sawshop",tblDowntime[[#This Row],[Failure Type]]="Electrical",tblDowntime[[#This Row],[Failure Type]]="Mechanical"),tblDowntime[[#This Row],[Downtime Hours]],"")</f>
        <v/>
      </c>
      <c r="K328" s="10" t="n"/>
      <c r="L328" s="10" t="n"/>
      <c r="M328">
        <f>IF(tblDowntime[[#This Row],[Maintenance Downtime Hours]]="","",tblDowntime[[#This Row],[Equipment ID]])</f>
        <v/>
      </c>
      <c r="N328" s="1">
        <f>IF(tblDowntime[[#This Row],[Failure Type]]="Production",tblDowntime[[#This Row],[Downtime Hours]],"")</f>
        <v/>
      </c>
      <c r="O328">
        <f>IF(tblDowntime[[#This Row],[Production Downtime Hours]]="","",tblDowntime[[#This Row],[Equipment ID]])</f>
        <v/>
      </c>
      <c r="P328" s="10" t="n"/>
    </row>
    <row r="329">
      <c r="B329">
        <f t="array" ref="B329">_xlfn.XLOOKUP(C329,INDIRECT("tblEquipment[Equipment ID]"),INDIRECT("tblEquipment[Production Department]"),"")</f>
        <v/>
      </c>
      <c r="D329">
        <f t="array" ref="D329">_xlfn.XLOOKUP(C329,INDIRECT("tblEquipment[Equipment ID]"),INDIRECT("tblEquipment[Equipment Name]"),"")</f>
        <v/>
      </c>
      <c r="F329" s="16" t="n"/>
      <c r="G329" s="16" t="n"/>
      <c r="H329" s="1">
        <f>IF(OR(F329=0,G329=0),"",(G329-F329)*24)</f>
        <v/>
      </c>
      <c r="I329" s="10" t="n"/>
      <c r="J329" s="1">
        <f>IF(OR(tblDowntime[[#This Row],[Failure Type]]="Sawshop",tblDowntime[[#This Row],[Failure Type]]="Electrical",tblDowntime[[#This Row],[Failure Type]]="Mechanical"),tblDowntime[[#This Row],[Downtime Hours]],"")</f>
        <v/>
      </c>
      <c r="K329" s="10" t="n"/>
      <c r="L329" s="10" t="n"/>
      <c r="M329">
        <f>IF(tblDowntime[[#This Row],[Maintenance Downtime Hours]]="","",tblDowntime[[#This Row],[Equipment ID]])</f>
        <v/>
      </c>
      <c r="N329" s="1">
        <f>IF(tblDowntime[[#This Row],[Failure Type]]="Production",tblDowntime[[#This Row],[Downtime Hours]],"")</f>
        <v/>
      </c>
      <c r="O329">
        <f>IF(tblDowntime[[#This Row],[Production Downtime Hours]]="","",tblDowntime[[#This Row],[Equipment ID]])</f>
        <v/>
      </c>
      <c r="P329" s="10" t="n"/>
    </row>
    <row r="330">
      <c r="B330">
        <f t="array" ref="B330">_xlfn.XLOOKUP(C330,INDIRECT("tblEquipment[Equipment ID]"),INDIRECT("tblEquipment[Production Department]"),"")</f>
        <v/>
      </c>
      <c r="D330">
        <f t="array" ref="D330">_xlfn.XLOOKUP(C330,INDIRECT("tblEquipment[Equipment ID]"),INDIRECT("tblEquipment[Equipment Name]"),"")</f>
        <v/>
      </c>
      <c r="F330" s="16" t="n"/>
      <c r="G330" s="16" t="n"/>
      <c r="H330" s="1">
        <f>IF(OR(F330=0,G330=0),"",(G330-F330)*24)</f>
        <v/>
      </c>
      <c r="I330" s="10" t="n"/>
      <c r="J330" s="1">
        <f>IF(OR(tblDowntime[[#This Row],[Failure Type]]="Sawshop",tblDowntime[[#This Row],[Failure Type]]="Electrical",tblDowntime[[#This Row],[Failure Type]]="Mechanical"),tblDowntime[[#This Row],[Downtime Hours]],"")</f>
        <v/>
      </c>
      <c r="K330" s="10" t="n"/>
      <c r="L330" s="10" t="n"/>
      <c r="M330">
        <f>IF(tblDowntime[[#This Row],[Maintenance Downtime Hours]]="","",tblDowntime[[#This Row],[Equipment ID]])</f>
        <v/>
      </c>
      <c r="N330" s="1">
        <f>IF(tblDowntime[[#This Row],[Failure Type]]="Production",tblDowntime[[#This Row],[Downtime Hours]],"")</f>
        <v/>
      </c>
      <c r="O330">
        <f>IF(tblDowntime[[#This Row],[Production Downtime Hours]]="","",tblDowntime[[#This Row],[Equipment ID]])</f>
        <v/>
      </c>
      <c r="P330" s="10" t="n"/>
    </row>
    <row r="331">
      <c r="B331">
        <f t="array" ref="B331">_xlfn.XLOOKUP(C331,INDIRECT("tblEquipment[Equipment ID]"),INDIRECT("tblEquipment[Production Department]"),"")</f>
        <v/>
      </c>
      <c r="D331">
        <f t="array" ref="D331">_xlfn.XLOOKUP(C331,INDIRECT("tblEquipment[Equipment ID]"),INDIRECT("tblEquipment[Equipment Name]"),"")</f>
        <v/>
      </c>
      <c r="F331" s="16" t="n"/>
      <c r="G331" s="16" t="n"/>
      <c r="H331" s="1">
        <f>IF(OR(F331=0,G331=0),"",(G331-F331)*24)</f>
        <v/>
      </c>
      <c r="I331" s="10" t="n"/>
      <c r="J331" s="1">
        <f>IF(OR(tblDowntime[[#This Row],[Failure Type]]="Sawshop",tblDowntime[[#This Row],[Failure Type]]="Electrical",tblDowntime[[#This Row],[Failure Type]]="Mechanical"),tblDowntime[[#This Row],[Downtime Hours]],"")</f>
        <v/>
      </c>
      <c r="K331" s="10" t="n"/>
      <c r="L331" s="10" t="n"/>
      <c r="M331">
        <f>IF(tblDowntime[[#This Row],[Maintenance Downtime Hours]]="","",tblDowntime[[#This Row],[Equipment ID]])</f>
        <v/>
      </c>
      <c r="N331" s="1">
        <f>IF(tblDowntime[[#This Row],[Failure Type]]="Production",tblDowntime[[#This Row],[Downtime Hours]],"")</f>
        <v/>
      </c>
      <c r="O331">
        <f>IF(tblDowntime[[#This Row],[Production Downtime Hours]]="","",tblDowntime[[#This Row],[Equipment ID]])</f>
        <v/>
      </c>
      <c r="P331" s="10" t="n"/>
    </row>
    <row r="332">
      <c r="B332">
        <f t="array" ref="B332">_xlfn.XLOOKUP(C332,INDIRECT("tblEquipment[Equipment ID]"),INDIRECT("tblEquipment[Production Department]"),"")</f>
        <v/>
      </c>
      <c r="D332">
        <f t="array" ref="D332">_xlfn.XLOOKUP(C332,INDIRECT("tblEquipment[Equipment ID]"),INDIRECT("tblEquipment[Equipment Name]"),"")</f>
        <v/>
      </c>
      <c r="F332" s="16" t="n"/>
      <c r="G332" s="16" t="n"/>
      <c r="H332" s="1">
        <f>IF(OR(F332=0,G332=0),"",(G332-F332)*24)</f>
        <v/>
      </c>
      <c r="I332" s="10" t="n"/>
      <c r="J332" s="1">
        <f>IF(OR(tblDowntime[[#This Row],[Failure Type]]="Sawshop",tblDowntime[[#This Row],[Failure Type]]="Electrical",tblDowntime[[#This Row],[Failure Type]]="Mechanical"),tblDowntime[[#This Row],[Downtime Hours]],"")</f>
        <v/>
      </c>
      <c r="K332" s="10" t="n"/>
      <c r="L332" s="10" t="n"/>
      <c r="M332">
        <f>IF(tblDowntime[[#This Row],[Maintenance Downtime Hours]]="","",tblDowntime[[#This Row],[Equipment ID]])</f>
        <v/>
      </c>
      <c r="N332" s="1">
        <f>IF(tblDowntime[[#This Row],[Failure Type]]="Production",tblDowntime[[#This Row],[Downtime Hours]],"")</f>
        <v/>
      </c>
      <c r="O332">
        <f>IF(tblDowntime[[#This Row],[Production Downtime Hours]]="","",tblDowntime[[#This Row],[Equipment ID]])</f>
        <v/>
      </c>
      <c r="P332" s="10" t="n"/>
    </row>
    <row r="333">
      <c r="B333">
        <f t="array" ref="B333">_xlfn.XLOOKUP(C333,INDIRECT("tblEquipment[Equipment ID]"),INDIRECT("tblEquipment[Production Department]"),"")</f>
        <v/>
      </c>
      <c r="D333">
        <f t="array" ref="D333">_xlfn.XLOOKUP(C333,INDIRECT("tblEquipment[Equipment ID]"),INDIRECT("tblEquipment[Equipment Name]"),"")</f>
        <v/>
      </c>
      <c r="F333" s="16" t="n"/>
      <c r="G333" s="16" t="n"/>
      <c r="H333" s="1">
        <f>IF(OR(F333=0,G333=0),"",(G333-F333)*24)</f>
        <v/>
      </c>
      <c r="I333" s="10" t="n"/>
      <c r="J333" s="1">
        <f>IF(OR(tblDowntime[[#This Row],[Failure Type]]="Sawshop",tblDowntime[[#This Row],[Failure Type]]="Electrical",tblDowntime[[#This Row],[Failure Type]]="Mechanical"),tblDowntime[[#This Row],[Downtime Hours]],"")</f>
        <v/>
      </c>
      <c r="K333" s="10" t="n"/>
      <c r="L333" s="10" t="n"/>
      <c r="M333">
        <f>IF(tblDowntime[[#This Row],[Maintenance Downtime Hours]]="","",tblDowntime[[#This Row],[Equipment ID]])</f>
        <v/>
      </c>
      <c r="N333" s="1">
        <f>IF(tblDowntime[[#This Row],[Failure Type]]="Production",tblDowntime[[#This Row],[Downtime Hours]],"")</f>
        <v/>
      </c>
      <c r="O333">
        <f>IF(tblDowntime[[#This Row],[Production Downtime Hours]]="","",tblDowntime[[#This Row],[Equipment ID]])</f>
        <v/>
      </c>
      <c r="P333" s="10" t="n"/>
    </row>
    <row r="334">
      <c r="B334">
        <f t="array" ref="B334">_xlfn.XLOOKUP(C334,INDIRECT("tblEquipment[Equipment ID]"),INDIRECT("tblEquipment[Production Department]"),"")</f>
        <v/>
      </c>
      <c r="D334">
        <f t="array" ref="D334">_xlfn.XLOOKUP(C334,INDIRECT("tblEquipment[Equipment ID]"),INDIRECT("tblEquipment[Equipment Name]"),"")</f>
        <v/>
      </c>
      <c r="F334" s="16" t="n"/>
      <c r="G334" s="16" t="n"/>
      <c r="H334" s="1">
        <f>IF(OR(F334=0,G334=0),"",(G334-F334)*24)</f>
        <v/>
      </c>
      <c r="I334" s="10" t="n"/>
      <c r="J334" s="1">
        <f>IF(OR(tblDowntime[[#This Row],[Failure Type]]="Sawshop",tblDowntime[[#This Row],[Failure Type]]="Electrical",tblDowntime[[#This Row],[Failure Type]]="Mechanical"),tblDowntime[[#This Row],[Downtime Hours]],"")</f>
        <v/>
      </c>
      <c r="K334" s="10" t="n"/>
      <c r="L334" s="10" t="n"/>
      <c r="M334">
        <f>IF(tblDowntime[[#This Row],[Maintenance Downtime Hours]]="","",tblDowntime[[#This Row],[Equipment ID]])</f>
        <v/>
      </c>
      <c r="N334" s="1">
        <f>IF(tblDowntime[[#This Row],[Failure Type]]="Production",tblDowntime[[#This Row],[Downtime Hours]],"")</f>
        <v/>
      </c>
      <c r="O334">
        <f>IF(tblDowntime[[#This Row],[Production Downtime Hours]]="","",tblDowntime[[#This Row],[Equipment ID]])</f>
        <v/>
      </c>
      <c r="P334" s="10" t="n"/>
    </row>
    <row r="335">
      <c r="B335">
        <f t="array" ref="B335">_xlfn.XLOOKUP(C335,INDIRECT("tblEquipment[Equipment ID]"),INDIRECT("tblEquipment[Production Department]"),"")</f>
        <v/>
      </c>
      <c r="D335">
        <f t="array" ref="D335">_xlfn.XLOOKUP(C335,INDIRECT("tblEquipment[Equipment ID]"),INDIRECT("tblEquipment[Equipment Name]"),"")</f>
        <v/>
      </c>
      <c r="F335" s="16" t="n"/>
      <c r="G335" s="16" t="n"/>
      <c r="H335" s="1">
        <f>IF(OR(F335=0,G335=0),"",(G335-F335)*24)</f>
        <v/>
      </c>
      <c r="I335" s="10" t="n"/>
      <c r="J335" s="1">
        <f>IF(OR(tblDowntime[[#This Row],[Failure Type]]="Sawshop",tblDowntime[[#This Row],[Failure Type]]="Electrical",tblDowntime[[#This Row],[Failure Type]]="Mechanical"),tblDowntime[[#This Row],[Downtime Hours]],"")</f>
        <v/>
      </c>
      <c r="K335" s="10" t="n"/>
      <c r="L335" s="10" t="n"/>
      <c r="M335">
        <f>IF(tblDowntime[[#This Row],[Maintenance Downtime Hours]]="","",tblDowntime[[#This Row],[Equipment ID]])</f>
        <v/>
      </c>
      <c r="N335" s="1">
        <f>IF(tblDowntime[[#This Row],[Failure Type]]="Production",tblDowntime[[#This Row],[Downtime Hours]],"")</f>
        <v/>
      </c>
      <c r="O335">
        <f>IF(tblDowntime[[#This Row],[Production Downtime Hours]]="","",tblDowntime[[#This Row],[Equipment ID]])</f>
        <v/>
      </c>
      <c r="P335" s="10" t="n"/>
    </row>
    <row r="336">
      <c r="B336">
        <f t="array" ref="B336">_xlfn.XLOOKUP(C336,INDIRECT("tblEquipment[Equipment ID]"),INDIRECT("tblEquipment[Production Department]"),"")</f>
        <v/>
      </c>
      <c r="D336">
        <f t="array" ref="D336">_xlfn.XLOOKUP(C336,INDIRECT("tblEquipment[Equipment ID]"),INDIRECT("tblEquipment[Equipment Name]"),"")</f>
        <v/>
      </c>
      <c r="F336" s="16" t="n"/>
      <c r="G336" s="16" t="n"/>
      <c r="H336" s="1">
        <f>IF(OR(F336=0,G336=0),"",(G336-F336)*24)</f>
        <v/>
      </c>
      <c r="I336" s="10" t="n"/>
      <c r="J336" s="1">
        <f>IF(OR(tblDowntime[[#This Row],[Failure Type]]="Sawshop",tblDowntime[[#This Row],[Failure Type]]="Electrical",tblDowntime[[#This Row],[Failure Type]]="Mechanical"),tblDowntime[[#This Row],[Downtime Hours]],"")</f>
        <v/>
      </c>
      <c r="K336" s="10" t="n"/>
      <c r="L336" s="10" t="n"/>
      <c r="M336">
        <f>IF(tblDowntime[[#This Row],[Maintenance Downtime Hours]]="","",tblDowntime[[#This Row],[Equipment ID]])</f>
        <v/>
      </c>
      <c r="N336" s="1">
        <f>IF(tblDowntime[[#This Row],[Failure Type]]="Production",tblDowntime[[#This Row],[Downtime Hours]],"")</f>
        <v/>
      </c>
      <c r="O336">
        <f>IF(tblDowntime[[#This Row],[Production Downtime Hours]]="","",tblDowntime[[#This Row],[Equipment ID]])</f>
        <v/>
      </c>
      <c r="P336" s="10" t="n"/>
    </row>
    <row r="337">
      <c r="B337">
        <f t="array" ref="B337">_xlfn.XLOOKUP(C337,INDIRECT("tblEquipment[Equipment ID]"),INDIRECT("tblEquipment[Production Department]"),"")</f>
        <v/>
      </c>
      <c r="D337">
        <f t="array" ref="D337">_xlfn.XLOOKUP(C337,INDIRECT("tblEquipment[Equipment ID]"),INDIRECT("tblEquipment[Equipment Name]"),"")</f>
        <v/>
      </c>
      <c r="F337" s="16" t="n"/>
      <c r="G337" s="16" t="n"/>
      <c r="H337" s="1">
        <f>IF(OR(F337=0,G337=0),"",(G337-F337)*24)</f>
        <v/>
      </c>
      <c r="I337" s="10" t="n"/>
      <c r="J337" s="1">
        <f>IF(OR(tblDowntime[[#This Row],[Failure Type]]="Sawshop",tblDowntime[[#This Row],[Failure Type]]="Electrical",tblDowntime[[#This Row],[Failure Type]]="Mechanical"),tblDowntime[[#This Row],[Downtime Hours]],"")</f>
        <v/>
      </c>
      <c r="K337" s="10" t="n"/>
      <c r="L337" s="10" t="n"/>
      <c r="M337">
        <f>IF(tblDowntime[[#This Row],[Maintenance Downtime Hours]]="","",tblDowntime[[#This Row],[Equipment ID]])</f>
        <v/>
      </c>
      <c r="N337" s="1">
        <f>IF(tblDowntime[[#This Row],[Failure Type]]="Production",tblDowntime[[#This Row],[Downtime Hours]],"")</f>
        <v/>
      </c>
      <c r="O337">
        <f>IF(tblDowntime[[#This Row],[Production Downtime Hours]]="","",tblDowntime[[#This Row],[Equipment ID]])</f>
        <v/>
      </c>
      <c r="P337" s="10" t="n"/>
    </row>
    <row r="338">
      <c r="B338">
        <f t="array" ref="B338">_xlfn.XLOOKUP(C338,INDIRECT("tblEquipment[Equipment ID]"),INDIRECT("tblEquipment[Production Department]"),"")</f>
        <v/>
      </c>
      <c r="D338">
        <f t="array" ref="D338">_xlfn.XLOOKUP(C338,INDIRECT("tblEquipment[Equipment ID]"),INDIRECT("tblEquipment[Equipment Name]"),"")</f>
        <v/>
      </c>
      <c r="F338" s="16" t="n"/>
      <c r="G338" s="16" t="n"/>
      <c r="H338" s="1">
        <f>IF(OR(F338=0,G338=0),"",(G338-F338)*24)</f>
        <v/>
      </c>
      <c r="I338" s="10" t="n"/>
      <c r="J338" s="1">
        <f>IF(OR(tblDowntime[[#This Row],[Failure Type]]="Sawshop",tblDowntime[[#This Row],[Failure Type]]="Electrical",tblDowntime[[#This Row],[Failure Type]]="Mechanical"),tblDowntime[[#This Row],[Downtime Hours]],"")</f>
        <v/>
      </c>
      <c r="K338" s="10" t="n"/>
      <c r="L338" s="10" t="n"/>
      <c r="M338">
        <f>IF(tblDowntime[[#This Row],[Maintenance Downtime Hours]]="","",tblDowntime[[#This Row],[Equipment ID]])</f>
        <v/>
      </c>
      <c r="N338" s="1">
        <f>IF(tblDowntime[[#This Row],[Failure Type]]="Production",tblDowntime[[#This Row],[Downtime Hours]],"")</f>
        <v/>
      </c>
      <c r="O338">
        <f>IF(tblDowntime[[#This Row],[Production Downtime Hours]]="","",tblDowntime[[#This Row],[Equipment ID]])</f>
        <v/>
      </c>
      <c r="P338" s="10" t="n"/>
    </row>
    <row r="339">
      <c r="B339">
        <f t="array" ref="B339">_xlfn.XLOOKUP(C339,INDIRECT("tblEquipment[Equipment ID]"),INDIRECT("tblEquipment[Production Department]"),"")</f>
        <v/>
      </c>
      <c r="D339">
        <f t="array" ref="D339">_xlfn.XLOOKUP(C339,INDIRECT("tblEquipment[Equipment ID]"),INDIRECT("tblEquipment[Equipment Name]"),"")</f>
        <v/>
      </c>
      <c r="F339" s="16" t="n"/>
      <c r="G339" s="16" t="n"/>
      <c r="H339" s="1">
        <f>IF(OR(F339=0,G339=0),"",(G339-F339)*24)</f>
        <v/>
      </c>
      <c r="I339" s="10" t="n"/>
      <c r="J339" s="1">
        <f>IF(OR(tblDowntime[[#This Row],[Failure Type]]="Sawshop",tblDowntime[[#This Row],[Failure Type]]="Electrical",tblDowntime[[#This Row],[Failure Type]]="Mechanical"),tblDowntime[[#This Row],[Downtime Hours]],"")</f>
        <v/>
      </c>
      <c r="K339" s="10" t="n"/>
      <c r="L339" s="10" t="n"/>
      <c r="M339">
        <f>IF(tblDowntime[[#This Row],[Maintenance Downtime Hours]]="","",tblDowntime[[#This Row],[Equipment ID]])</f>
        <v/>
      </c>
      <c r="N339" s="1">
        <f>IF(tblDowntime[[#This Row],[Failure Type]]="Production",tblDowntime[[#This Row],[Downtime Hours]],"")</f>
        <v/>
      </c>
      <c r="O339">
        <f>IF(tblDowntime[[#This Row],[Production Downtime Hours]]="","",tblDowntime[[#This Row],[Equipment ID]])</f>
        <v/>
      </c>
      <c r="P339" s="10" t="n"/>
    </row>
    <row r="340">
      <c r="B340">
        <f t="array" ref="B340">_xlfn.XLOOKUP(C340,INDIRECT("tblEquipment[Equipment ID]"),INDIRECT("tblEquipment[Production Department]"),"")</f>
        <v/>
      </c>
      <c r="D340">
        <f t="array" ref="D340">_xlfn.XLOOKUP(C340,INDIRECT("tblEquipment[Equipment ID]"),INDIRECT("tblEquipment[Equipment Name]"),"")</f>
        <v/>
      </c>
      <c r="F340" s="16" t="n"/>
      <c r="G340" s="16" t="n"/>
      <c r="H340" s="1">
        <f>IF(OR(F340=0,G340=0),"",(G340-F340)*24)</f>
        <v/>
      </c>
      <c r="I340" s="10" t="n"/>
      <c r="J340" s="1">
        <f>IF(OR(tblDowntime[[#This Row],[Failure Type]]="Sawshop",tblDowntime[[#This Row],[Failure Type]]="Electrical",tblDowntime[[#This Row],[Failure Type]]="Mechanical"),tblDowntime[[#This Row],[Downtime Hours]],"")</f>
        <v/>
      </c>
      <c r="K340" s="10" t="n"/>
      <c r="L340" s="10" t="n"/>
      <c r="M340">
        <f>IF(tblDowntime[[#This Row],[Maintenance Downtime Hours]]="","",tblDowntime[[#This Row],[Equipment ID]])</f>
        <v/>
      </c>
      <c r="N340" s="1">
        <f>IF(tblDowntime[[#This Row],[Failure Type]]="Production",tblDowntime[[#This Row],[Downtime Hours]],"")</f>
        <v/>
      </c>
      <c r="O340">
        <f>IF(tblDowntime[[#This Row],[Production Downtime Hours]]="","",tblDowntime[[#This Row],[Equipment ID]])</f>
        <v/>
      </c>
      <c r="P340" s="10" t="n"/>
    </row>
    <row r="341">
      <c r="B341">
        <f t="array" ref="B341">_xlfn.XLOOKUP(C341,INDIRECT("tblEquipment[Equipment ID]"),INDIRECT("tblEquipment[Production Department]"),"")</f>
        <v/>
      </c>
      <c r="D341">
        <f t="array" ref="D341">_xlfn.XLOOKUP(C341,INDIRECT("tblEquipment[Equipment ID]"),INDIRECT("tblEquipment[Equipment Name]"),"")</f>
        <v/>
      </c>
      <c r="F341" s="16" t="n"/>
      <c r="G341" s="16" t="n"/>
      <c r="H341" s="1">
        <f>IF(OR(F341=0,G341=0),"",(G341-F341)*24)</f>
        <v/>
      </c>
      <c r="I341" s="10" t="n"/>
      <c r="J341" s="1">
        <f>IF(OR(tblDowntime[[#This Row],[Failure Type]]="Sawshop",tblDowntime[[#This Row],[Failure Type]]="Electrical",tblDowntime[[#This Row],[Failure Type]]="Mechanical"),tblDowntime[[#This Row],[Downtime Hours]],"")</f>
        <v/>
      </c>
      <c r="K341" s="10" t="n"/>
      <c r="L341" s="10" t="n"/>
      <c r="M341">
        <f>IF(tblDowntime[[#This Row],[Maintenance Downtime Hours]]="","",tblDowntime[[#This Row],[Equipment ID]])</f>
        <v/>
      </c>
      <c r="N341" s="1">
        <f>IF(tblDowntime[[#This Row],[Failure Type]]="Production",tblDowntime[[#This Row],[Downtime Hours]],"")</f>
        <v/>
      </c>
      <c r="O341">
        <f>IF(tblDowntime[[#This Row],[Production Downtime Hours]]="","",tblDowntime[[#This Row],[Equipment ID]])</f>
        <v/>
      </c>
      <c r="P341" s="10" t="n"/>
    </row>
    <row r="342">
      <c r="B342">
        <f t="array" ref="B342">_xlfn.XLOOKUP(C342,INDIRECT("tblEquipment[Equipment ID]"),INDIRECT("tblEquipment[Production Department]"),"")</f>
        <v/>
      </c>
      <c r="D342">
        <f t="array" ref="D342">_xlfn.XLOOKUP(C342,INDIRECT("tblEquipment[Equipment ID]"),INDIRECT("tblEquipment[Equipment Name]"),"")</f>
        <v/>
      </c>
      <c r="F342" s="16" t="n"/>
      <c r="G342" s="16" t="n"/>
      <c r="H342" s="1">
        <f>IF(OR(F342=0,G342=0),"",(G342-F342)*24)</f>
        <v/>
      </c>
      <c r="I342" s="10" t="n"/>
      <c r="J342" s="1">
        <f>IF(OR(tblDowntime[[#This Row],[Failure Type]]="Sawshop",tblDowntime[[#This Row],[Failure Type]]="Electrical",tblDowntime[[#This Row],[Failure Type]]="Mechanical"),tblDowntime[[#This Row],[Downtime Hours]],"")</f>
        <v/>
      </c>
      <c r="K342" s="10" t="n"/>
      <c r="L342" s="10" t="n"/>
      <c r="M342">
        <f>IF(tblDowntime[[#This Row],[Maintenance Downtime Hours]]="","",tblDowntime[[#This Row],[Equipment ID]])</f>
        <v/>
      </c>
      <c r="N342" s="1">
        <f>IF(tblDowntime[[#This Row],[Failure Type]]="Production",tblDowntime[[#This Row],[Downtime Hours]],"")</f>
        <v/>
      </c>
      <c r="O342">
        <f>IF(tblDowntime[[#This Row],[Production Downtime Hours]]="","",tblDowntime[[#This Row],[Equipment ID]])</f>
        <v/>
      </c>
      <c r="P342" s="10" t="n"/>
    </row>
    <row r="343">
      <c r="B343">
        <f t="array" ref="B343">_xlfn.XLOOKUP(C343,INDIRECT("tblEquipment[Equipment ID]"),INDIRECT("tblEquipment[Production Department]"),"")</f>
        <v/>
      </c>
      <c r="D343">
        <f t="array" ref="D343">_xlfn.XLOOKUP(C343,INDIRECT("tblEquipment[Equipment ID]"),INDIRECT("tblEquipment[Equipment Name]"),"")</f>
        <v/>
      </c>
      <c r="F343" s="16" t="n"/>
      <c r="G343" s="16" t="n"/>
      <c r="H343" s="1">
        <f>IF(OR(F343=0,G343=0),"",(G343-F343)*24)</f>
        <v/>
      </c>
      <c r="I343" s="10" t="n"/>
      <c r="J343" s="1">
        <f>IF(OR(tblDowntime[[#This Row],[Failure Type]]="Sawshop",tblDowntime[[#This Row],[Failure Type]]="Electrical",tblDowntime[[#This Row],[Failure Type]]="Mechanical"),tblDowntime[[#This Row],[Downtime Hours]],"")</f>
        <v/>
      </c>
      <c r="K343" s="10" t="n"/>
      <c r="L343" s="10" t="n"/>
      <c r="M343">
        <f>IF(tblDowntime[[#This Row],[Maintenance Downtime Hours]]="","",tblDowntime[[#This Row],[Equipment ID]])</f>
        <v/>
      </c>
      <c r="N343" s="1">
        <f>IF(tblDowntime[[#This Row],[Failure Type]]="Production",tblDowntime[[#This Row],[Downtime Hours]],"")</f>
        <v/>
      </c>
      <c r="O343">
        <f>IF(tblDowntime[[#This Row],[Production Downtime Hours]]="","",tblDowntime[[#This Row],[Equipment ID]])</f>
        <v/>
      </c>
      <c r="P343" s="10" t="n"/>
    </row>
    <row r="344">
      <c r="B344">
        <f t="array" ref="B344">_xlfn.XLOOKUP(C344,INDIRECT("tblEquipment[Equipment ID]"),INDIRECT("tblEquipment[Production Department]"),"")</f>
        <v/>
      </c>
      <c r="D344">
        <f t="array" ref="D344">_xlfn.XLOOKUP(C344,INDIRECT("tblEquipment[Equipment ID]"),INDIRECT("tblEquipment[Equipment Name]"),"")</f>
        <v/>
      </c>
      <c r="F344" s="16" t="n"/>
      <c r="G344" s="16" t="n"/>
      <c r="H344" s="1">
        <f>IF(OR(F344=0,G344=0),"",(G344-F344)*24)</f>
        <v/>
      </c>
      <c r="I344" s="10" t="n"/>
      <c r="J344" s="1">
        <f>IF(OR(tblDowntime[[#This Row],[Failure Type]]="Sawshop",tblDowntime[[#This Row],[Failure Type]]="Electrical",tblDowntime[[#This Row],[Failure Type]]="Mechanical"),tblDowntime[[#This Row],[Downtime Hours]],"")</f>
        <v/>
      </c>
      <c r="K344" s="10" t="n"/>
      <c r="L344" s="10" t="n"/>
      <c r="M344">
        <f>IF(tblDowntime[[#This Row],[Maintenance Downtime Hours]]="","",tblDowntime[[#This Row],[Equipment ID]])</f>
        <v/>
      </c>
      <c r="N344" s="1">
        <f>IF(tblDowntime[[#This Row],[Failure Type]]="Production",tblDowntime[[#This Row],[Downtime Hours]],"")</f>
        <v/>
      </c>
      <c r="O344">
        <f>IF(tblDowntime[[#This Row],[Production Downtime Hours]]="","",tblDowntime[[#This Row],[Equipment ID]])</f>
        <v/>
      </c>
      <c r="P344" s="10" t="n"/>
    </row>
    <row r="345">
      <c r="B345">
        <f t="array" ref="B345">_xlfn.XLOOKUP(C345,INDIRECT("tblEquipment[Equipment ID]"),INDIRECT("tblEquipment[Production Department]"),"")</f>
        <v/>
      </c>
      <c r="D345">
        <f t="array" ref="D345">_xlfn.XLOOKUP(C345,INDIRECT("tblEquipment[Equipment ID]"),INDIRECT("tblEquipment[Equipment Name]"),"")</f>
        <v/>
      </c>
      <c r="F345" s="16" t="n"/>
      <c r="G345" s="16" t="n"/>
      <c r="H345" s="1">
        <f>IF(OR(F345=0,G345=0),"",(G345-F345)*24)</f>
        <v/>
      </c>
      <c r="I345" s="10" t="n"/>
      <c r="J345" s="1">
        <f>IF(OR(tblDowntime[[#This Row],[Failure Type]]="Sawshop",tblDowntime[[#This Row],[Failure Type]]="Electrical",tblDowntime[[#This Row],[Failure Type]]="Mechanical"),tblDowntime[[#This Row],[Downtime Hours]],"")</f>
        <v/>
      </c>
      <c r="K345" s="10" t="n"/>
      <c r="L345" s="10" t="n"/>
      <c r="M345">
        <f>IF(tblDowntime[[#This Row],[Maintenance Downtime Hours]]="","",tblDowntime[[#This Row],[Equipment ID]])</f>
        <v/>
      </c>
      <c r="N345" s="1">
        <f>IF(tblDowntime[[#This Row],[Failure Type]]="Production",tblDowntime[[#This Row],[Downtime Hours]],"")</f>
        <v/>
      </c>
      <c r="O345">
        <f>IF(tblDowntime[[#This Row],[Production Downtime Hours]]="","",tblDowntime[[#This Row],[Equipment ID]])</f>
        <v/>
      </c>
      <c r="P345" s="10" t="n"/>
    </row>
    <row r="346">
      <c r="B346">
        <f t="array" ref="B346">_xlfn.XLOOKUP(C346,INDIRECT("tblEquipment[Equipment ID]"),INDIRECT("tblEquipment[Production Department]"),"")</f>
        <v/>
      </c>
      <c r="D346">
        <f t="array" ref="D346">_xlfn.XLOOKUP(C346,INDIRECT("tblEquipment[Equipment ID]"),INDIRECT("tblEquipment[Equipment Name]"),"")</f>
        <v/>
      </c>
      <c r="F346" s="16" t="n"/>
      <c r="G346" s="16" t="n"/>
      <c r="H346" s="1">
        <f>IF(OR(F346=0,G346=0),"",(G346-F346)*24)</f>
        <v/>
      </c>
      <c r="I346" s="10" t="n"/>
      <c r="J346" s="1">
        <f>IF(OR(tblDowntime[[#This Row],[Failure Type]]="Sawshop",tblDowntime[[#This Row],[Failure Type]]="Electrical",tblDowntime[[#This Row],[Failure Type]]="Mechanical"),tblDowntime[[#This Row],[Downtime Hours]],"")</f>
        <v/>
      </c>
      <c r="K346" s="10" t="n"/>
      <c r="L346" s="10" t="n"/>
      <c r="M346">
        <f>IF(tblDowntime[[#This Row],[Maintenance Downtime Hours]]="","",tblDowntime[[#This Row],[Equipment ID]])</f>
        <v/>
      </c>
      <c r="N346" s="1">
        <f>IF(tblDowntime[[#This Row],[Failure Type]]="Production",tblDowntime[[#This Row],[Downtime Hours]],"")</f>
        <v/>
      </c>
      <c r="O346">
        <f>IF(tblDowntime[[#This Row],[Production Downtime Hours]]="","",tblDowntime[[#This Row],[Equipment ID]])</f>
        <v/>
      </c>
      <c r="P346" s="10" t="n"/>
    </row>
    <row r="347">
      <c r="B347">
        <f t="array" ref="B347">_xlfn.XLOOKUP(C347,INDIRECT("tblEquipment[Equipment ID]"),INDIRECT("tblEquipment[Production Department]"),"")</f>
        <v/>
      </c>
      <c r="D347">
        <f t="array" ref="D347">_xlfn.XLOOKUP(C347,INDIRECT("tblEquipment[Equipment ID]"),INDIRECT("tblEquipment[Equipment Name]"),"")</f>
        <v/>
      </c>
      <c r="F347" s="16" t="n"/>
      <c r="G347" s="16" t="n"/>
      <c r="H347" s="1">
        <f>IF(OR(F347=0,G347=0),"",(G347-F347)*24)</f>
        <v/>
      </c>
      <c r="I347" s="10" t="n"/>
      <c r="J347" s="1">
        <f>IF(OR(tblDowntime[[#This Row],[Failure Type]]="Sawshop",tblDowntime[[#This Row],[Failure Type]]="Electrical",tblDowntime[[#This Row],[Failure Type]]="Mechanical"),tblDowntime[[#This Row],[Downtime Hours]],"")</f>
        <v/>
      </c>
      <c r="K347" s="10" t="n"/>
      <c r="L347" s="10" t="n"/>
      <c r="M347">
        <f>IF(tblDowntime[[#This Row],[Maintenance Downtime Hours]]="","",tblDowntime[[#This Row],[Equipment ID]])</f>
        <v/>
      </c>
      <c r="N347" s="1">
        <f>IF(tblDowntime[[#This Row],[Failure Type]]="Production",tblDowntime[[#This Row],[Downtime Hours]],"")</f>
        <v/>
      </c>
      <c r="O347">
        <f>IF(tblDowntime[[#This Row],[Production Downtime Hours]]="","",tblDowntime[[#This Row],[Equipment ID]])</f>
        <v/>
      </c>
      <c r="P347" s="10" t="n"/>
    </row>
    <row r="348">
      <c r="B348">
        <f t="array" ref="B348">_xlfn.XLOOKUP(C348,INDIRECT("tblEquipment[Equipment ID]"),INDIRECT("tblEquipment[Production Department]"),"")</f>
        <v/>
      </c>
      <c r="D348">
        <f t="array" ref="D348">_xlfn.XLOOKUP(C348,INDIRECT("tblEquipment[Equipment ID]"),INDIRECT("tblEquipment[Equipment Name]"),"")</f>
        <v/>
      </c>
      <c r="F348" s="16" t="n"/>
      <c r="G348" s="16" t="n"/>
      <c r="H348" s="1">
        <f>IF(OR(F348=0,G348=0),"",(G348-F348)*24)</f>
        <v/>
      </c>
      <c r="I348" s="10" t="n"/>
      <c r="J348" s="1">
        <f>IF(OR(tblDowntime[[#This Row],[Failure Type]]="Sawshop",tblDowntime[[#This Row],[Failure Type]]="Electrical",tblDowntime[[#This Row],[Failure Type]]="Mechanical"),tblDowntime[[#This Row],[Downtime Hours]],"")</f>
        <v/>
      </c>
      <c r="K348" s="10" t="n"/>
      <c r="L348" s="10" t="n"/>
      <c r="M348">
        <f>IF(tblDowntime[[#This Row],[Maintenance Downtime Hours]]="","",tblDowntime[[#This Row],[Equipment ID]])</f>
        <v/>
      </c>
      <c r="N348" s="1">
        <f>IF(tblDowntime[[#This Row],[Failure Type]]="Production",tblDowntime[[#This Row],[Downtime Hours]],"")</f>
        <v/>
      </c>
      <c r="O348">
        <f>IF(tblDowntime[[#This Row],[Production Downtime Hours]]="","",tblDowntime[[#This Row],[Equipment ID]])</f>
        <v/>
      </c>
      <c r="P348" s="10" t="n"/>
    </row>
    <row r="349">
      <c r="B349">
        <f t="array" ref="B349">_xlfn.XLOOKUP(C349,INDIRECT("tblEquipment[Equipment ID]"),INDIRECT("tblEquipment[Production Department]"),"")</f>
        <v/>
      </c>
      <c r="D349">
        <f t="array" ref="D349">_xlfn.XLOOKUP(C349,INDIRECT("tblEquipment[Equipment ID]"),INDIRECT("tblEquipment[Equipment Name]"),"")</f>
        <v/>
      </c>
      <c r="F349" s="16" t="n"/>
      <c r="G349" s="16" t="n"/>
      <c r="H349" s="1">
        <f>IF(OR(F349=0,G349=0),"",(G349-F349)*24)</f>
        <v/>
      </c>
      <c r="I349" s="10" t="n"/>
      <c r="J349" s="1">
        <f>IF(OR(tblDowntime[[#This Row],[Failure Type]]="Sawshop",tblDowntime[[#This Row],[Failure Type]]="Electrical",tblDowntime[[#This Row],[Failure Type]]="Mechanical"),tblDowntime[[#This Row],[Downtime Hours]],"")</f>
        <v/>
      </c>
      <c r="K349" s="10" t="n"/>
      <c r="L349" s="10" t="n"/>
      <c r="M349">
        <f>IF(tblDowntime[[#This Row],[Maintenance Downtime Hours]]="","",tblDowntime[[#This Row],[Equipment ID]])</f>
        <v/>
      </c>
      <c r="N349" s="1">
        <f>IF(tblDowntime[[#This Row],[Failure Type]]="Production",tblDowntime[[#This Row],[Downtime Hours]],"")</f>
        <v/>
      </c>
      <c r="O349">
        <f>IF(tblDowntime[[#This Row],[Production Downtime Hours]]="","",tblDowntime[[#This Row],[Equipment ID]])</f>
        <v/>
      </c>
      <c r="P349" s="10" t="n"/>
    </row>
    <row r="350">
      <c r="B350">
        <f t="array" ref="B350">_xlfn.XLOOKUP(C350,INDIRECT("tblEquipment[Equipment ID]"),INDIRECT("tblEquipment[Production Department]"),"")</f>
        <v/>
      </c>
      <c r="D350">
        <f t="array" ref="D350">_xlfn.XLOOKUP(C350,INDIRECT("tblEquipment[Equipment ID]"),INDIRECT("tblEquipment[Equipment Name]"),"")</f>
        <v/>
      </c>
      <c r="F350" s="16" t="n"/>
      <c r="G350" s="16" t="n"/>
      <c r="H350" s="1">
        <f>IF(OR(F350=0,G350=0),"",(G350-F350)*24)</f>
        <v/>
      </c>
      <c r="I350" s="10" t="n"/>
      <c r="J350" s="1">
        <f>IF(OR(tblDowntime[[#This Row],[Failure Type]]="Sawshop",tblDowntime[[#This Row],[Failure Type]]="Electrical",tblDowntime[[#This Row],[Failure Type]]="Mechanical"),tblDowntime[[#This Row],[Downtime Hours]],"")</f>
        <v/>
      </c>
      <c r="K350" s="10" t="n"/>
      <c r="L350" s="10" t="n"/>
      <c r="M350">
        <f>IF(tblDowntime[[#This Row],[Maintenance Downtime Hours]]="","",tblDowntime[[#This Row],[Equipment ID]])</f>
        <v/>
      </c>
      <c r="N350" s="1">
        <f>IF(tblDowntime[[#This Row],[Failure Type]]="Production",tblDowntime[[#This Row],[Downtime Hours]],"")</f>
        <v/>
      </c>
      <c r="O350">
        <f>IF(tblDowntime[[#This Row],[Production Downtime Hours]]="","",tblDowntime[[#This Row],[Equipment ID]])</f>
        <v/>
      </c>
      <c r="P350" s="10" t="n"/>
    </row>
    <row r="351">
      <c r="B351">
        <f t="array" ref="B351">_xlfn.XLOOKUP(C351,INDIRECT("tblEquipment[Equipment ID]"),INDIRECT("tblEquipment[Production Department]"),"")</f>
        <v/>
      </c>
      <c r="D351">
        <f t="array" ref="D351">_xlfn.XLOOKUP(C351,INDIRECT("tblEquipment[Equipment ID]"),INDIRECT("tblEquipment[Equipment Name]"),"")</f>
        <v/>
      </c>
      <c r="F351" s="16" t="n"/>
      <c r="G351" s="16" t="n"/>
      <c r="H351" s="1">
        <f>IF(OR(F351=0,G351=0),"",(G351-F351)*24)</f>
        <v/>
      </c>
      <c r="I351" s="10" t="n"/>
      <c r="J351" s="1">
        <f>IF(OR(tblDowntime[[#This Row],[Failure Type]]="Sawshop",tblDowntime[[#This Row],[Failure Type]]="Electrical",tblDowntime[[#This Row],[Failure Type]]="Mechanical"),tblDowntime[[#This Row],[Downtime Hours]],"")</f>
        <v/>
      </c>
      <c r="K351" s="10" t="n"/>
      <c r="L351" s="10" t="n"/>
      <c r="M351">
        <f>IF(tblDowntime[[#This Row],[Maintenance Downtime Hours]]="","",tblDowntime[[#This Row],[Equipment ID]])</f>
        <v/>
      </c>
      <c r="N351" s="1">
        <f>IF(tblDowntime[[#This Row],[Failure Type]]="Production",tblDowntime[[#This Row],[Downtime Hours]],"")</f>
        <v/>
      </c>
      <c r="O351">
        <f>IF(tblDowntime[[#This Row],[Production Downtime Hours]]="","",tblDowntime[[#This Row],[Equipment ID]])</f>
        <v/>
      </c>
      <c r="P351" s="10" t="n"/>
    </row>
    <row r="352">
      <c r="B352">
        <f t="array" ref="B352">_xlfn.XLOOKUP(C352,INDIRECT("tblEquipment[Equipment ID]"),INDIRECT("tblEquipment[Production Department]"),"")</f>
        <v/>
      </c>
      <c r="D352">
        <f t="array" ref="D352">_xlfn.XLOOKUP(C352,INDIRECT("tblEquipment[Equipment ID]"),INDIRECT("tblEquipment[Equipment Name]"),"")</f>
        <v/>
      </c>
      <c r="F352" s="16" t="n"/>
      <c r="G352" s="16" t="n"/>
      <c r="H352" s="1">
        <f>IF(OR(F352=0,G352=0),"",(G352-F352)*24)</f>
        <v/>
      </c>
      <c r="I352" s="10" t="n"/>
      <c r="J352" s="1">
        <f>IF(OR(tblDowntime[[#This Row],[Failure Type]]="Sawshop",tblDowntime[[#This Row],[Failure Type]]="Electrical",tblDowntime[[#This Row],[Failure Type]]="Mechanical"),tblDowntime[[#This Row],[Downtime Hours]],"")</f>
        <v/>
      </c>
      <c r="K352" s="10" t="n"/>
      <c r="L352" s="10" t="n"/>
      <c r="M352">
        <f>IF(tblDowntime[[#This Row],[Maintenance Downtime Hours]]="","",tblDowntime[[#This Row],[Equipment ID]])</f>
        <v/>
      </c>
      <c r="N352" s="1">
        <f>IF(tblDowntime[[#This Row],[Failure Type]]="Production",tblDowntime[[#This Row],[Downtime Hours]],"")</f>
        <v/>
      </c>
      <c r="O352">
        <f>IF(tblDowntime[[#This Row],[Production Downtime Hours]]="","",tblDowntime[[#This Row],[Equipment ID]])</f>
        <v/>
      </c>
      <c r="P352" s="10" t="n"/>
    </row>
    <row r="353">
      <c r="B353">
        <f t="array" ref="B353">_xlfn.XLOOKUP(C353,INDIRECT("tblEquipment[Equipment ID]"),INDIRECT("tblEquipment[Production Department]"),"")</f>
        <v/>
      </c>
      <c r="D353">
        <f t="array" ref="D353">_xlfn.XLOOKUP(C353,INDIRECT("tblEquipment[Equipment ID]"),INDIRECT("tblEquipment[Equipment Name]"),"")</f>
        <v/>
      </c>
      <c r="F353" s="16" t="n"/>
      <c r="G353" s="16" t="n"/>
      <c r="H353" s="1">
        <f>IF(OR(F353=0,G353=0),"",(G353-F353)*24)</f>
        <v/>
      </c>
      <c r="I353" s="10" t="n"/>
      <c r="J353" s="1">
        <f>IF(OR(tblDowntime[[#This Row],[Failure Type]]="Sawshop",tblDowntime[[#This Row],[Failure Type]]="Electrical",tblDowntime[[#This Row],[Failure Type]]="Mechanical"),tblDowntime[[#This Row],[Downtime Hours]],"")</f>
        <v/>
      </c>
      <c r="K353" s="10" t="n"/>
      <c r="L353" s="10" t="n"/>
      <c r="M353">
        <f>IF(tblDowntime[[#This Row],[Maintenance Downtime Hours]]="","",tblDowntime[[#This Row],[Equipment ID]])</f>
        <v/>
      </c>
      <c r="N353" s="1">
        <f>IF(tblDowntime[[#This Row],[Failure Type]]="Production",tblDowntime[[#This Row],[Downtime Hours]],"")</f>
        <v/>
      </c>
      <c r="O353">
        <f>IF(tblDowntime[[#This Row],[Production Downtime Hours]]="","",tblDowntime[[#This Row],[Equipment ID]])</f>
        <v/>
      </c>
      <c r="P353" s="10" t="n"/>
    </row>
    <row r="354">
      <c r="B354">
        <f t="array" ref="B354">_xlfn.XLOOKUP(C354,INDIRECT("tblEquipment[Equipment ID]"),INDIRECT("tblEquipment[Production Department]"),"")</f>
        <v/>
      </c>
      <c r="D354">
        <f t="array" ref="D354">_xlfn.XLOOKUP(C354,INDIRECT("tblEquipment[Equipment ID]"),INDIRECT("tblEquipment[Equipment Name]"),"")</f>
        <v/>
      </c>
      <c r="F354" s="16" t="n"/>
      <c r="G354" s="16" t="n"/>
      <c r="H354" s="1">
        <f>IF(OR(F354=0,G354=0),"",(G354-F354)*24)</f>
        <v/>
      </c>
      <c r="I354" s="10" t="n"/>
      <c r="J354" s="1">
        <f>IF(OR(tblDowntime[[#This Row],[Failure Type]]="Sawshop",tblDowntime[[#This Row],[Failure Type]]="Electrical",tblDowntime[[#This Row],[Failure Type]]="Mechanical"),tblDowntime[[#This Row],[Downtime Hours]],"")</f>
        <v/>
      </c>
      <c r="K354" s="10" t="n"/>
      <c r="L354" s="10" t="n"/>
      <c r="M354">
        <f>IF(tblDowntime[[#This Row],[Maintenance Downtime Hours]]="","",tblDowntime[[#This Row],[Equipment ID]])</f>
        <v/>
      </c>
      <c r="N354" s="1">
        <f>IF(tblDowntime[[#This Row],[Failure Type]]="Production",tblDowntime[[#This Row],[Downtime Hours]],"")</f>
        <v/>
      </c>
      <c r="O354">
        <f>IF(tblDowntime[[#This Row],[Production Downtime Hours]]="","",tblDowntime[[#This Row],[Equipment ID]])</f>
        <v/>
      </c>
      <c r="P354" s="10" t="n"/>
    </row>
    <row r="355">
      <c r="B355">
        <f t="array" ref="B355">_xlfn.XLOOKUP(C355,INDIRECT("tblEquipment[Equipment ID]"),INDIRECT("tblEquipment[Production Department]"),"")</f>
        <v/>
      </c>
      <c r="D355">
        <f t="array" ref="D355">_xlfn.XLOOKUP(C355,INDIRECT("tblEquipment[Equipment ID]"),INDIRECT("tblEquipment[Equipment Name]"),"")</f>
        <v/>
      </c>
      <c r="F355" s="16" t="n"/>
      <c r="G355" s="16" t="n"/>
      <c r="H355" s="1">
        <f>IF(OR(F355=0,G355=0),"",(G355-F355)*24)</f>
        <v/>
      </c>
      <c r="I355" s="10" t="n"/>
      <c r="J355" s="1">
        <f>IF(OR(tblDowntime[[#This Row],[Failure Type]]="Sawshop",tblDowntime[[#This Row],[Failure Type]]="Electrical",tblDowntime[[#This Row],[Failure Type]]="Mechanical"),tblDowntime[[#This Row],[Downtime Hours]],"")</f>
        <v/>
      </c>
      <c r="K355" s="10" t="n"/>
      <c r="L355" s="10" t="n"/>
      <c r="M355">
        <f>IF(tblDowntime[[#This Row],[Maintenance Downtime Hours]]="","",tblDowntime[[#This Row],[Equipment ID]])</f>
        <v/>
      </c>
      <c r="N355" s="1">
        <f>IF(tblDowntime[[#This Row],[Failure Type]]="Production",tblDowntime[[#This Row],[Downtime Hours]],"")</f>
        <v/>
      </c>
      <c r="O355">
        <f>IF(tblDowntime[[#This Row],[Production Downtime Hours]]="","",tblDowntime[[#This Row],[Equipment ID]])</f>
        <v/>
      </c>
      <c r="P355" s="10" t="n"/>
    </row>
    <row r="356">
      <c r="B356">
        <f t="array" ref="B356">_xlfn.XLOOKUP(C356,INDIRECT("tblEquipment[Equipment ID]"),INDIRECT("tblEquipment[Production Department]"),"")</f>
        <v/>
      </c>
      <c r="D356">
        <f t="array" ref="D356">_xlfn.XLOOKUP(C356,INDIRECT("tblEquipment[Equipment ID]"),INDIRECT("tblEquipment[Equipment Name]"),"")</f>
        <v/>
      </c>
      <c r="F356" s="16" t="n"/>
      <c r="G356" s="16" t="n"/>
      <c r="H356" s="1">
        <f>IF(OR(F356=0,G356=0),"",(G356-F356)*24)</f>
        <v/>
      </c>
      <c r="I356" s="10" t="n"/>
      <c r="J356" s="1">
        <f>IF(OR(tblDowntime[[#This Row],[Failure Type]]="Sawshop",tblDowntime[[#This Row],[Failure Type]]="Electrical",tblDowntime[[#This Row],[Failure Type]]="Mechanical"),tblDowntime[[#This Row],[Downtime Hours]],"")</f>
        <v/>
      </c>
      <c r="K356" s="10" t="n"/>
      <c r="L356" s="10" t="n"/>
      <c r="M356">
        <f>IF(tblDowntime[[#This Row],[Maintenance Downtime Hours]]="","",tblDowntime[[#This Row],[Equipment ID]])</f>
        <v/>
      </c>
      <c r="N356" s="1">
        <f>IF(tblDowntime[[#This Row],[Failure Type]]="Production",tblDowntime[[#This Row],[Downtime Hours]],"")</f>
        <v/>
      </c>
      <c r="O356">
        <f>IF(tblDowntime[[#This Row],[Production Downtime Hours]]="","",tblDowntime[[#This Row],[Equipment ID]])</f>
        <v/>
      </c>
      <c r="P356" s="10" t="n"/>
    </row>
    <row r="357">
      <c r="B357">
        <f t="array" ref="B357">_xlfn.XLOOKUP(C357,INDIRECT("tblEquipment[Equipment ID]"),INDIRECT("tblEquipment[Production Department]"),"")</f>
        <v/>
      </c>
      <c r="D357">
        <f t="array" ref="D357">_xlfn.XLOOKUP(C357,INDIRECT("tblEquipment[Equipment ID]"),INDIRECT("tblEquipment[Equipment Name]"),"")</f>
        <v/>
      </c>
      <c r="F357" s="16" t="n"/>
      <c r="G357" s="16" t="n"/>
      <c r="H357" s="1">
        <f>IF(OR(F357=0,G357=0),"",(G357-F357)*24)</f>
        <v/>
      </c>
      <c r="I357" s="10" t="n"/>
      <c r="J357" s="1">
        <f>IF(OR(tblDowntime[[#This Row],[Failure Type]]="Sawshop",tblDowntime[[#This Row],[Failure Type]]="Electrical",tblDowntime[[#This Row],[Failure Type]]="Mechanical"),tblDowntime[[#This Row],[Downtime Hours]],"")</f>
        <v/>
      </c>
      <c r="K357" s="10" t="n"/>
      <c r="L357" s="10" t="n"/>
      <c r="M357">
        <f>IF(tblDowntime[[#This Row],[Maintenance Downtime Hours]]="","",tblDowntime[[#This Row],[Equipment ID]])</f>
        <v/>
      </c>
      <c r="N357" s="1">
        <f>IF(tblDowntime[[#This Row],[Failure Type]]="Production",tblDowntime[[#This Row],[Downtime Hours]],"")</f>
        <v/>
      </c>
      <c r="O357">
        <f>IF(tblDowntime[[#This Row],[Production Downtime Hours]]="","",tblDowntime[[#This Row],[Equipment ID]])</f>
        <v/>
      </c>
      <c r="P357" s="10" t="n"/>
    </row>
    <row r="358">
      <c r="B358">
        <f t="array" ref="B358">_xlfn.XLOOKUP(C358,INDIRECT("tblEquipment[Equipment ID]"),INDIRECT("tblEquipment[Production Department]"),"")</f>
        <v/>
      </c>
      <c r="D358">
        <f t="array" ref="D358">_xlfn.XLOOKUP(C358,INDIRECT("tblEquipment[Equipment ID]"),INDIRECT("tblEquipment[Equipment Name]"),"")</f>
        <v/>
      </c>
      <c r="F358" s="16" t="n"/>
      <c r="G358" s="16" t="n"/>
      <c r="H358" s="1">
        <f>IF(OR(F358=0,G358=0),"",(G358-F358)*24)</f>
        <v/>
      </c>
      <c r="I358" s="10" t="n"/>
      <c r="J358" s="1">
        <f>IF(OR(tblDowntime[[#This Row],[Failure Type]]="Sawshop",tblDowntime[[#This Row],[Failure Type]]="Electrical",tblDowntime[[#This Row],[Failure Type]]="Mechanical"),tblDowntime[[#This Row],[Downtime Hours]],"")</f>
        <v/>
      </c>
      <c r="K358" s="10" t="n"/>
      <c r="L358" s="10" t="n"/>
      <c r="M358">
        <f>IF(tblDowntime[[#This Row],[Maintenance Downtime Hours]]="","",tblDowntime[[#This Row],[Equipment ID]])</f>
        <v/>
      </c>
      <c r="N358" s="1">
        <f>IF(tblDowntime[[#This Row],[Failure Type]]="Production",tblDowntime[[#This Row],[Downtime Hours]],"")</f>
        <v/>
      </c>
      <c r="O358">
        <f>IF(tblDowntime[[#This Row],[Production Downtime Hours]]="","",tblDowntime[[#This Row],[Equipment ID]])</f>
        <v/>
      </c>
      <c r="P358" s="10" t="n"/>
    </row>
    <row r="359">
      <c r="B359">
        <f t="array" ref="B359">_xlfn.XLOOKUP(C359,INDIRECT("tblEquipment[Equipment ID]"),INDIRECT("tblEquipment[Production Department]"),"")</f>
        <v/>
      </c>
      <c r="D359">
        <f t="array" ref="D359">_xlfn.XLOOKUP(C359,INDIRECT("tblEquipment[Equipment ID]"),INDIRECT("tblEquipment[Equipment Name]"),"")</f>
        <v/>
      </c>
      <c r="F359" s="16" t="n"/>
      <c r="G359" s="16" t="n"/>
      <c r="H359" s="1">
        <f>IF(OR(F359=0,G359=0),"",(G359-F359)*24)</f>
        <v/>
      </c>
      <c r="I359" s="10" t="n"/>
      <c r="J359" s="1">
        <f>IF(OR(tblDowntime[[#This Row],[Failure Type]]="Sawshop",tblDowntime[[#This Row],[Failure Type]]="Electrical",tblDowntime[[#This Row],[Failure Type]]="Mechanical"),tblDowntime[[#This Row],[Downtime Hours]],"")</f>
        <v/>
      </c>
      <c r="K359" s="10" t="n"/>
      <c r="L359" s="10" t="n"/>
      <c r="M359">
        <f>IF(tblDowntime[[#This Row],[Maintenance Downtime Hours]]="","",tblDowntime[[#This Row],[Equipment ID]])</f>
        <v/>
      </c>
      <c r="N359" s="1">
        <f>IF(tblDowntime[[#This Row],[Failure Type]]="Production",tblDowntime[[#This Row],[Downtime Hours]],"")</f>
        <v/>
      </c>
      <c r="O359">
        <f>IF(tblDowntime[[#This Row],[Production Downtime Hours]]="","",tblDowntime[[#This Row],[Equipment ID]])</f>
        <v/>
      </c>
      <c r="P359" s="10" t="n"/>
    </row>
    <row r="360">
      <c r="B360">
        <f t="array" ref="B360">_xlfn.XLOOKUP(C360,INDIRECT("tblEquipment[Equipment ID]"),INDIRECT("tblEquipment[Production Department]"),"")</f>
        <v/>
      </c>
      <c r="D360">
        <f t="array" ref="D360">_xlfn.XLOOKUP(C360,INDIRECT("tblEquipment[Equipment ID]"),INDIRECT("tblEquipment[Equipment Name]"),"")</f>
        <v/>
      </c>
      <c r="F360" s="16" t="n"/>
      <c r="G360" s="16" t="n"/>
      <c r="H360" s="1">
        <f>IF(OR(F360=0,G360=0),"",(G360-F360)*24)</f>
        <v/>
      </c>
      <c r="I360" s="10" t="n"/>
      <c r="J360" s="1">
        <f>IF(OR(tblDowntime[[#This Row],[Failure Type]]="Sawshop",tblDowntime[[#This Row],[Failure Type]]="Electrical",tblDowntime[[#This Row],[Failure Type]]="Mechanical"),tblDowntime[[#This Row],[Downtime Hours]],"")</f>
        <v/>
      </c>
      <c r="K360" s="10" t="n"/>
      <c r="L360" s="10" t="n"/>
      <c r="M360">
        <f>IF(tblDowntime[[#This Row],[Maintenance Downtime Hours]]="","",tblDowntime[[#This Row],[Equipment ID]])</f>
        <v/>
      </c>
      <c r="N360" s="1">
        <f>IF(tblDowntime[[#This Row],[Failure Type]]="Production",tblDowntime[[#This Row],[Downtime Hours]],"")</f>
        <v/>
      </c>
      <c r="O360">
        <f>IF(tblDowntime[[#This Row],[Production Downtime Hours]]="","",tblDowntime[[#This Row],[Equipment ID]])</f>
        <v/>
      </c>
      <c r="P360" s="10" t="n"/>
    </row>
    <row r="361">
      <c r="B361">
        <f t="array" ref="B361">_xlfn.XLOOKUP(C361,INDIRECT("tblEquipment[Equipment ID]"),INDIRECT("tblEquipment[Production Department]"),"")</f>
        <v/>
      </c>
      <c r="D361">
        <f t="array" ref="D361">_xlfn.XLOOKUP(C361,INDIRECT("tblEquipment[Equipment ID]"),INDIRECT("tblEquipment[Equipment Name]"),"")</f>
        <v/>
      </c>
      <c r="F361" s="16" t="n"/>
      <c r="G361" s="16" t="n"/>
      <c r="H361" s="1">
        <f>IF(OR(F361=0,G361=0),"",(G361-F361)*24)</f>
        <v/>
      </c>
      <c r="I361" s="10" t="n"/>
      <c r="J361" s="1">
        <f>IF(OR(tblDowntime[[#This Row],[Failure Type]]="Sawshop",tblDowntime[[#This Row],[Failure Type]]="Electrical",tblDowntime[[#This Row],[Failure Type]]="Mechanical"),tblDowntime[[#This Row],[Downtime Hours]],"")</f>
        <v/>
      </c>
      <c r="K361" s="10" t="n"/>
      <c r="L361" s="10" t="n"/>
      <c r="M361">
        <f>IF(tblDowntime[[#This Row],[Maintenance Downtime Hours]]="","",tblDowntime[[#This Row],[Equipment ID]])</f>
        <v/>
      </c>
      <c r="N361" s="1">
        <f>IF(tblDowntime[[#This Row],[Failure Type]]="Production",tblDowntime[[#This Row],[Downtime Hours]],"")</f>
        <v/>
      </c>
      <c r="O361">
        <f>IF(tblDowntime[[#This Row],[Production Downtime Hours]]="","",tblDowntime[[#This Row],[Equipment ID]])</f>
        <v/>
      </c>
      <c r="P361" s="10" t="n"/>
    </row>
    <row r="362">
      <c r="B362">
        <f t="array" ref="B362">_xlfn.XLOOKUP(C362,INDIRECT("tblEquipment[Equipment ID]"),INDIRECT("tblEquipment[Production Department]"),"")</f>
        <v/>
      </c>
      <c r="D362">
        <f t="array" ref="D362">_xlfn.XLOOKUP(C362,INDIRECT("tblEquipment[Equipment ID]"),INDIRECT("tblEquipment[Equipment Name]"),"")</f>
        <v/>
      </c>
      <c r="F362" s="16" t="n"/>
      <c r="G362" s="16" t="n"/>
      <c r="H362" s="1">
        <f>IF(OR(F362=0,G362=0),"",(G362-F362)*24)</f>
        <v/>
      </c>
      <c r="I362" s="10" t="n"/>
      <c r="J362" s="1">
        <f>IF(OR(tblDowntime[[#This Row],[Failure Type]]="Sawshop",tblDowntime[[#This Row],[Failure Type]]="Electrical",tblDowntime[[#This Row],[Failure Type]]="Mechanical"),tblDowntime[[#This Row],[Downtime Hours]],"")</f>
        <v/>
      </c>
      <c r="K362" s="10" t="n"/>
      <c r="L362" s="10" t="n"/>
      <c r="M362">
        <f>IF(tblDowntime[[#This Row],[Maintenance Downtime Hours]]="","",tblDowntime[[#This Row],[Equipment ID]])</f>
        <v/>
      </c>
      <c r="N362" s="1">
        <f>IF(tblDowntime[[#This Row],[Failure Type]]="Production",tblDowntime[[#This Row],[Downtime Hours]],"")</f>
        <v/>
      </c>
      <c r="O362">
        <f>IF(tblDowntime[[#This Row],[Production Downtime Hours]]="","",tblDowntime[[#This Row],[Equipment ID]])</f>
        <v/>
      </c>
      <c r="P362" s="10" t="n"/>
    </row>
    <row r="363">
      <c r="B363">
        <f t="array" ref="B363">_xlfn.XLOOKUP(C363,INDIRECT("tblEquipment[Equipment ID]"),INDIRECT("tblEquipment[Production Department]"),"")</f>
        <v/>
      </c>
      <c r="D363">
        <f t="array" ref="D363">_xlfn.XLOOKUP(C363,INDIRECT("tblEquipment[Equipment ID]"),INDIRECT("tblEquipment[Equipment Name]"),"")</f>
        <v/>
      </c>
      <c r="F363" s="16" t="n"/>
      <c r="G363" s="16" t="n"/>
      <c r="H363" s="1">
        <f>IF(OR(F363=0,G363=0),"",(G363-F363)*24)</f>
        <v/>
      </c>
      <c r="I363" s="10" t="n"/>
      <c r="J363" s="1">
        <f>IF(OR(tblDowntime[[#This Row],[Failure Type]]="Sawshop",tblDowntime[[#This Row],[Failure Type]]="Electrical",tblDowntime[[#This Row],[Failure Type]]="Mechanical"),tblDowntime[[#This Row],[Downtime Hours]],"")</f>
        <v/>
      </c>
      <c r="K363" s="10" t="n"/>
      <c r="L363" s="10" t="n"/>
      <c r="M363">
        <f>IF(tblDowntime[[#This Row],[Maintenance Downtime Hours]]="","",tblDowntime[[#This Row],[Equipment ID]])</f>
        <v/>
      </c>
      <c r="N363" s="1">
        <f>IF(tblDowntime[[#This Row],[Failure Type]]="Production",tblDowntime[[#This Row],[Downtime Hours]],"")</f>
        <v/>
      </c>
      <c r="O363">
        <f>IF(tblDowntime[[#This Row],[Production Downtime Hours]]="","",tblDowntime[[#This Row],[Equipment ID]])</f>
        <v/>
      </c>
      <c r="P363" s="10" t="n"/>
    </row>
    <row r="364">
      <c r="B364">
        <f t="array" ref="B364">_xlfn.XLOOKUP(C364,INDIRECT("tblEquipment[Equipment ID]"),INDIRECT("tblEquipment[Production Department]"),"")</f>
        <v/>
      </c>
      <c r="D364">
        <f t="array" ref="D364">_xlfn.XLOOKUP(C364,INDIRECT("tblEquipment[Equipment ID]"),INDIRECT("tblEquipment[Equipment Name]"),"")</f>
        <v/>
      </c>
      <c r="F364" s="16" t="n"/>
      <c r="G364" s="16" t="n"/>
      <c r="H364" s="1">
        <f>IF(OR(F364=0,G364=0),"",(G364-F364)*24)</f>
        <v/>
      </c>
      <c r="I364" s="10" t="n"/>
      <c r="J364" s="1">
        <f>IF(OR(tblDowntime[[#This Row],[Failure Type]]="Sawshop",tblDowntime[[#This Row],[Failure Type]]="Electrical",tblDowntime[[#This Row],[Failure Type]]="Mechanical"),tblDowntime[[#This Row],[Downtime Hours]],"")</f>
        <v/>
      </c>
      <c r="K364" s="10" t="n"/>
      <c r="L364" s="10" t="n"/>
      <c r="M364">
        <f>IF(tblDowntime[[#This Row],[Maintenance Downtime Hours]]="","",tblDowntime[[#This Row],[Equipment ID]])</f>
        <v/>
      </c>
      <c r="N364" s="1">
        <f>IF(tblDowntime[[#This Row],[Failure Type]]="Production",tblDowntime[[#This Row],[Downtime Hours]],"")</f>
        <v/>
      </c>
      <c r="O364">
        <f>IF(tblDowntime[[#This Row],[Production Downtime Hours]]="","",tblDowntime[[#This Row],[Equipment ID]])</f>
        <v/>
      </c>
      <c r="P364" s="10" t="n"/>
    </row>
    <row r="365">
      <c r="B365">
        <f t="array" ref="B365">_xlfn.XLOOKUP(C365,INDIRECT("tblEquipment[Equipment ID]"),INDIRECT("tblEquipment[Production Department]"),"")</f>
        <v/>
      </c>
      <c r="D365">
        <f t="array" ref="D365">_xlfn.XLOOKUP(C365,INDIRECT("tblEquipment[Equipment ID]"),INDIRECT("tblEquipment[Equipment Name]"),"")</f>
        <v/>
      </c>
      <c r="F365" s="16" t="n"/>
      <c r="G365" s="16" t="n"/>
      <c r="H365" s="1">
        <f>IF(OR(F365=0,G365=0),"",(G365-F365)*24)</f>
        <v/>
      </c>
      <c r="I365" s="10" t="n"/>
      <c r="J365" s="1">
        <f>IF(OR(tblDowntime[[#This Row],[Failure Type]]="Sawshop",tblDowntime[[#This Row],[Failure Type]]="Electrical",tblDowntime[[#This Row],[Failure Type]]="Mechanical"),tblDowntime[[#This Row],[Downtime Hours]],"")</f>
        <v/>
      </c>
      <c r="K365" s="10" t="n"/>
      <c r="L365" s="10" t="n"/>
      <c r="M365">
        <f>IF(tblDowntime[[#This Row],[Maintenance Downtime Hours]]="","",tblDowntime[[#This Row],[Equipment ID]])</f>
        <v/>
      </c>
      <c r="N365" s="1">
        <f>IF(tblDowntime[[#This Row],[Failure Type]]="Production",tblDowntime[[#This Row],[Downtime Hours]],"")</f>
        <v/>
      </c>
      <c r="O365">
        <f>IF(tblDowntime[[#This Row],[Production Downtime Hours]]="","",tblDowntime[[#This Row],[Equipment ID]])</f>
        <v/>
      </c>
      <c r="P365" s="10" t="n"/>
    </row>
    <row r="366">
      <c r="B366">
        <f t="array" ref="B366">_xlfn.XLOOKUP(C366,INDIRECT("tblEquipment[Equipment ID]"),INDIRECT("tblEquipment[Production Department]"),"")</f>
        <v/>
      </c>
      <c r="D366">
        <f t="array" ref="D366">_xlfn.XLOOKUP(C366,INDIRECT("tblEquipment[Equipment ID]"),INDIRECT("tblEquipment[Equipment Name]"),"")</f>
        <v/>
      </c>
      <c r="F366" s="16" t="n"/>
      <c r="G366" s="16" t="n"/>
      <c r="H366" s="1">
        <f>IF(OR(F366=0,G366=0),"",(G366-F366)*24)</f>
        <v/>
      </c>
      <c r="I366" s="10" t="n"/>
      <c r="J366" s="1">
        <f>IF(OR(tblDowntime[[#This Row],[Failure Type]]="Sawshop",tblDowntime[[#This Row],[Failure Type]]="Electrical",tblDowntime[[#This Row],[Failure Type]]="Mechanical"),tblDowntime[[#This Row],[Downtime Hours]],"")</f>
        <v/>
      </c>
      <c r="K366" s="10" t="n"/>
      <c r="L366" s="10" t="n"/>
      <c r="M366">
        <f>IF(tblDowntime[[#This Row],[Maintenance Downtime Hours]]="","",tblDowntime[[#This Row],[Equipment ID]])</f>
        <v/>
      </c>
      <c r="N366" s="1">
        <f>IF(tblDowntime[[#This Row],[Failure Type]]="Production",tblDowntime[[#This Row],[Downtime Hours]],"")</f>
        <v/>
      </c>
      <c r="O366">
        <f>IF(tblDowntime[[#This Row],[Production Downtime Hours]]="","",tblDowntime[[#This Row],[Equipment ID]])</f>
        <v/>
      </c>
      <c r="P366" s="10" t="n"/>
    </row>
    <row r="367">
      <c r="B367">
        <f t="array" ref="B367">_xlfn.XLOOKUP(C367,INDIRECT("tblEquipment[Equipment ID]"),INDIRECT("tblEquipment[Production Department]"),"")</f>
        <v/>
      </c>
      <c r="D367">
        <f t="array" ref="D367">_xlfn.XLOOKUP(C367,INDIRECT("tblEquipment[Equipment ID]"),INDIRECT("tblEquipment[Equipment Name]"),"")</f>
        <v/>
      </c>
      <c r="F367" s="16" t="n"/>
      <c r="G367" s="16" t="n"/>
      <c r="H367" s="1">
        <f>IF(OR(F367=0,G367=0),"",(G367-F367)*24)</f>
        <v/>
      </c>
      <c r="I367" s="10" t="n"/>
      <c r="J367" s="1">
        <f>IF(OR(tblDowntime[[#This Row],[Failure Type]]="Sawshop",tblDowntime[[#This Row],[Failure Type]]="Electrical",tblDowntime[[#This Row],[Failure Type]]="Mechanical"),tblDowntime[[#This Row],[Downtime Hours]],"")</f>
        <v/>
      </c>
      <c r="K367" s="10" t="n"/>
      <c r="L367" s="10" t="n"/>
      <c r="M367">
        <f>IF(tblDowntime[[#This Row],[Maintenance Downtime Hours]]="","",tblDowntime[[#This Row],[Equipment ID]])</f>
        <v/>
      </c>
      <c r="N367" s="1">
        <f>IF(tblDowntime[[#This Row],[Failure Type]]="Production",tblDowntime[[#This Row],[Downtime Hours]],"")</f>
        <v/>
      </c>
      <c r="O367">
        <f>IF(tblDowntime[[#This Row],[Production Downtime Hours]]="","",tblDowntime[[#This Row],[Equipment ID]])</f>
        <v/>
      </c>
      <c r="P367" s="10" t="n"/>
    </row>
    <row r="368">
      <c r="B368">
        <f t="array" ref="B368">_xlfn.XLOOKUP(C368,INDIRECT("tblEquipment[Equipment ID]"),INDIRECT("tblEquipment[Production Department]"),"")</f>
        <v/>
      </c>
      <c r="D368">
        <f t="array" ref="D368">_xlfn.XLOOKUP(C368,INDIRECT("tblEquipment[Equipment ID]"),INDIRECT("tblEquipment[Equipment Name]"),"")</f>
        <v/>
      </c>
      <c r="F368" s="16" t="n"/>
      <c r="G368" s="16" t="n"/>
      <c r="H368" s="1">
        <f>IF(OR(F368=0,G368=0),"",(G368-F368)*24)</f>
        <v/>
      </c>
      <c r="I368" s="10" t="n"/>
      <c r="J368" s="1">
        <f>IF(OR(tblDowntime[[#This Row],[Failure Type]]="Sawshop",tblDowntime[[#This Row],[Failure Type]]="Electrical",tblDowntime[[#This Row],[Failure Type]]="Mechanical"),tblDowntime[[#This Row],[Downtime Hours]],"")</f>
        <v/>
      </c>
      <c r="K368" s="10" t="n"/>
      <c r="L368" s="10" t="n"/>
      <c r="M368">
        <f>IF(tblDowntime[[#This Row],[Maintenance Downtime Hours]]="","",tblDowntime[[#This Row],[Equipment ID]])</f>
        <v/>
      </c>
      <c r="N368" s="1">
        <f>IF(tblDowntime[[#This Row],[Failure Type]]="Production",tblDowntime[[#This Row],[Downtime Hours]],"")</f>
        <v/>
      </c>
      <c r="O368">
        <f>IF(tblDowntime[[#This Row],[Production Downtime Hours]]="","",tblDowntime[[#This Row],[Equipment ID]])</f>
        <v/>
      </c>
      <c r="P368" s="10" t="n"/>
    </row>
    <row r="369">
      <c r="B369">
        <f t="array" ref="B369">_xlfn.XLOOKUP(C369,INDIRECT("tblEquipment[Equipment ID]"),INDIRECT("tblEquipment[Production Department]"),"")</f>
        <v/>
      </c>
      <c r="D369">
        <f t="array" ref="D369">_xlfn.XLOOKUP(C369,INDIRECT("tblEquipment[Equipment ID]"),INDIRECT("tblEquipment[Equipment Name]"),"")</f>
        <v/>
      </c>
      <c r="F369" s="16" t="n"/>
      <c r="G369" s="16" t="n"/>
      <c r="H369" s="1">
        <f>IF(OR(F369=0,G369=0),"",(G369-F369)*24)</f>
        <v/>
      </c>
      <c r="I369" s="10" t="n"/>
      <c r="J369" s="1">
        <f>IF(OR(tblDowntime[[#This Row],[Failure Type]]="Sawshop",tblDowntime[[#This Row],[Failure Type]]="Electrical",tblDowntime[[#This Row],[Failure Type]]="Mechanical"),tblDowntime[[#This Row],[Downtime Hours]],"")</f>
        <v/>
      </c>
      <c r="K369" s="10" t="n"/>
      <c r="L369" s="10" t="n"/>
      <c r="M369">
        <f>IF(tblDowntime[[#This Row],[Maintenance Downtime Hours]]="","",tblDowntime[[#This Row],[Equipment ID]])</f>
        <v/>
      </c>
      <c r="N369" s="1">
        <f>IF(tblDowntime[[#This Row],[Failure Type]]="Production",tblDowntime[[#This Row],[Downtime Hours]],"")</f>
        <v/>
      </c>
      <c r="O369">
        <f>IF(tblDowntime[[#This Row],[Production Downtime Hours]]="","",tblDowntime[[#This Row],[Equipment ID]])</f>
        <v/>
      </c>
      <c r="P369" s="10" t="n"/>
    </row>
    <row r="370">
      <c r="B370">
        <f t="array" ref="B370">_xlfn.XLOOKUP(C370,INDIRECT("tblEquipment[Equipment ID]"),INDIRECT("tblEquipment[Production Department]"),"")</f>
        <v/>
      </c>
      <c r="D370">
        <f t="array" ref="D370">_xlfn.XLOOKUP(C370,INDIRECT("tblEquipment[Equipment ID]"),INDIRECT("tblEquipment[Equipment Name]"),"")</f>
        <v/>
      </c>
      <c r="F370" s="16" t="n"/>
      <c r="G370" s="16" t="n"/>
      <c r="H370" s="1">
        <f>IF(OR(F370=0,G370=0),"",(G370-F370)*24)</f>
        <v/>
      </c>
      <c r="I370" s="10" t="n"/>
      <c r="J370" s="1">
        <f>IF(OR(tblDowntime[[#This Row],[Failure Type]]="Sawshop",tblDowntime[[#This Row],[Failure Type]]="Electrical",tblDowntime[[#This Row],[Failure Type]]="Mechanical"),tblDowntime[[#This Row],[Downtime Hours]],"")</f>
        <v/>
      </c>
      <c r="K370" s="10" t="n"/>
      <c r="L370" s="10" t="n"/>
      <c r="M370">
        <f>IF(tblDowntime[[#This Row],[Maintenance Downtime Hours]]="","",tblDowntime[[#This Row],[Equipment ID]])</f>
        <v/>
      </c>
      <c r="N370" s="1">
        <f>IF(tblDowntime[[#This Row],[Failure Type]]="Production",tblDowntime[[#This Row],[Downtime Hours]],"")</f>
        <v/>
      </c>
      <c r="O370">
        <f>IF(tblDowntime[[#This Row],[Production Downtime Hours]]="","",tblDowntime[[#This Row],[Equipment ID]])</f>
        <v/>
      </c>
      <c r="P370" s="10" t="n"/>
    </row>
    <row r="371">
      <c r="B371">
        <f t="array" ref="B371">_xlfn.XLOOKUP(C371,INDIRECT("tblEquipment[Equipment ID]"),INDIRECT("tblEquipment[Production Department]"),"")</f>
        <v/>
      </c>
      <c r="D371">
        <f t="array" ref="D371">_xlfn.XLOOKUP(C371,INDIRECT("tblEquipment[Equipment ID]"),INDIRECT("tblEquipment[Equipment Name]"),"")</f>
        <v/>
      </c>
      <c r="F371" s="16" t="n"/>
      <c r="G371" s="16" t="n"/>
      <c r="H371" s="1">
        <f>IF(OR(F371=0,G371=0),"",(G371-F371)*24)</f>
        <v/>
      </c>
      <c r="I371" s="10" t="n"/>
      <c r="J371" s="1">
        <f>IF(OR(tblDowntime[[#This Row],[Failure Type]]="Sawshop",tblDowntime[[#This Row],[Failure Type]]="Electrical",tblDowntime[[#This Row],[Failure Type]]="Mechanical"),tblDowntime[[#This Row],[Downtime Hours]],"")</f>
        <v/>
      </c>
      <c r="K371" s="10" t="n"/>
      <c r="L371" s="10" t="n"/>
      <c r="M371">
        <f>IF(tblDowntime[[#This Row],[Maintenance Downtime Hours]]="","",tblDowntime[[#This Row],[Equipment ID]])</f>
        <v/>
      </c>
      <c r="N371" s="1">
        <f>IF(tblDowntime[[#This Row],[Failure Type]]="Production",tblDowntime[[#This Row],[Downtime Hours]],"")</f>
        <v/>
      </c>
      <c r="O371">
        <f>IF(tblDowntime[[#This Row],[Production Downtime Hours]]="","",tblDowntime[[#This Row],[Equipment ID]])</f>
        <v/>
      </c>
      <c r="P371" s="10" t="n"/>
    </row>
    <row r="372">
      <c r="B372">
        <f t="array" ref="B372">_xlfn.XLOOKUP(C372,INDIRECT("tblEquipment[Equipment ID]"),INDIRECT("tblEquipment[Production Department]"),"")</f>
        <v/>
      </c>
      <c r="D372">
        <f t="array" ref="D372">_xlfn.XLOOKUP(C372,INDIRECT("tblEquipment[Equipment ID]"),INDIRECT("tblEquipment[Equipment Name]"),"")</f>
        <v/>
      </c>
      <c r="F372" s="16" t="n"/>
      <c r="G372" s="16" t="n"/>
      <c r="H372" s="1">
        <f>IF(OR(F372=0,G372=0),"",(G372-F372)*24)</f>
        <v/>
      </c>
      <c r="I372" s="10" t="n"/>
      <c r="J372" s="1">
        <f>IF(OR(tblDowntime[[#This Row],[Failure Type]]="Sawshop",tblDowntime[[#This Row],[Failure Type]]="Electrical",tblDowntime[[#This Row],[Failure Type]]="Mechanical"),tblDowntime[[#This Row],[Downtime Hours]],"")</f>
        <v/>
      </c>
      <c r="K372" s="10" t="n"/>
      <c r="L372" s="10" t="n"/>
      <c r="M372">
        <f>IF(tblDowntime[[#This Row],[Maintenance Downtime Hours]]="","",tblDowntime[[#This Row],[Equipment ID]])</f>
        <v/>
      </c>
      <c r="N372" s="1">
        <f>IF(tblDowntime[[#This Row],[Failure Type]]="Production",tblDowntime[[#This Row],[Downtime Hours]],"")</f>
        <v/>
      </c>
      <c r="O372">
        <f>IF(tblDowntime[[#This Row],[Production Downtime Hours]]="","",tblDowntime[[#This Row],[Equipment ID]])</f>
        <v/>
      </c>
      <c r="P372" s="10" t="n"/>
    </row>
    <row r="373">
      <c r="B373">
        <f t="array" ref="B373">_xlfn.XLOOKUP(C373,INDIRECT("tblEquipment[Equipment ID]"),INDIRECT("tblEquipment[Production Department]"),"")</f>
        <v/>
      </c>
      <c r="D373">
        <f t="array" ref="D373">_xlfn.XLOOKUP(C373,INDIRECT("tblEquipment[Equipment ID]"),INDIRECT("tblEquipment[Equipment Name]"),"")</f>
        <v/>
      </c>
      <c r="F373" s="16" t="n"/>
      <c r="G373" s="16" t="n"/>
      <c r="H373" s="1">
        <f>IF(OR(F373=0,G373=0),"",(G373-F373)*24)</f>
        <v/>
      </c>
      <c r="I373" s="10" t="n"/>
      <c r="J373" s="1">
        <f>IF(OR(tblDowntime[[#This Row],[Failure Type]]="Sawshop",tblDowntime[[#This Row],[Failure Type]]="Electrical",tblDowntime[[#This Row],[Failure Type]]="Mechanical"),tblDowntime[[#This Row],[Downtime Hours]],"")</f>
        <v/>
      </c>
      <c r="K373" s="10" t="n"/>
      <c r="L373" s="10" t="n"/>
      <c r="M373">
        <f>IF(tblDowntime[[#This Row],[Maintenance Downtime Hours]]="","",tblDowntime[[#This Row],[Equipment ID]])</f>
        <v/>
      </c>
      <c r="N373" s="1">
        <f>IF(tblDowntime[[#This Row],[Failure Type]]="Production",tblDowntime[[#This Row],[Downtime Hours]],"")</f>
        <v/>
      </c>
      <c r="O373">
        <f>IF(tblDowntime[[#This Row],[Production Downtime Hours]]="","",tblDowntime[[#This Row],[Equipment ID]])</f>
        <v/>
      </c>
      <c r="P373" s="10" t="n"/>
    </row>
    <row r="374">
      <c r="B374">
        <f t="array" ref="B374">_xlfn.XLOOKUP(C374,INDIRECT("tblEquipment[Equipment ID]"),INDIRECT("tblEquipment[Production Department]"),"")</f>
        <v/>
      </c>
      <c r="D374">
        <f t="array" ref="D374">_xlfn.XLOOKUP(C374,INDIRECT("tblEquipment[Equipment ID]"),INDIRECT("tblEquipment[Equipment Name]"),"")</f>
        <v/>
      </c>
      <c r="F374" s="16" t="n"/>
      <c r="G374" s="16" t="n"/>
      <c r="H374" s="1">
        <f>IF(OR(F374=0,G374=0),"",(G374-F374)*24)</f>
        <v/>
      </c>
      <c r="I374" s="10" t="n"/>
      <c r="J374" s="1">
        <f>IF(OR(tblDowntime[[#This Row],[Failure Type]]="Sawshop",tblDowntime[[#This Row],[Failure Type]]="Electrical",tblDowntime[[#This Row],[Failure Type]]="Mechanical"),tblDowntime[[#This Row],[Downtime Hours]],"")</f>
        <v/>
      </c>
      <c r="K374" s="10" t="n"/>
      <c r="L374" s="10" t="n"/>
      <c r="M374">
        <f>IF(tblDowntime[[#This Row],[Maintenance Downtime Hours]]="","",tblDowntime[[#This Row],[Equipment ID]])</f>
        <v/>
      </c>
      <c r="N374" s="1">
        <f>IF(tblDowntime[[#This Row],[Failure Type]]="Production",tblDowntime[[#This Row],[Downtime Hours]],"")</f>
        <v/>
      </c>
      <c r="O374">
        <f>IF(tblDowntime[[#This Row],[Production Downtime Hours]]="","",tblDowntime[[#This Row],[Equipment ID]])</f>
        <v/>
      </c>
      <c r="P374" s="10" t="n"/>
    </row>
    <row r="375">
      <c r="B375">
        <f t="array" ref="B375">_xlfn.XLOOKUP(C375,INDIRECT("tblEquipment[Equipment ID]"),INDIRECT("tblEquipment[Production Department]"),"")</f>
        <v/>
      </c>
      <c r="D375">
        <f t="array" ref="D375">_xlfn.XLOOKUP(C375,INDIRECT("tblEquipment[Equipment ID]"),INDIRECT("tblEquipment[Equipment Name]"),"")</f>
        <v/>
      </c>
      <c r="F375" s="16" t="n"/>
      <c r="G375" s="16" t="n"/>
      <c r="H375" s="1">
        <f>IF(OR(F375=0,G375=0),"",(G375-F375)*24)</f>
        <v/>
      </c>
      <c r="I375" s="10" t="n"/>
      <c r="J375" s="1">
        <f>IF(OR(tblDowntime[[#This Row],[Failure Type]]="Sawshop",tblDowntime[[#This Row],[Failure Type]]="Electrical",tblDowntime[[#This Row],[Failure Type]]="Mechanical"),tblDowntime[[#This Row],[Downtime Hours]],"")</f>
        <v/>
      </c>
      <c r="K375" s="10" t="n"/>
      <c r="L375" s="10" t="n"/>
      <c r="M375">
        <f>IF(tblDowntime[[#This Row],[Maintenance Downtime Hours]]="","",tblDowntime[[#This Row],[Equipment ID]])</f>
        <v/>
      </c>
      <c r="N375" s="1">
        <f>IF(tblDowntime[[#This Row],[Failure Type]]="Production",tblDowntime[[#This Row],[Downtime Hours]],"")</f>
        <v/>
      </c>
      <c r="O375">
        <f>IF(tblDowntime[[#This Row],[Production Downtime Hours]]="","",tblDowntime[[#This Row],[Equipment ID]])</f>
        <v/>
      </c>
      <c r="P375" s="10" t="n"/>
    </row>
    <row r="376">
      <c r="B376">
        <f t="array" ref="B376">_xlfn.XLOOKUP(C376,INDIRECT("tblEquipment[Equipment ID]"),INDIRECT("tblEquipment[Production Department]"),"")</f>
        <v/>
      </c>
      <c r="D376">
        <f t="array" ref="D376">_xlfn.XLOOKUP(C376,INDIRECT("tblEquipment[Equipment ID]"),INDIRECT("tblEquipment[Equipment Name]"),"")</f>
        <v/>
      </c>
      <c r="F376" s="16" t="n"/>
      <c r="G376" s="16" t="n"/>
      <c r="H376" s="1">
        <f>IF(OR(F376=0,G376=0),"",(G376-F376)*24)</f>
        <v/>
      </c>
      <c r="I376" s="10" t="n"/>
      <c r="J376" s="1">
        <f>IF(OR(tblDowntime[[#This Row],[Failure Type]]="Sawshop",tblDowntime[[#This Row],[Failure Type]]="Electrical",tblDowntime[[#This Row],[Failure Type]]="Mechanical"),tblDowntime[[#This Row],[Downtime Hours]],"")</f>
        <v/>
      </c>
      <c r="K376" s="10" t="n"/>
      <c r="L376" s="10" t="n"/>
      <c r="M376">
        <f>IF(tblDowntime[[#This Row],[Maintenance Downtime Hours]]="","",tblDowntime[[#This Row],[Equipment ID]])</f>
        <v/>
      </c>
      <c r="N376" s="1">
        <f>IF(tblDowntime[[#This Row],[Failure Type]]="Production",tblDowntime[[#This Row],[Downtime Hours]],"")</f>
        <v/>
      </c>
      <c r="O376">
        <f>IF(tblDowntime[[#This Row],[Production Downtime Hours]]="","",tblDowntime[[#This Row],[Equipment ID]])</f>
        <v/>
      </c>
      <c r="P376" s="10" t="n"/>
    </row>
    <row r="377">
      <c r="B377">
        <f t="array" ref="B377">_xlfn.XLOOKUP(C377,INDIRECT("tblEquipment[Equipment ID]"),INDIRECT("tblEquipment[Production Department]"),"")</f>
        <v/>
      </c>
      <c r="D377">
        <f t="array" ref="D377">_xlfn.XLOOKUP(C377,INDIRECT("tblEquipment[Equipment ID]"),INDIRECT("tblEquipment[Equipment Name]"),"")</f>
        <v/>
      </c>
      <c r="F377" s="16" t="n"/>
      <c r="G377" s="16" t="n"/>
      <c r="H377" s="1">
        <f>IF(OR(F377=0,G377=0),"",(G377-F377)*24)</f>
        <v/>
      </c>
      <c r="I377" s="10" t="n"/>
      <c r="J377" s="1">
        <f>IF(OR(tblDowntime[[#This Row],[Failure Type]]="Sawshop",tblDowntime[[#This Row],[Failure Type]]="Electrical",tblDowntime[[#This Row],[Failure Type]]="Mechanical"),tblDowntime[[#This Row],[Downtime Hours]],"")</f>
        <v/>
      </c>
      <c r="K377" s="10" t="n"/>
      <c r="L377" s="10" t="n"/>
      <c r="M377">
        <f>IF(tblDowntime[[#This Row],[Maintenance Downtime Hours]]="","",tblDowntime[[#This Row],[Equipment ID]])</f>
        <v/>
      </c>
      <c r="N377" s="1">
        <f>IF(tblDowntime[[#This Row],[Failure Type]]="Production",tblDowntime[[#This Row],[Downtime Hours]],"")</f>
        <v/>
      </c>
      <c r="O377">
        <f>IF(tblDowntime[[#This Row],[Production Downtime Hours]]="","",tblDowntime[[#This Row],[Equipment ID]])</f>
        <v/>
      </c>
      <c r="P377" s="10" t="n"/>
    </row>
    <row r="378">
      <c r="B378">
        <f t="array" ref="B378">_xlfn.XLOOKUP(C378,INDIRECT("tblEquipment[Equipment ID]"),INDIRECT("tblEquipment[Production Department]"),"")</f>
        <v/>
      </c>
      <c r="D378">
        <f t="array" ref="D378">_xlfn.XLOOKUP(C378,INDIRECT("tblEquipment[Equipment ID]"),INDIRECT("tblEquipment[Equipment Name]"),"")</f>
        <v/>
      </c>
      <c r="F378" s="16" t="n"/>
      <c r="G378" s="16" t="n"/>
      <c r="H378" s="1">
        <f>IF(OR(F378=0,G378=0),"",(G378-F378)*24)</f>
        <v/>
      </c>
      <c r="I378" s="10" t="n"/>
      <c r="J378" s="1">
        <f>IF(OR(tblDowntime[[#This Row],[Failure Type]]="Sawshop",tblDowntime[[#This Row],[Failure Type]]="Electrical",tblDowntime[[#This Row],[Failure Type]]="Mechanical"),tblDowntime[[#This Row],[Downtime Hours]],"")</f>
        <v/>
      </c>
      <c r="K378" s="10" t="n"/>
      <c r="L378" s="10" t="n"/>
      <c r="M378">
        <f>IF(tblDowntime[[#This Row],[Maintenance Downtime Hours]]="","",tblDowntime[[#This Row],[Equipment ID]])</f>
        <v/>
      </c>
      <c r="N378" s="1">
        <f>IF(tblDowntime[[#This Row],[Failure Type]]="Production",tblDowntime[[#This Row],[Downtime Hours]],"")</f>
        <v/>
      </c>
      <c r="O378">
        <f>IF(tblDowntime[[#This Row],[Production Downtime Hours]]="","",tblDowntime[[#This Row],[Equipment ID]])</f>
        <v/>
      </c>
      <c r="P378" s="10" t="n"/>
    </row>
    <row r="379">
      <c r="B379">
        <f t="array" ref="B379">_xlfn.XLOOKUP(C379,INDIRECT("tblEquipment[Equipment ID]"),INDIRECT("tblEquipment[Production Department]"),"")</f>
        <v/>
      </c>
      <c r="D379">
        <f t="array" ref="D379">_xlfn.XLOOKUP(C379,INDIRECT("tblEquipment[Equipment ID]"),INDIRECT("tblEquipment[Equipment Name]"),"")</f>
        <v/>
      </c>
      <c r="F379" s="16" t="n"/>
      <c r="G379" s="16" t="n"/>
      <c r="H379" s="1">
        <f>IF(OR(F379=0,G379=0),"",(G379-F379)*24)</f>
        <v/>
      </c>
      <c r="I379" s="10" t="n"/>
      <c r="J379" s="1">
        <f>IF(OR(tblDowntime[[#This Row],[Failure Type]]="Sawshop",tblDowntime[[#This Row],[Failure Type]]="Electrical",tblDowntime[[#This Row],[Failure Type]]="Mechanical"),tblDowntime[[#This Row],[Downtime Hours]],"")</f>
        <v/>
      </c>
      <c r="K379" s="10" t="n"/>
      <c r="L379" s="10" t="n"/>
      <c r="M379">
        <f>IF(tblDowntime[[#This Row],[Maintenance Downtime Hours]]="","",tblDowntime[[#This Row],[Equipment ID]])</f>
        <v/>
      </c>
      <c r="N379" s="1">
        <f>IF(tblDowntime[[#This Row],[Failure Type]]="Production",tblDowntime[[#This Row],[Downtime Hours]],"")</f>
        <v/>
      </c>
      <c r="O379">
        <f>IF(tblDowntime[[#This Row],[Production Downtime Hours]]="","",tblDowntime[[#This Row],[Equipment ID]])</f>
        <v/>
      </c>
      <c r="P379" s="10" t="n"/>
    </row>
    <row r="380">
      <c r="B380">
        <f t="array" ref="B380">_xlfn.XLOOKUP(C380,INDIRECT("tblEquipment[Equipment ID]"),INDIRECT("tblEquipment[Production Department]"),"")</f>
        <v/>
      </c>
      <c r="D380">
        <f t="array" ref="D380">_xlfn.XLOOKUP(C380,INDIRECT("tblEquipment[Equipment ID]"),INDIRECT("tblEquipment[Equipment Name]"),"")</f>
        <v/>
      </c>
      <c r="F380" s="16" t="n"/>
      <c r="G380" s="16" t="n"/>
      <c r="H380" s="1">
        <f>IF(OR(F380=0,G380=0),"",(G380-F380)*24)</f>
        <v/>
      </c>
      <c r="I380" s="10" t="n"/>
      <c r="J380" s="1">
        <f>IF(OR(tblDowntime[[#This Row],[Failure Type]]="Sawshop",tblDowntime[[#This Row],[Failure Type]]="Electrical",tblDowntime[[#This Row],[Failure Type]]="Mechanical"),tblDowntime[[#This Row],[Downtime Hours]],"")</f>
        <v/>
      </c>
      <c r="K380" s="10" t="n"/>
      <c r="L380" s="10" t="n"/>
      <c r="M380">
        <f>IF(tblDowntime[[#This Row],[Maintenance Downtime Hours]]="","",tblDowntime[[#This Row],[Equipment ID]])</f>
        <v/>
      </c>
      <c r="N380" s="1">
        <f>IF(tblDowntime[[#This Row],[Failure Type]]="Production",tblDowntime[[#This Row],[Downtime Hours]],"")</f>
        <v/>
      </c>
      <c r="O380">
        <f>IF(tblDowntime[[#This Row],[Production Downtime Hours]]="","",tblDowntime[[#This Row],[Equipment ID]])</f>
        <v/>
      </c>
      <c r="P380" s="10" t="n"/>
    </row>
    <row r="381">
      <c r="B381">
        <f t="array" ref="B381">_xlfn.XLOOKUP(C381,INDIRECT("tblEquipment[Equipment ID]"),INDIRECT("tblEquipment[Production Department]"),"")</f>
        <v/>
      </c>
      <c r="D381">
        <f t="array" ref="D381">_xlfn.XLOOKUP(C381,INDIRECT("tblEquipment[Equipment ID]"),INDIRECT("tblEquipment[Equipment Name]"),"")</f>
        <v/>
      </c>
      <c r="F381" s="16" t="n"/>
      <c r="G381" s="16" t="n"/>
      <c r="H381" s="1">
        <f>IF(OR(F381=0,G381=0),"",(G381-F381)*24)</f>
        <v/>
      </c>
      <c r="I381" s="10" t="n"/>
      <c r="J381" s="1">
        <f>IF(OR(tblDowntime[[#This Row],[Failure Type]]="Sawshop",tblDowntime[[#This Row],[Failure Type]]="Electrical",tblDowntime[[#This Row],[Failure Type]]="Mechanical"),tblDowntime[[#This Row],[Downtime Hours]],"")</f>
        <v/>
      </c>
      <c r="K381" s="10" t="n"/>
      <c r="L381" s="10" t="n"/>
      <c r="M381">
        <f>IF(tblDowntime[[#This Row],[Maintenance Downtime Hours]]="","",tblDowntime[[#This Row],[Equipment ID]])</f>
        <v/>
      </c>
      <c r="N381" s="1">
        <f>IF(tblDowntime[[#This Row],[Failure Type]]="Production",tblDowntime[[#This Row],[Downtime Hours]],"")</f>
        <v/>
      </c>
      <c r="O381">
        <f>IF(tblDowntime[[#This Row],[Production Downtime Hours]]="","",tblDowntime[[#This Row],[Equipment ID]])</f>
        <v/>
      </c>
      <c r="P381" s="10" t="n"/>
    </row>
    <row r="382">
      <c r="B382">
        <f t="array" ref="B382">_xlfn.XLOOKUP(C382,INDIRECT("tblEquipment[Equipment ID]"),INDIRECT("tblEquipment[Production Department]"),"")</f>
        <v/>
      </c>
      <c r="D382">
        <f t="array" ref="D382">_xlfn.XLOOKUP(C382,INDIRECT("tblEquipment[Equipment ID]"),INDIRECT("tblEquipment[Equipment Name]"),"")</f>
        <v/>
      </c>
      <c r="F382" s="16" t="n"/>
      <c r="G382" s="16" t="n"/>
      <c r="H382" s="1">
        <f>IF(OR(F382=0,G382=0),"",(G382-F382)*24)</f>
        <v/>
      </c>
      <c r="I382" s="10" t="n"/>
      <c r="J382" s="1">
        <f>IF(OR(tblDowntime[[#This Row],[Failure Type]]="Sawshop",tblDowntime[[#This Row],[Failure Type]]="Electrical",tblDowntime[[#This Row],[Failure Type]]="Mechanical"),tblDowntime[[#This Row],[Downtime Hours]],"")</f>
        <v/>
      </c>
      <c r="K382" s="10" t="n"/>
      <c r="L382" s="10" t="n"/>
      <c r="M382">
        <f>IF(tblDowntime[[#This Row],[Maintenance Downtime Hours]]="","",tblDowntime[[#This Row],[Equipment ID]])</f>
        <v/>
      </c>
      <c r="N382" s="1">
        <f>IF(tblDowntime[[#This Row],[Failure Type]]="Production",tblDowntime[[#This Row],[Downtime Hours]],"")</f>
        <v/>
      </c>
      <c r="O382">
        <f>IF(tblDowntime[[#This Row],[Production Downtime Hours]]="","",tblDowntime[[#This Row],[Equipment ID]])</f>
        <v/>
      </c>
      <c r="P382" s="10" t="n"/>
    </row>
    <row r="383">
      <c r="B383">
        <f t="array" ref="B383">_xlfn.XLOOKUP(C383,INDIRECT("tblEquipment[Equipment ID]"),INDIRECT("tblEquipment[Production Department]"),"")</f>
        <v/>
      </c>
      <c r="D383">
        <f t="array" ref="D383">_xlfn.XLOOKUP(C383,INDIRECT("tblEquipment[Equipment ID]"),INDIRECT("tblEquipment[Equipment Name]"),"")</f>
        <v/>
      </c>
      <c r="F383" s="16" t="n"/>
      <c r="G383" s="16" t="n"/>
      <c r="H383" s="1">
        <f>IF(OR(F383=0,G383=0),"",(G383-F383)*24)</f>
        <v/>
      </c>
      <c r="I383" s="10" t="n"/>
      <c r="J383" s="1">
        <f>IF(OR(tblDowntime[[#This Row],[Failure Type]]="Sawshop",tblDowntime[[#This Row],[Failure Type]]="Electrical",tblDowntime[[#This Row],[Failure Type]]="Mechanical"),tblDowntime[[#This Row],[Downtime Hours]],"")</f>
        <v/>
      </c>
      <c r="K383" s="10" t="n"/>
      <c r="L383" s="10" t="n"/>
      <c r="M383">
        <f>IF(tblDowntime[[#This Row],[Maintenance Downtime Hours]]="","",tblDowntime[[#This Row],[Equipment ID]])</f>
        <v/>
      </c>
      <c r="N383" s="1">
        <f>IF(tblDowntime[[#This Row],[Failure Type]]="Production",tblDowntime[[#This Row],[Downtime Hours]],"")</f>
        <v/>
      </c>
      <c r="O383">
        <f>IF(tblDowntime[[#This Row],[Production Downtime Hours]]="","",tblDowntime[[#This Row],[Equipment ID]])</f>
        <v/>
      </c>
      <c r="P383" s="10" t="n"/>
    </row>
    <row r="384">
      <c r="B384">
        <f t="array" ref="B384">_xlfn.XLOOKUP(C384,INDIRECT("tblEquipment[Equipment ID]"),INDIRECT("tblEquipment[Production Department]"),"")</f>
        <v/>
      </c>
      <c r="D384">
        <f t="array" ref="D384">_xlfn.XLOOKUP(C384,INDIRECT("tblEquipment[Equipment ID]"),INDIRECT("tblEquipment[Equipment Name]"),"")</f>
        <v/>
      </c>
      <c r="F384" s="16" t="n"/>
      <c r="G384" s="16" t="n"/>
      <c r="H384" s="1">
        <f>IF(OR(F384=0,G384=0),"",(G384-F384)*24)</f>
        <v/>
      </c>
      <c r="I384" s="10" t="n"/>
      <c r="J384" s="1">
        <f>IF(OR(tblDowntime[[#This Row],[Failure Type]]="Sawshop",tblDowntime[[#This Row],[Failure Type]]="Electrical",tblDowntime[[#This Row],[Failure Type]]="Mechanical"),tblDowntime[[#This Row],[Downtime Hours]],"")</f>
        <v/>
      </c>
      <c r="K384" s="10" t="n"/>
      <c r="L384" s="10" t="n"/>
      <c r="M384">
        <f>IF(tblDowntime[[#This Row],[Maintenance Downtime Hours]]="","",tblDowntime[[#This Row],[Equipment ID]])</f>
        <v/>
      </c>
      <c r="N384" s="1">
        <f>IF(tblDowntime[[#This Row],[Failure Type]]="Production",tblDowntime[[#This Row],[Downtime Hours]],"")</f>
        <v/>
      </c>
      <c r="O384">
        <f>IF(tblDowntime[[#This Row],[Production Downtime Hours]]="","",tblDowntime[[#This Row],[Equipment ID]])</f>
        <v/>
      </c>
      <c r="P384" s="10" t="n"/>
    </row>
    <row r="385">
      <c r="B385">
        <f t="array" ref="B385">_xlfn.XLOOKUP(C385,INDIRECT("tblEquipment[Equipment ID]"),INDIRECT("tblEquipment[Production Department]"),"")</f>
        <v/>
      </c>
      <c r="D385">
        <f t="array" ref="D385">_xlfn.XLOOKUP(C385,INDIRECT("tblEquipment[Equipment ID]"),INDIRECT("tblEquipment[Equipment Name]"),"")</f>
        <v/>
      </c>
      <c r="F385" s="16" t="n"/>
      <c r="G385" s="16" t="n"/>
      <c r="H385" s="1">
        <f>IF(OR(F385=0,G385=0),"",(G385-F385)*24)</f>
        <v/>
      </c>
      <c r="I385" s="10" t="n"/>
      <c r="J385" s="1">
        <f>IF(OR(tblDowntime[[#This Row],[Failure Type]]="Sawshop",tblDowntime[[#This Row],[Failure Type]]="Electrical",tblDowntime[[#This Row],[Failure Type]]="Mechanical"),tblDowntime[[#This Row],[Downtime Hours]],"")</f>
        <v/>
      </c>
      <c r="K385" s="10" t="n"/>
      <c r="L385" s="10" t="n"/>
      <c r="M385">
        <f>IF(tblDowntime[[#This Row],[Maintenance Downtime Hours]]="","",tblDowntime[[#This Row],[Equipment ID]])</f>
        <v/>
      </c>
      <c r="N385" s="1">
        <f>IF(tblDowntime[[#This Row],[Failure Type]]="Production",tblDowntime[[#This Row],[Downtime Hours]],"")</f>
        <v/>
      </c>
      <c r="O385">
        <f>IF(tblDowntime[[#This Row],[Production Downtime Hours]]="","",tblDowntime[[#This Row],[Equipment ID]])</f>
        <v/>
      </c>
      <c r="P385" s="10" t="n"/>
    </row>
    <row r="386">
      <c r="B386">
        <f t="array" ref="B386">_xlfn.XLOOKUP(C386,INDIRECT("tblEquipment[Equipment ID]"),INDIRECT("tblEquipment[Production Department]"),"")</f>
        <v/>
      </c>
      <c r="D386">
        <f t="array" ref="D386">_xlfn.XLOOKUP(C386,INDIRECT("tblEquipment[Equipment ID]"),INDIRECT("tblEquipment[Equipment Name]"),"")</f>
        <v/>
      </c>
      <c r="F386" s="16" t="n"/>
      <c r="G386" s="16" t="n"/>
      <c r="H386" s="1">
        <f>IF(OR(F386=0,G386=0),"",(G386-F386)*24)</f>
        <v/>
      </c>
      <c r="I386" s="10" t="n"/>
      <c r="J386" s="1">
        <f>IF(OR(tblDowntime[[#This Row],[Failure Type]]="Sawshop",tblDowntime[[#This Row],[Failure Type]]="Electrical",tblDowntime[[#This Row],[Failure Type]]="Mechanical"),tblDowntime[[#This Row],[Downtime Hours]],"")</f>
        <v/>
      </c>
      <c r="K386" s="10" t="n"/>
      <c r="L386" s="10" t="n"/>
      <c r="M386">
        <f>IF(tblDowntime[[#This Row],[Maintenance Downtime Hours]]="","",tblDowntime[[#This Row],[Equipment ID]])</f>
        <v/>
      </c>
      <c r="N386" s="1">
        <f>IF(tblDowntime[[#This Row],[Failure Type]]="Production",tblDowntime[[#This Row],[Downtime Hours]],"")</f>
        <v/>
      </c>
      <c r="O386">
        <f>IF(tblDowntime[[#This Row],[Production Downtime Hours]]="","",tblDowntime[[#This Row],[Equipment ID]])</f>
        <v/>
      </c>
      <c r="P386" s="10" t="n"/>
    </row>
    <row r="387">
      <c r="B387">
        <f t="array" ref="B387">_xlfn.XLOOKUP(C387,INDIRECT("tblEquipment[Equipment ID]"),INDIRECT("tblEquipment[Production Department]"),"")</f>
        <v/>
      </c>
      <c r="D387">
        <f t="array" ref="D387">_xlfn.XLOOKUP(C387,INDIRECT("tblEquipment[Equipment ID]"),INDIRECT("tblEquipment[Equipment Name]"),"")</f>
        <v/>
      </c>
      <c r="F387" s="16" t="n"/>
      <c r="G387" s="16" t="n"/>
      <c r="H387" s="1">
        <f>IF(OR(F387=0,G387=0),"",(G387-F387)*24)</f>
        <v/>
      </c>
      <c r="I387" s="10" t="n"/>
      <c r="J387" s="1">
        <f>IF(OR(tblDowntime[[#This Row],[Failure Type]]="Sawshop",tblDowntime[[#This Row],[Failure Type]]="Electrical",tblDowntime[[#This Row],[Failure Type]]="Mechanical"),tblDowntime[[#This Row],[Downtime Hours]],"")</f>
        <v/>
      </c>
      <c r="K387" s="10" t="n"/>
      <c r="L387" s="10" t="n"/>
      <c r="M387">
        <f>IF(tblDowntime[[#This Row],[Maintenance Downtime Hours]]="","",tblDowntime[[#This Row],[Equipment ID]])</f>
        <v/>
      </c>
      <c r="N387" s="1">
        <f>IF(tblDowntime[[#This Row],[Failure Type]]="Production",tblDowntime[[#This Row],[Downtime Hours]],"")</f>
        <v/>
      </c>
      <c r="O387">
        <f>IF(tblDowntime[[#This Row],[Production Downtime Hours]]="","",tblDowntime[[#This Row],[Equipment ID]])</f>
        <v/>
      </c>
      <c r="P387" s="10" t="n"/>
    </row>
    <row r="388">
      <c r="B388">
        <f t="array" ref="B388">_xlfn.XLOOKUP(C388,INDIRECT("tblEquipment[Equipment ID]"),INDIRECT("tblEquipment[Production Department]"),"")</f>
        <v/>
      </c>
      <c r="D388">
        <f t="array" ref="D388">_xlfn.XLOOKUP(C388,INDIRECT("tblEquipment[Equipment ID]"),INDIRECT("tblEquipment[Equipment Name]"),"")</f>
        <v/>
      </c>
      <c r="F388" s="16" t="n"/>
      <c r="G388" s="16" t="n"/>
      <c r="H388" s="1">
        <f>IF(OR(F388=0,G388=0),"",(G388-F388)*24)</f>
        <v/>
      </c>
      <c r="I388" s="10" t="n"/>
      <c r="J388" s="1">
        <f>IF(OR(tblDowntime[[#This Row],[Failure Type]]="Sawshop",tblDowntime[[#This Row],[Failure Type]]="Electrical",tblDowntime[[#This Row],[Failure Type]]="Mechanical"),tblDowntime[[#This Row],[Downtime Hours]],"")</f>
        <v/>
      </c>
      <c r="K388" s="10" t="n"/>
      <c r="L388" s="10" t="n"/>
      <c r="M388">
        <f>IF(tblDowntime[[#This Row],[Maintenance Downtime Hours]]="","",tblDowntime[[#This Row],[Equipment ID]])</f>
        <v/>
      </c>
      <c r="N388" s="1">
        <f>IF(tblDowntime[[#This Row],[Failure Type]]="Production",tblDowntime[[#This Row],[Downtime Hours]],"")</f>
        <v/>
      </c>
      <c r="O388">
        <f>IF(tblDowntime[[#This Row],[Production Downtime Hours]]="","",tblDowntime[[#This Row],[Equipment ID]])</f>
        <v/>
      </c>
      <c r="P388" s="10" t="n"/>
    </row>
    <row r="389">
      <c r="B389">
        <f t="array" ref="B389">_xlfn.XLOOKUP(C389,INDIRECT("tblEquipment[Equipment ID]"),INDIRECT("tblEquipment[Production Department]"),"")</f>
        <v/>
      </c>
      <c r="D389">
        <f t="array" ref="D389">_xlfn.XLOOKUP(C389,INDIRECT("tblEquipment[Equipment ID]"),INDIRECT("tblEquipment[Equipment Name]"),"")</f>
        <v/>
      </c>
      <c r="F389" s="16" t="n"/>
      <c r="G389" s="16" t="n"/>
      <c r="H389" s="1">
        <f>IF(OR(F389=0,G389=0),"",(G389-F389)*24)</f>
        <v/>
      </c>
      <c r="I389" s="10" t="n"/>
      <c r="J389" s="1">
        <f>IF(OR(tblDowntime[[#This Row],[Failure Type]]="Sawshop",tblDowntime[[#This Row],[Failure Type]]="Electrical",tblDowntime[[#This Row],[Failure Type]]="Mechanical"),tblDowntime[[#This Row],[Downtime Hours]],"")</f>
        <v/>
      </c>
      <c r="K389" s="10" t="n"/>
      <c r="L389" s="10" t="n"/>
      <c r="M389">
        <f>IF(tblDowntime[[#This Row],[Maintenance Downtime Hours]]="","",tblDowntime[[#This Row],[Equipment ID]])</f>
        <v/>
      </c>
      <c r="N389" s="1">
        <f>IF(tblDowntime[[#This Row],[Failure Type]]="Production",tblDowntime[[#This Row],[Downtime Hours]],"")</f>
        <v/>
      </c>
      <c r="O389">
        <f>IF(tblDowntime[[#This Row],[Production Downtime Hours]]="","",tblDowntime[[#This Row],[Equipment ID]])</f>
        <v/>
      </c>
      <c r="P389" s="10" t="n"/>
    </row>
    <row r="390">
      <c r="B390">
        <f t="array" ref="B390">_xlfn.XLOOKUP(C390,INDIRECT("tblEquipment[Equipment ID]"),INDIRECT("tblEquipment[Production Department]"),"")</f>
        <v/>
      </c>
      <c r="D390">
        <f t="array" ref="D390">_xlfn.XLOOKUP(C390,INDIRECT("tblEquipment[Equipment ID]"),INDIRECT("tblEquipment[Equipment Name]"),"")</f>
        <v/>
      </c>
      <c r="F390" s="16" t="n"/>
      <c r="G390" s="16" t="n"/>
      <c r="H390" s="1">
        <f>IF(OR(F390=0,G390=0),"",(G390-F390)*24)</f>
        <v/>
      </c>
      <c r="I390" s="10" t="n"/>
      <c r="J390" s="1">
        <f>IF(OR(tblDowntime[[#This Row],[Failure Type]]="Sawshop",tblDowntime[[#This Row],[Failure Type]]="Electrical",tblDowntime[[#This Row],[Failure Type]]="Mechanical"),tblDowntime[[#This Row],[Downtime Hours]],"")</f>
        <v/>
      </c>
      <c r="K390" s="10" t="n"/>
      <c r="L390" s="10" t="n"/>
      <c r="M390">
        <f>IF(tblDowntime[[#This Row],[Maintenance Downtime Hours]]="","",tblDowntime[[#This Row],[Equipment ID]])</f>
        <v/>
      </c>
      <c r="N390" s="1">
        <f>IF(tblDowntime[[#This Row],[Failure Type]]="Production",tblDowntime[[#This Row],[Downtime Hours]],"")</f>
        <v/>
      </c>
      <c r="O390">
        <f>IF(tblDowntime[[#This Row],[Production Downtime Hours]]="","",tblDowntime[[#This Row],[Equipment ID]])</f>
        <v/>
      </c>
      <c r="P390" s="10" t="n"/>
    </row>
    <row r="391">
      <c r="B391">
        <f t="array" ref="B391">_xlfn.XLOOKUP(C391,INDIRECT("tblEquipment[Equipment ID]"),INDIRECT("tblEquipment[Production Department]"),"")</f>
        <v/>
      </c>
      <c r="D391">
        <f t="array" ref="D391">_xlfn.XLOOKUP(C391,INDIRECT("tblEquipment[Equipment ID]"),INDIRECT("tblEquipment[Equipment Name]"),"")</f>
        <v/>
      </c>
      <c r="F391" s="16" t="n"/>
      <c r="G391" s="16" t="n"/>
      <c r="H391" s="1">
        <f>IF(OR(F391=0,G391=0),"",(G391-F391)*24)</f>
        <v/>
      </c>
      <c r="I391" s="10" t="n"/>
      <c r="J391" s="1">
        <f>IF(OR(tblDowntime[[#This Row],[Failure Type]]="Sawshop",tblDowntime[[#This Row],[Failure Type]]="Electrical",tblDowntime[[#This Row],[Failure Type]]="Mechanical"),tblDowntime[[#This Row],[Downtime Hours]],"")</f>
        <v/>
      </c>
      <c r="K391" s="10" t="n"/>
      <c r="L391" s="10" t="n"/>
      <c r="M391">
        <f>IF(tblDowntime[[#This Row],[Maintenance Downtime Hours]]="","",tblDowntime[[#This Row],[Equipment ID]])</f>
        <v/>
      </c>
      <c r="N391" s="1">
        <f>IF(tblDowntime[[#This Row],[Failure Type]]="Production",tblDowntime[[#This Row],[Downtime Hours]],"")</f>
        <v/>
      </c>
      <c r="O391">
        <f>IF(tblDowntime[[#This Row],[Production Downtime Hours]]="","",tblDowntime[[#This Row],[Equipment ID]])</f>
        <v/>
      </c>
      <c r="P391" s="10" t="n"/>
    </row>
    <row r="392">
      <c r="B392">
        <f t="array" ref="B392">_xlfn.XLOOKUP(C392,INDIRECT("tblEquipment[Equipment ID]"),INDIRECT("tblEquipment[Production Department]"),"")</f>
        <v/>
      </c>
      <c r="D392">
        <f t="array" ref="D392">_xlfn.XLOOKUP(C392,INDIRECT("tblEquipment[Equipment ID]"),INDIRECT("tblEquipment[Equipment Name]"),"")</f>
        <v/>
      </c>
      <c r="F392" s="16" t="n"/>
      <c r="G392" s="16" t="n"/>
      <c r="H392" s="1">
        <f>IF(OR(F392=0,G392=0),"",(G392-F392)*24)</f>
        <v/>
      </c>
      <c r="I392" s="10" t="n"/>
      <c r="J392" s="1">
        <f>IF(OR(tblDowntime[[#This Row],[Failure Type]]="Sawshop",tblDowntime[[#This Row],[Failure Type]]="Electrical",tblDowntime[[#This Row],[Failure Type]]="Mechanical"),tblDowntime[[#This Row],[Downtime Hours]],"")</f>
        <v/>
      </c>
      <c r="K392" s="10" t="n"/>
      <c r="L392" s="10" t="n"/>
      <c r="M392">
        <f>IF(tblDowntime[[#This Row],[Maintenance Downtime Hours]]="","",tblDowntime[[#This Row],[Equipment ID]])</f>
        <v/>
      </c>
      <c r="N392" s="1">
        <f>IF(tblDowntime[[#This Row],[Failure Type]]="Production",tblDowntime[[#This Row],[Downtime Hours]],"")</f>
        <v/>
      </c>
      <c r="O392">
        <f>IF(tblDowntime[[#This Row],[Production Downtime Hours]]="","",tblDowntime[[#This Row],[Equipment ID]])</f>
        <v/>
      </c>
      <c r="P392" s="10" t="n"/>
    </row>
    <row r="393">
      <c r="B393">
        <f t="array" ref="B393">_xlfn.XLOOKUP(C393,INDIRECT("tblEquipment[Equipment ID]"),INDIRECT("tblEquipment[Production Department]"),"")</f>
        <v/>
      </c>
      <c r="D393">
        <f t="array" ref="D393">_xlfn.XLOOKUP(C393,INDIRECT("tblEquipment[Equipment ID]"),INDIRECT("tblEquipment[Equipment Name]"),"")</f>
        <v/>
      </c>
      <c r="F393" s="16" t="n"/>
      <c r="G393" s="16" t="n"/>
      <c r="H393" s="1">
        <f>IF(OR(F393=0,G393=0),"",(G393-F393)*24)</f>
        <v/>
      </c>
      <c r="I393" s="10" t="n"/>
      <c r="J393" s="1">
        <f>IF(OR(tblDowntime[[#This Row],[Failure Type]]="Sawshop",tblDowntime[[#This Row],[Failure Type]]="Electrical",tblDowntime[[#This Row],[Failure Type]]="Mechanical"),tblDowntime[[#This Row],[Downtime Hours]],"")</f>
        <v/>
      </c>
      <c r="K393" s="10" t="n"/>
      <c r="L393" s="10" t="n"/>
      <c r="M393">
        <f>IF(tblDowntime[[#This Row],[Maintenance Downtime Hours]]="","",tblDowntime[[#This Row],[Equipment ID]])</f>
        <v/>
      </c>
      <c r="N393" s="1">
        <f>IF(tblDowntime[[#This Row],[Failure Type]]="Production",tblDowntime[[#This Row],[Downtime Hours]],"")</f>
        <v/>
      </c>
      <c r="O393">
        <f>IF(tblDowntime[[#This Row],[Production Downtime Hours]]="","",tblDowntime[[#This Row],[Equipment ID]])</f>
        <v/>
      </c>
      <c r="P393" s="10" t="n"/>
    </row>
    <row r="394">
      <c r="B394">
        <f t="array" ref="B394">_xlfn.XLOOKUP(C394,INDIRECT("tblEquipment[Equipment ID]"),INDIRECT("tblEquipment[Production Department]"),"")</f>
        <v/>
      </c>
      <c r="D394">
        <f t="array" ref="D394">_xlfn.XLOOKUP(C394,INDIRECT("tblEquipment[Equipment ID]"),INDIRECT("tblEquipment[Equipment Name]"),"")</f>
        <v/>
      </c>
      <c r="F394" s="16" t="n"/>
      <c r="G394" s="16" t="n"/>
      <c r="H394" s="1">
        <f>IF(OR(F394=0,G394=0),"",(G394-F394)*24)</f>
        <v/>
      </c>
      <c r="I394" s="10" t="n"/>
      <c r="J394" s="1">
        <f>IF(OR(tblDowntime[[#This Row],[Failure Type]]="Sawshop",tblDowntime[[#This Row],[Failure Type]]="Electrical",tblDowntime[[#This Row],[Failure Type]]="Mechanical"),tblDowntime[[#This Row],[Downtime Hours]],"")</f>
        <v/>
      </c>
      <c r="K394" s="10" t="n"/>
      <c r="L394" s="10" t="n"/>
      <c r="M394">
        <f>IF(tblDowntime[[#This Row],[Maintenance Downtime Hours]]="","",tblDowntime[[#This Row],[Equipment ID]])</f>
        <v/>
      </c>
      <c r="N394" s="1">
        <f>IF(tblDowntime[[#This Row],[Failure Type]]="Production",tblDowntime[[#This Row],[Downtime Hours]],"")</f>
        <v/>
      </c>
      <c r="O394">
        <f>IF(tblDowntime[[#This Row],[Production Downtime Hours]]="","",tblDowntime[[#This Row],[Equipment ID]])</f>
        <v/>
      </c>
      <c r="P394" s="10" t="n"/>
    </row>
    <row r="395">
      <c r="B395">
        <f t="array" ref="B395">_xlfn.XLOOKUP(C395,INDIRECT("tblEquipment[Equipment ID]"),INDIRECT("tblEquipment[Production Department]"),"")</f>
        <v/>
      </c>
      <c r="D395">
        <f t="array" ref="D395">_xlfn.XLOOKUP(C395,INDIRECT("tblEquipment[Equipment ID]"),INDIRECT("tblEquipment[Equipment Name]"),"")</f>
        <v/>
      </c>
      <c r="F395" s="16" t="n"/>
      <c r="G395" s="16" t="n"/>
      <c r="H395" s="1">
        <f>IF(OR(F395=0,G395=0),"",(G395-F395)*24)</f>
        <v/>
      </c>
      <c r="I395" s="10" t="n"/>
      <c r="J395" s="1">
        <f>IF(OR(tblDowntime[[#This Row],[Failure Type]]="Sawshop",tblDowntime[[#This Row],[Failure Type]]="Electrical",tblDowntime[[#This Row],[Failure Type]]="Mechanical"),tblDowntime[[#This Row],[Downtime Hours]],"")</f>
        <v/>
      </c>
      <c r="K395" s="10" t="n"/>
      <c r="L395" s="10" t="n"/>
      <c r="M395">
        <f>IF(tblDowntime[[#This Row],[Maintenance Downtime Hours]]="","",tblDowntime[[#This Row],[Equipment ID]])</f>
        <v/>
      </c>
      <c r="N395" s="1">
        <f>IF(tblDowntime[[#This Row],[Failure Type]]="Production",tblDowntime[[#This Row],[Downtime Hours]],"")</f>
        <v/>
      </c>
      <c r="O395">
        <f>IF(tblDowntime[[#This Row],[Production Downtime Hours]]="","",tblDowntime[[#This Row],[Equipment ID]])</f>
        <v/>
      </c>
      <c r="P395" s="10" t="n"/>
    </row>
    <row r="396">
      <c r="B396">
        <f t="array" ref="B396">_xlfn.XLOOKUP(C396,INDIRECT("tblEquipment[Equipment ID]"),INDIRECT("tblEquipment[Production Department]"),"")</f>
        <v/>
      </c>
      <c r="D396">
        <f t="array" ref="D396">_xlfn.XLOOKUP(C396,INDIRECT("tblEquipment[Equipment ID]"),INDIRECT("tblEquipment[Equipment Name]"),"")</f>
        <v/>
      </c>
      <c r="F396" s="16" t="n"/>
      <c r="G396" s="16" t="n"/>
      <c r="H396" s="1">
        <f>IF(OR(F396=0,G396=0),"",(G396-F396)*24)</f>
        <v/>
      </c>
      <c r="I396" s="10" t="n"/>
      <c r="J396" s="1">
        <f>IF(OR(tblDowntime[[#This Row],[Failure Type]]="Sawshop",tblDowntime[[#This Row],[Failure Type]]="Electrical",tblDowntime[[#This Row],[Failure Type]]="Mechanical"),tblDowntime[[#This Row],[Downtime Hours]],"")</f>
        <v/>
      </c>
      <c r="K396" s="10" t="n"/>
      <c r="L396" s="10" t="n"/>
      <c r="M396">
        <f>IF(tblDowntime[[#This Row],[Maintenance Downtime Hours]]="","",tblDowntime[[#This Row],[Equipment ID]])</f>
        <v/>
      </c>
      <c r="N396" s="1">
        <f>IF(tblDowntime[[#This Row],[Failure Type]]="Production",tblDowntime[[#This Row],[Downtime Hours]],"")</f>
        <v/>
      </c>
      <c r="O396">
        <f>IF(tblDowntime[[#This Row],[Production Downtime Hours]]="","",tblDowntime[[#This Row],[Equipment ID]])</f>
        <v/>
      </c>
      <c r="P396" s="10" t="n"/>
    </row>
    <row r="397">
      <c r="B397">
        <f t="array" ref="B397">_xlfn.XLOOKUP(C397,INDIRECT("tblEquipment[Equipment ID]"),INDIRECT("tblEquipment[Production Department]"),"")</f>
        <v/>
      </c>
      <c r="D397">
        <f t="array" ref="D397">_xlfn.XLOOKUP(C397,INDIRECT("tblEquipment[Equipment ID]"),INDIRECT("tblEquipment[Equipment Name]"),"")</f>
        <v/>
      </c>
      <c r="F397" s="16" t="n"/>
      <c r="G397" s="16" t="n"/>
      <c r="H397" s="1">
        <f>IF(OR(F397=0,G397=0),"",(G397-F397)*24)</f>
        <v/>
      </c>
      <c r="I397" s="10" t="n"/>
      <c r="J397" s="1">
        <f>IF(OR(tblDowntime[[#This Row],[Failure Type]]="Sawshop",tblDowntime[[#This Row],[Failure Type]]="Electrical",tblDowntime[[#This Row],[Failure Type]]="Mechanical"),tblDowntime[[#This Row],[Downtime Hours]],"")</f>
        <v/>
      </c>
      <c r="K397" s="10" t="n"/>
      <c r="L397" s="10" t="n"/>
      <c r="M397">
        <f>IF(tblDowntime[[#This Row],[Maintenance Downtime Hours]]="","",tblDowntime[[#This Row],[Equipment ID]])</f>
        <v/>
      </c>
      <c r="N397" s="1">
        <f>IF(tblDowntime[[#This Row],[Failure Type]]="Production",tblDowntime[[#This Row],[Downtime Hours]],"")</f>
        <v/>
      </c>
      <c r="O397">
        <f>IF(tblDowntime[[#This Row],[Production Downtime Hours]]="","",tblDowntime[[#This Row],[Equipment ID]])</f>
        <v/>
      </c>
      <c r="P397" s="10" t="n"/>
    </row>
    <row r="398">
      <c r="B398">
        <f t="array" ref="B398">_xlfn.XLOOKUP(C398,INDIRECT("tblEquipment[Equipment ID]"),INDIRECT("tblEquipment[Production Department]"),"")</f>
        <v/>
      </c>
      <c r="D398">
        <f t="array" ref="D398">_xlfn.XLOOKUP(C398,INDIRECT("tblEquipment[Equipment ID]"),INDIRECT("tblEquipment[Equipment Name]"),"")</f>
        <v/>
      </c>
      <c r="F398" s="16" t="n"/>
      <c r="G398" s="16" t="n"/>
      <c r="H398" s="1">
        <f>IF(OR(F398=0,G398=0),"",(G398-F398)*24)</f>
        <v/>
      </c>
      <c r="I398" s="10" t="n"/>
      <c r="J398" s="1">
        <f>IF(OR(tblDowntime[[#This Row],[Failure Type]]="Sawshop",tblDowntime[[#This Row],[Failure Type]]="Electrical",tblDowntime[[#This Row],[Failure Type]]="Mechanical"),tblDowntime[[#This Row],[Downtime Hours]],"")</f>
        <v/>
      </c>
      <c r="K398" s="10" t="n"/>
      <c r="L398" s="10" t="n"/>
      <c r="M398">
        <f>IF(tblDowntime[[#This Row],[Maintenance Downtime Hours]]="","",tblDowntime[[#This Row],[Equipment ID]])</f>
        <v/>
      </c>
      <c r="N398" s="1">
        <f>IF(tblDowntime[[#This Row],[Failure Type]]="Production",tblDowntime[[#This Row],[Downtime Hours]],"")</f>
        <v/>
      </c>
      <c r="O398">
        <f>IF(tblDowntime[[#This Row],[Production Downtime Hours]]="","",tblDowntime[[#This Row],[Equipment ID]])</f>
        <v/>
      </c>
      <c r="P398" s="10" t="n"/>
    </row>
    <row r="399">
      <c r="B399">
        <f t="array" ref="B399">_xlfn.XLOOKUP(C399,INDIRECT("tblEquipment[Equipment ID]"),INDIRECT("tblEquipment[Production Department]"),"")</f>
        <v/>
      </c>
      <c r="D399">
        <f t="array" ref="D399">_xlfn.XLOOKUP(C399,INDIRECT("tblEquipment[Equipment ID]"),INDIRECT("tblEquipment[Equipment Name]"),"")</f>
        <v/>
      </c>
      <c r="F399" s="16" t="n"/>
      <c r="G399" s="16" t="n"/>
      <c r="H399" s="1">
        <f>IF(OR(F399=0,G399=0),"",(G399-F399)*24)</f>
        <v/>
      </c>
      <c r="I399" s="10" t="n"/>
      <c r="J399" s="1">
        <f>IF(OR(tblDowntime[[#This Row],[Failure Type]]="Sawshop",tblDowntime[[#This Row],[Failure Type]]="Electrical",tblDowntime[[#This Row],[Failure Type]]="Mechanical"),tblDowntime[[#This Row],[Downtime Hours]],"")</f>
        <v/>
      </c>
      <c r="K399" s="10" t="n"/>
      <c r="L399" s="10" t="n"/>
      <c r="M399">
        <f>IF(tblDowntime[[#This Row],[Maintenance Downtime Hours]]="","",tblDowntime[[#This Row],[Equipment ID]])</f>
        <v/>
      </c>
      <c r="N399" s="1">
        <f>IF(tblDowntime[[#This Row],[Failure Type]]="Production",tblDowntime[[#This Row],[Downtime Hours]],"")</f>
        <v/>
      </c>
      <c r="O399">
        <f>IF(tblDowntime[[#This Row],[Production Downtime Hours]]="","",tblDowntime[[#This Row],[Equipment ID]])</f>
        <v/>
      </c>
      <c r="P399" s="10" t="n"/>
    </row>
    <row r="400">
      <c r="B400">
        <f t="array" ref="B400">_xlfn.XLOOKUP(C400,INDIRECT("tblEquipment[Equipment ID]"),INDIRECT("tblEquipment[Production Department]"),"")</f>
        <v/>
      </c>
      <c r="D400">
        <f t="array" ref="D400">_xlfn.XLOOKUP(C400,INDIRECT("tblEquipment[Equipment ID]"),INDIRECT("tblEquipment[Equipment Name]"),"")</f>
        <v/>
      </c>
      <c r="F400" s="16" t="n"/>
      <c r="G400" s="16" t="n"/>
      <c r="H400" s="1">
        <f>IF(OR(F400=0,G400=0),"",(G400-F400)*24)</f>
        <v/>
      </c>
      <c r="I400" s="10" t="n"/>
      <c r="J400" s="1">
        <f>IF(OR(tblDowntime[[#This Row],[Failure Type]]="Sawshop",tblDowntime[[#This Row],[Failure Type]]="Electrical",tblDowntime[[#This Row],[Failure Type]]="Mechanical"),tblDowntime[[#This Row],[Downtime Hours]],"")</f>
        <v/>
      </c>
      <c r="K400" s="10" t="n"/>
      <c r="L400" s="10" t="n"/>
      <c r="M400">
        <f>IF(tblDowntime[[#This Row],[Maintenance Downtime Hours]]="","",tblDowntime[[#This Row],[Equipment ID]])</f>
        <v/>
      </c>
      <c r="N400" s="1">
        <f>IF(tblDowntime[[#This Row],[Failure Type]]="Production",tblDowntime[[#This Row],[Downtime Hours]],"")</f>
        <v/>
      </c>
      <c r="O400">
        <f>IF(tblDowntime[[#This Row],[Production Downtime Hours]]="","",tblDowntime[[#This Row],[Equipment ID]])</f>
        <v/>
      </c>
      <c r="P400" s="10" t="n"/>
    </row>
    <row r="401">
      <c r="B401">
        <f t="array" ref="B401">_xlfn.XLOOKUP(C401,INDIRECT("tblEquipment[Equipment ID]"),INDIRECT("tblEquipment[Production Department]"),"")</f>
        <v/>
      </c>
      <c r="D401">
        <f t="array" ref="D401">_xlfn.XLOOKUP(C401,INDIRECT("tblEquipment[Equipment ID]"),INDIRECT("tblEquipment[Equipment Name]"),"")</f>
        <v/>
      </c>
      <c r="F401" s="16" t="n"/>
      <c r="G401" s="16" t="n"/>
      <c r="H401" s="1">
        <f>IF(OR(F401=0,G401=0),"",(G401-F401)*24)</f>
        <v/>
      </c>
      <c r="I401" s="10" t="n"/>
      <c r="J401" s="1">
        <f>IF(OR(tblDowntime[[#This Row],[Failure Type]]="Sawshop",tblDowntime[[#This Row],[Failure Type]]="Electrical",tblDowntime[[#This Row],[Failure Type]]="Mechanical"),tblDowntime[[#This Row],[Downtime Hours]],"")</f>
        <v/>
      </c>
      <c r="K401" s="10" t="n"/>
      <c r="L401" s="10" t="n"/>
      <c r="M401">
        <f>IF(tblDowntime[[#This Row],[Maintenance Downtime Hours]]="","",tblDowntime[[#This Row],[Equipment ID]])</f>
        <v/>
      </c>
      <c r="N401" s="1">
        <f>IF(tblDowntime[[#This Row],[Failure Type]]="Production",tblDowntime[[#This Row],[Downtime Hours]],"")</f>
        <v/>
      </c>
      <c r="O401">
        <f>IF(tblDowntime[[#This Row],[Production Downtime Hours]]="","",tblDowntime[[#This Row],[Equipment ID]])</f>
        <v/>
      </c>
      <c r="P401" s="10" t="n"/>
    </row>
    <row r="402">
      <c r="B402">
        <f t="array" ref="B402">_xlfn.XLOOKUP(C402,INDIRECT("tblEquipment[Equipment ID]"),INDIRECT("tblEquipment[Production Department]"),"")</f>
        <v/>
      </c>
      <c r="D402">
        <f t="array" ref="D402">_xlfn.XLOOKUP(C402,INDIRECT("tblEquipment[Equipment ID]"),INDIRECT("tblEquipment[Equipment Name]"),"")</f>
        <v/>
      </c>
      <c r="F402" s="16" t="n"/>
      <c r="G402" s="16" t="n"/>
      <c r="H402" s="1">
        <f>IF(OR(F402=0,G402=0),"",(G402-F402)*24)</f>
        <v/>
      </c>
      <c r="I402" s="10" t="n"/>
      <c r="J402" s="1">
        <f>IF(OR(tblDowntime[[#This Row],[Failure Type]]="Sawshop",tblDowntime[[#This Row],[Failure Type]]="Electrical",tblDowntime[[#This Row],[Failure Type]]="Mechanical"),tblDowntime[[#This Row],[Downtime Hours]],"")</f>
        <v/>
      </c>
      <c r="K402" s="10" t="n"/>
      <c r="L402" s="10" t="n"/>
      <c r="M402">
        <f>IF(tblDowntime[[#This Row],[Maintenance Downtime Hours]]="","",tblDowntime[[#This Row],[Equipment ID]])</f>
        <v/>
      </c>
      <c r="N402" s="1">
        <f>IF(tblDowntime[[#This Row],[Failure Type]]="Production",tblDowntime[[#This Row],[Downtime Hours]],"")</f>
        <v/>
      </c>
      <c r="O402">
        <f>IF(tblDowntime[[#This Row],[Production Downtime Hours]]="","",tblDowntime[[#This Row],[Equipment ID]])</f>
        <v/>
      </c>
      <c r="P402" s="10" t="n"/>
    </row>
    <row r="403">
      <c r="B403">
        <f t="array" ref="B403">_xlfn.XLOOKUP(C403,INDIRECT("tblEquipment[Equipment ID]"),INDIRECT("tblEquipment[Production Department]"),"")</f>
        <v/>
      </c>
      <c r="D403">
        <f t="array" ref="D403">_xlfn.XLOOKUP(C403,INDIRECT("tblEquipment[Equipment ID]"),INDIRECT("tblEquipment[Equipment Name]"),"")</f>
        <v/>
      </c>
      <c r="F403" s="16" t="n"/>
      <c r="G403" s="16" t="n"/>
      <c r="H403" s="1">
        <f>IF(OR(F403=0,G403=0),"",(G403-F403)*24)</f>
        <v/>
      </c>
      <c r="I403" s="10" t="n"/>
      <c r="J403" s="1">
        <f>IF(OR(tblDowntime[[#This Row],[Failure Type]]="Sawshop",tblDowntime[[#This Row],[Failure Type]]="Electrical",tblDowntime[[#This Row],[Failure Type]]="Mechanical"),tblDowntime[[#This Row],[Downtime Hours]],"")</f>
        <v/>
      </c>
      <c r="K403" s="10" t="n"/>
      <c r="L403" s="10" t="n"/>
      <c r="M403">
        <f>IF(tblDowntime[[#This Row],[Maintenance Downtime Hours]]="","",tblDowntime[[#This Row],[Equipment ID]])</f>
        <v/>
      </c>
      <c r="N403" s="1">
        <f>IF(tblDowntime[[#This Row],[Failure Type]]="Production",tblDowntime[[#This Row],[Downtime Hours]],"")</f>
        <v/>
      </c>
      <c r="O403">
        <f>IF(tblDowntime[[#This Row],[Production Downtime Hours]]="","",tblDowntime[[#This Row],[Equipment ID]])</f>
        <v/>
      </c>
      <c r="P403" s="10" t="n"/>
    </row>
    <row r="404">
      <c r="B404">
        <f t="array" ref="B404">_xlfn.XLOOKUP(C404,INDIRECT("tblEquipment[Equipment ID]"),INDIRECT("tblEquipment[Production Department]"),"")</f>
        <v/>
      </c>
      <c r="D404">
        <f t="array" ref="D404">_xlfn.XLOOKUP(C404,INDIRECT("tblEquipment[Equipment ID]"),INDIRECT("tblEquipment[Equipment Name]"),"")</f>
        <v/>
      </c>
      <c r="F404" s="16" t="n"/>
      <c r="G404" s="16" t="n"/>
      <c r="H404" s="1">
        <f>IF(OR(F404=0,G404=0),"",(G404-F404)*24)</f>
        <v/>
      </c>
      <c r="I404" s="10" t="n"/>
      <c r="J404" s="1">
        <f>IF(OR(tblDowntime[[#This Row],[Failure Type]]="Sawshop",tblDowntime[[#This Row],[Failure Type]]="Electrical",tblDowntime[[#This Row],[Failure Type]]="Mechanical"),tblDowntime[[#This Row],[Downtime Hours]],"")</f>
        <v/>
      </c>
      <c r="K404" s="10" t="n"/>
      <c r="L404" s="10" t="n"/>
      <c r="M404">
        <f>IF(tblDowntime[[#This Row],[Maintenance Downtime Hours]]="","",tblDowntime[[#This Row],[Equipment ID]])</f>
        <v/>
      </c>
      <c r="N404" s="1">
        <f>IF(tblDowntime[[#This Row],[Failure Type]]="Production",tblDowntime[[#This Row],[Downtime Hours]],"")</f>
        <v/>
      </c>
      <c r="O404">
        <f>IF(tblDowntime[[#This Row],[Production Downtime Hours]]="","",tblDowntime[[#This Row],[Equipment ID]])</f>
        <v/>
      </c>
      <c r="P404" s="10" t="n"/>
    </row>
    <row r="405">
      <c r="B405">
        <f t="array" ref="B405">_xlfn.XLOOKUP(C405,INDIRECT("tblEquipment[Equipment ID]"),INDIRECT("tblEquipment[Production Department]"),"")</f>
        <v/>
      </c>
      <c r="D405">
        <f t="array" ref="D405">_xlfn.XLOOKUP(C405,INDIRECT("tblEquipment[Equipment ID]"),INDIRECT("tblEquipment[Equipment Name]"),"")</f>
        <v/>
      </c>
      <c r="F405" s="16" t="n"/>
      <c r="G405" s="16" t="n"/>
      <c r="H405" s="1">
        <f>IF(OR(F405=0,G405=0),"",(G405-F405)*24)</f>
        <v/>
      </c>
      <c r="I405" s="10" t="n"/>
      <c r="J405" s="1">
        <f>IF(OR(tblDowntime[[#This Row],[Failure Type]]="Sawshop",tblDowntime[[#This Row],[Failure Type]]="Electrical",tblDowntime[[#This Row],[Failure Type]]="Mechanical"),tblDowntime[[#This Row],[Downtime Hours]],"")</f>
        <v/>
      </c>
      <c r="K405" s="10" t="n"/>
      <c r="L405" s="10" t="n"/>
      <c r="M405">
        <f>IF(tblDowntime[[#This Row],[Maintenance Downtime Hours]]="","",tblDowntime[[#This Row],[Equipment ID]])</f>
        <v/>
      </c>
      <c r="N405" s="1">
        <f>IF(tblDowntime[[#This Row],[Failure Type]]="Production",tblDowntime[[#This Row],[Downtime Hours]],"")</f>
        <v/>
      </c>
      <c r="O405">
        <f>IF(tblDowntime[[#This Row],[Production Downtime Hours]]="","",tblDowntime[[#This Row],[Equipment ID]])</f>
        <v/>
      </c>
      <c r="P405" s="10" t="n"/>
    </row>
    <row r="406">
      <c r="B406">
        <f t="array" ref="B406">_xlfn.XLOOKUP(C406,INDIRECT("tblEquipment[Equipment ID]"),INDIRECT("tblEquipment[Production Department]"),"")</f>
        <v/>
      </c>
      <c r="D406">
        <f t="array" ref="D406">_xlfn.XLOOKUP(C406,INDIRECT("tblEquipment[Equipment ID]"),INDIRECT("tblEquipment[Equipment Name]"),"")</f>
        <v/>
      </c>
      <c r="F406" s="16" t="n"/>
      <c r="G406" s="16" t="n"/>
      <c r="H406" s="1">
        <f>IF(OR(F406=0,G406=0),"",(G406-F406)*24)</f>
        <v/>
      </c>
      <c r="I406" s="10" t="n"/>
      <c r="J406" s="1">
        <f>IF(OR(tblDowntime[[#This Row],[Failure Type]]="Sawshop",tblDowntime[[#This Row],[Failure Type]]="Electrical",tblDowntime[[#This Row],[Failure Type]]="Mechanical"),tblDowntime[[#This Row],[Downtime Hours]],"")</f>
        <v/>
      </c>
      <c r="K406" s="10" t="n"/>
      <c r="L406" s="10" t="n"/>
      <c r="M406">
        <f>IF(tblDowntime[[#This Row],[Maintenance Downtime Hours]]="","",tblDowntime[[#This Row],[Equipment ID]])</f>
        <v/>
      </c>
      <c r="N406" s="1">
        <f>IF(tblDowntime[[#This Row],[Failure Type]]="Production",tblDowntime[[#This Row],[Downtime Hours]],"")</f>
        <v/>
      </c>
      <c r="O406">
        <f>IF(tblDowntime[[#This Row],[Production Downtime Hours]]="","",tblDowntime[[#This Row],[Equipment ID]])</f>
        <v/>
      </c>
      <c r="P406" s="10" t="n"/>
    </row>
    <row r="407">
      <c r="B407">
        <f t="array" ref="B407">_xlfn.XLOOKUP(C407,INDIRECT("tblEquipment[Equipment ID]"),INDIRECT("tblEquipment[Production Department]"),"")</f>
        <v/>
      </c>
      <c r="D407">
        <f t="array" ref="D407">_xlfn.XLOOKUP(C407,INDIRECT("tblEquipment[Equipment ID]"),INDIRECT("tblEquipment[Equipment Name]"),"")</f>
        <v/>
      </c>
      <c r="F407" s="16" t="n"/>
      <c r="G407" s="16" t="n"/>
      <c r="H407" s="1">
        <f>IF(OR(F407=0,G407=0),"",(G407-F407)*24)</f>
        <v/>
      </c>
      <c r="I407" s="10" t="n"/>
      <c r="J407" s="1">
        <f>IF(OR(tblDowntime[[#This Row],[Failure Type]]="Sawshop",tblDowntime[[#This Row],[Failure Type]]="Electrical",tblDowntime[[#This Row],[Failure Type]]="Mechanical"),tblDowntime[[#This Row],[Downtime Hours]],"")</f>
        <v/>
      </c>
      <c r="K407" s="10" t="n"/>
      <c r="L407" s="10" t="n"/>
      <c r="M407">
        <f>IF(tblDowntime[[#This Row],[Maintenance Downtime Hours]]="","",tblDowntime[[#This Row],[Equipment ID]])</f>
        <v/>
      </c>
      <c r="N407" s="1">
        <f>IF(tblDowntime[[#This Row],[Failure Type]]="Production",tblDowntime[[#This Row],[Downtime Hours]],"")</f>
        <v/>
      </c>
      <c r="O407">
        <f>IF(tblDowntime[[#This Row],[Production Downtime Hours]]="","",tblDowntime[[#This Row],[Equipment ID]])</f>
        <v/>
      </c>
      <c r="P407" s="10" t="n"/>
    </row>
    <row r="408">
      <c r="B408">
        <f t="array" ref="B408">_xlfn.XLOOKUP(C408,INDIRECT("tblEquipment[Equipment ID]"),INDIRECT("tblEquipment[Production Department]"),"")</f>
        <v/>
      </c>
      <c r="D408">
        <f t="array" ref="D408">_xlfn.XLOOKUP(C408,INDIRECT("tblEquipment[Equipment ID]"),INDIRECT("tblEquipment[Equipment Name]"),"")</f>
        <v/>
      </c>
      <c r="F408" s="16" t="n"/>
      <c r="G408" s="16" t="n"/>
      <c r="H408" s="1">
        <f>IF(OR(F408=0,G408=0),"",(G408-F408)*24)</f>
        <v/>
      </c>
      <c r="I408" s="10" t="n"/>
      <c r="J408" s="1">
        <f>IF(OR(tblDowntime[[#This Row],[Failure Type]]="Sawshop",tblDowntime[[#This Row],[Failure Type]]="Electrical",tblDowntime[[#This Row],[Failure Type]]="Mechanical"),tblDowntime[[#This Row],[Downtime Hours]],"")</f>
        <v/>
      </c>
      <c r="K408" s="10" t="n"/>
      <c r="L408" s="10" t="n"/>
      <c r="M408">
        <f>IF(tblDowntime[[#This Row],[Maintenance Downtime Hours]]="","",tblDowntime[[#This Row],[Equipment ID]])</f>
        <v/>
      </c>
      <c r="N408" s="1">
        <f>IF(tblDowntime[[#This Row],[Failure Type]]="Production",tblDowntime[[#This Row],[Downtime Hours]],"")</f>
        <v/>
      </c>
      <c r="O408">
        <f>IF(tblDowntime[[#This Row],[Production Downtime Hours]]="","",tblDowntime[[#This Row],[Equipment ID]])</f>
        <v/>
      </c>
      <c r="P408" s="10" t="n"/>
    </row>
    <row r="409">
      <c r="B409">
        <f t="array" ref="B409">_xlfn.XLOOKUP(C409,INDIRECT("tblEquipment[Equipment ID]"),INDIRECT("tblEquipment[Production Department]"),"")</f>
        <v/>
      </c>
      <c r="D409">
        <f t="array" ref="D409">_xlfn.XLOOKUP(C409,INDIRECT("tblEquipment[Equipment ID]"),INDIRECT("tblEquipment[Equipment Name]"),"")</f>
        <v/>
      </c>
      <c r="F409" s="16" t="n"/>
      <c r="G409" s="16" t="n"/>
      <c r="H409" s="1">
        <f>IF(OR(F409=0,G409=0),"",(G409-F409)*24)</f>
        <v/>
      </c>
      <c r="I409" s="10" t="n"/>
      <c r="J409" s="1">
        <f>IF(OR(tblDowntime[[#This Row],[Failure Type]]="Sawshop",tblDowntime[[#This Row],[Failure Type]]="Electrical",tblDowntime[[#This Row],[Failure Type]]="Mechanical"),tblDowntime[[#This Row],[Downtime Hours]],"")</f>
        <v/>
      </c>
      <c r="K409" s="10" t="n"/>
      <c r="L409" s="10" t="n"/>
      <c r="M409">
        <f>IF(tblDowntime[[#This Row],[Maintenance Downtime Hours]]="","",tblDowntime[[#This Row],[Equipment ID]])</f>
        <v/>
      </c>
      <c r="N409" s="1">
        <f>IF(tblDowntime[[#This Row],[Failure Type]]="Production",tblDowntime[[#This Row],[Downtime Hours]],"")</f>
        <v/>
      </c>
      <c r="O409">
        <f>IF(tblDowntime[[#This Row],[Production Downtime Hours]]="","",tblDowntime[[#This Row],[Equipment ID]])</f>
        <v/>
      </c>
      <c r="P409" s="10" t="n"/>
    </row>
    <row r="410">
      <c r="B410">
        <f t="array" ref="B410">_xlfn.XLOOKUP(C410,INDIRECT("tblEquipment[Equipment ID]"),INDIRECT("tblEquipment[Production Department]"),"")</f>
        <v/>
      </c>
      <c r="D410">
        <f t="array" ref="D410">_xlfn.XLOOKUP(C410,INDIRECT("tblEquipment[Equipment ID]"),INDIRECT("tblEquipment[Equipment Name]"),"")</f>
        <v/>
      </c>
      <c r="F410" s="16" t="n"/>
      <c r="G410" s="16" t="n"/>
      <c r="H410" s="1">
        <f>IF(OR(F410=0,G410=0),"",(G410-F410)*24)</f>
        <v/>
      </c>
      <c r="I410" s="10" t="n"/>
      <c r="J410" s="1">
        <f>IF(OR(tblDowntime[[#This Row],[Failure Type]]="Sawshop",tblDowntime[[#This Row],[Failure Type]]="Electrical",tblDowntime[[#This Row],[Failure Type]]="Mechanical"),tblDowntime[[#This Row],[Downtime Hours]],"")</f>
        <v/>
      </c>
      <c r="K410" s="10" t="n"/>
      <c r="L410" s="10" t="n"/>
      <c r="M410">
        <f>IF(tblDowntime[[#This Row],[Maintenance Downtime Hours]]="","",tblDowntime[[#This Row],[Equipment ID]])</f>
        <v/>
      </c>
      <c r="N410" s="1">
        <f>IF(tblDowntime[[#This Row],[Failure Type]]="Production",tblDowntime[[#This Row],[Downtime Hours]],"")</f>
        <v/>
      </c>
      <c r="O410">
        <f>IF(tblDowntime[[#This Row],[Production Downtime Hours]]="","",tblDowntime[[#This Row],[Equipment ID]])</f>
        <v/>
      </c>
      <c r="P410" s="10" t="n"/>
    </row>
    <row r="411">
      <c r="B411">
        <f t="array" ref="B411">_xlfn.XLOOKUP(C411,INDIRECT("tblEquipment[Equipment ID]"),INDIRECT("tblEquipment[Production Department]"),"")</f>
        <v/>
      </c>
      <c r="D411">
        <f t="array" ref="D411">_xlfn.XLOOKUP(C411,INDIRECT("tblEquipment[Equipment ID]"),INDIRECT("tblEquipment[Equipment Name]"),"")</f>
        <v/>
      </c>
      <c r="F411" s="16" t="n"/>
      <c r="G411" s="16" t="n"/>
      <c r="H411" s="1">
        <f>IF(OR(F411=0,G411=0),"",(G411-F411)*24)</f>
        <v/>
      </c>
      <c r="I411" s="10" t="n"/>
      <c r="J411" s="1">
        <f>IF(OR(tblDowntime[[#This Row],[Failure Type]]="Sawshop",tblDowntime[[#This Row],[Failure Type]]="Electrical",tblDowntime[[#This Row],[Failure Type]]="Mechanical"),tblDowntime[[#This Row],[Downtime Hours]],"")</f>
        <v/>
      </c>
      <c r="K411" s="10" t="n"/>
      <c r="L411" s="10" t="n"/>
      <c r="M411">
        <f>IF(tblDowntime[[#This Row],[Maintenance Downtime Hours]]="","",tblDowntime[[#This Row],[Equipment ID]])</f>
        <v/>
      </c>
      <c r="N411" s="1">
        <f>IF(tblDowntime[[#This Row],[Failure Type]]="Production",tblDowntime[[#This Row],[Downtime Hours]],"")</f>
        <v/>
      </c>
      <c r="O411">
        <f>IF(tblDowntime[[#This Row],[Production Downtime Hours]]="","",tblDowntime[[#This Row],[Equipment ID]])</f>
        <v/>
      </c>
      <c r="P411" s="10" t="n"/>
    </row>
    <row r="412">
      <c r="B412">
        <f t="array" ref="B412">_xlfn.XLOOKUP(C412,INDIRECT("tblEquipment[Equipment ID]"),INDIRECT("tblEquipment[Production Department]"),"")</f>
        <v/>
      </c>
      <c r="D412">
        <f t="array" ref="D412">_xlfn.XLOOKUP(C412,INDIRECT("tblEquipment[Equipment ID]"),INDIRECT("tblEquipment[Equipment Name]"),"")</f>
        <v/>
      </c>
      <c r="F412" s="16" t="n"/>
      <c r="G412" s="16" t="n"/>
      <c r="H412" s="1">
        <f>IF(OR(F412=0,G412=0),"",(G412-F412)*24)</f>
        <v/>
      </c>
      <c r="I412" s="10" t="n"/>
      <c r="J412" s="1">
        <f>IF(OR(tblDowntime[[#This Row],[Failure Type]]="Sawshop",tblDowntime[[#This Row],[Failure Type]]="Electrical",tblDowntime[[#This Row],[Failure Type]]="Mechanical"),tblDowntime[[#This Row],[Downtime Hours]],"")</f>
        <v/>
      </c>
      <c r="K412" s="10" t="n"/>
      <c r="L412" s="10" t="n"/>
      <c r="M412">
        <f>IF(tblDowntime[[#This Row],[Maintenance Downtime Hours]]="","",tblDowntime[[#This Row],[Equipment ID]])</f>
        <v/>
      </c>
      <c r="N412" s="1">
        <f>IF(tblDowntime[[#This Row],[Failure Type]]="Production",tblDowntime[[#This Row],[Downtime Hours]],"")</f>
        <v/>
      </c>
      <c r="O412">
        <f>IF(tblDowntime[[#This Row],[Production Downtime Hours]]="","",tblDowntime[[#This Row],[Equipment ID]])</f>
        <v/>
      </c>
      <c r="P412" s="10" t="n"/>
    </row>
    <row r="413">
      <c r="B413">
        <f t="array" ref="B413">_xlfn.XLOOKUP(C413,INDIRECT("tblEquipment[Equipment ID]"),INDIRECT("tblEquipment[Production Department]"),"")</f>
        <v/>
      </c>
      <c r="D413">
        <f t="array" ref="D413">_xlfn.XLOOKUP(C413,INDIRECT("tblEquipment[Equipment ID]"),INDIRECT("tblEquipment[Equipment Name]"),"")</f>
        <v/>
      </c>
      <c r="F413" s="16" t="n"/>
      <c r="G413" s="16" t="n"/>
      <c r="H413" s="1">
        <f>IF(OR(F413=0,G413=0),"",(G413-F413)*24)</f>
        <v/>
      </c>
      <c r="I413" s="10" t="n"/>
      <c r="J413" s="1">
        <f>IF(OR(tblDowntime[[#This Row],[Failure Type]]="Sawshop",tblDowntime[[#This Row],[Failure Type]]="Electrical",tblDowntime[[#This Row],[Failure Type]]="Mechanical"),tblDowntime[[#This Row],[Downtime Hours]],"")</f>
        <v/>
      </c>
      <c r="K413" s="10" t="n"/>
      <c r="L413" s="10" t="n"/>
      <c r="M413">
        <f>IF(tblDowntime[[#This Row],[Maintenance Downtime Hours]]="","",tblDowntime[[#This Row],[Equipment ID]])</f>
        <v/>
      </c>
      <c r="N413" s="1">
        <f>IF(tblDowntime[[#This Row],[Failure Type]]="Production",tblDowntime[[#This Row],[Downtime Hours]],"")</f>
        <v/>
      </c>
      <c r="O413">
        <f>IF(tblDowntime[[#This Row],[Production Downtime Hours]]="","",tblDowntime[[#This Row],[Equipment ID]])</f>
        <v/>
      </c>
      <c r="P413" s="10" t="n"/>
    </row>
    <row r="414">
      <c r="B414">
        <f t="array" ref="B414">_xlfn.XLOOKUP(C414,INDIRECT("tblEquipment[Equipment ID]"),INDIRECT("tblEquipment[Production Department]"),"")</f>
        <v/>
      </c>
      <c r="D414">
        <f t="array" ref="D414">_xlfn.XLOOKUP(C414,INDIRECT("tblEquipment[Equipment ID]"),INDIRECT("tblEquipment[Equipment Name]"),"")</f>
        <v/>
      </c>
      <c r="F414" s="16" t="n"/>
      <c r="G414" s="16" t="n"/>
      <c r="H414" s="1">
        <f>IF(OR(F414=0,G414=0),"",(G414-F414)*24)</f>
        <v/>
      </c>
      <c r="I414" s="10" t="n"/>
      <c r="J414" s="1">
        <f>IF(OR(tblDowntime[[#This Row],[Failure Type]]="Sawshop",tblDowntime[[#This Row],[Failure Type]]="Electrical",tblDowntime[[#This Row],[Failure Type]]="Mechanical"),tblDowntime[[#This Row],[Downtime Hours]],"")</f>
        <v/>
      </c>
      <c r="K414" s="10" t="n"/>
      <c r="L414" s="10" t="n"/>
      <c r="M414">
        <f>IF(tblDowntime[[#This Row],[Maintenance Downtime Hours]]="","",tblDowntime[[#This Row],[Equipment ID]])</f>
        <v/>
      </c>
      <c r="N414" s="1">
        <f>IF(tblDowntime[[#This Row],[Failure Type]]="Production",tblDowntime[[#This Row],[Downtime Hours]],"")</f>
        <v/>
      </c>
      <c r="O414">
        <f>IF(tblDowntime[[#This Row],[Production Downtime Hours]]="","",tblDowntime[[#This Row],[Equipment ID]])</f>
        <v/>
      </c>
      <c r="P414" s="10" t="n"/>
    </row>
    <row r="415">
      <c r="B415">
        <f t="array" ref="B415">_xlfn.XLOOKUP(C415,INDIRECT("tblEquipment[Equipment ID]"),INDIRECT("tblEquipment[Production Department]"),"")</f>
        <v/>
      </c>
      <c r="D415">
        <f t="array" ref="D415">_xlfn.XLOOKUP(C415,INDIRECT("tblEquipment[Equipment ID]"),INDIRECT("tblEquipment[Equipment Name]"),"")</f>
        <v/>
      </c>
      <c r="F415" s="16" t="n"/>
      <c r="G415" s="16" t="n"/>
      <c r="H415" s="1">
        <f>IF(OR(F415=0,G415=0),"",(G415-F415)*24)</f>
        <v/>
      </c>
      <c r="I415" s="10" t="n"/>
      <c r="J415" s="1">
        <f>IF(OR(tblDowntime[[#This Row],[Failure Type]]="Sawshop",tblDowntime[[#This Row],[Failure Type]]="Electrical",tblDowntime[[#This Row],[Failure Type]]="Mechanical"),tblDowntime[[#This Row],[Downtime Hours]],"")</f>
        <v/>
      </c>
      <c r="K415" s="10" t="n"/>
      <c r="L415" s="10" t="n"/>
      <c r="M415">
        <f>IF(tblDowntime[[#This Row],[Maintenance Downtime Hours]]="","",tblDowntime[[#This Row],[Equipment ID]])</f>
        <v/>
      </c>
      <c r="N415" s="1">
        <f>IF(tblDowntime[[#This Row],[Failure Type]]="Production",tblDowntime[[#This Row],[Downtime Hours]],"")</f>
        <v/>
      </c>
      <c r="O415">
        <f>IF(tblDowntime[[#This Row],[Production Downtime Hours]]="","",tblDowntime[[#This Row],[Equipment ID]])</f>
        <v/>
      </c>
      <c r="P415" s="10" t="n"/>
    </row>
    <row r="416">
      <c r="B416">
        <f t="array" ref="B416">_xlfn.XLOOKUP(C416,INDIRECT("tblEquipment[Equipment ID]"),INDIRECT("tblEquipment[Production Department]"),"")</f>
        <v/>
      </c>
      <c r="D416">
        <f t="array" ref="D416">_xlfn.XLOOKUP(C416,INDIRECT("tblEquipment[Equipment ID]"),INDIRECT("tblEquipment[Equipment Name]"),"")</f>
        <v/>
      </c>
      <c r="F416" s="16" t="n"/>
      <c r="G416" s="16" t="n"/>
      <c r="H416" s="1">
        <f>IF(OR(F416=0,G416=0),"",(G416-F416)*24)</f>
        <v/>
      </c>
      <c r="I416" s="10" t="n"/>
      <c r="J416" s="1">
        <f>IF(OR(tblDowntime[[#This Row],[Failure Type]]="Sawshop",tblDowntime[[#This Row],[Failure Type]]="Electrical",tblDowntime[[#This Row],[Failure Type]]="Mechanical"),tblDowntime[[#This Row],[Downtime Hours]],"")</f>
        <v/>
      </c>
      <c r="K416" s="10" t="n"/>
      <c r="L416" s="10" t="n"/>
      <c r="M416">
        <f>IF(tblDowntime[[#This Row],[Maintenance Downtime Hours]]="","",tblDowntime[[#This Row],[Equipment ID]])</f>
        <v/>
      </c>
      <c r="N416" s="1">
        <f>IF(tblDowntime[[#This Row],[Failure Type]]="Production",tblDowntime[[#This Row],[Downtime Hours]],"")</f>
        <v/>
      </c>
      <c r="O416">
        <f>IF(tblDowntime[[#This Row],[Production Downtime Hours]]="","",tblDowntime[[#This Row],[Equipment ID]])</f>
        <v/>
      </c>
      <c r="P416" s="10" t="n"/>
    </row>
    <row r="417">
      <c r="B417">
        <f t="array" ref="B417">_xlfn.XLOOKUP(C417,INDIRECT("tblEquipment[Equipment ID]"),INDIRECT("tblEquipment[Production Department]"),"")</f>
        <v/>
      </c>
      <c r="D417">
        <f t="array" ref="D417">_xlfn.XLOOKUP(C417,INDIRECT("tblEquipment[Equipment ID]"),INDIRECT("tblEquipment[Equipment Name]"),"")</f>
        <v/>
      </c>
      <c r="F417" s="16" t="n"/>
      <c r="G417" s="16" t="n"/>
      <c r="H417" s="1">
        <f>IF(OR(F417=0,G417=0),"",(G417-F417)*24)</f>
        <v/>
      </c>
      <c r="I417" s="10" t="n"/>
      <c r="J417" s="1">
        <f>IF(OR(tblDowntime[[#This Row],[Failure Type]]="Sawshop",tblDowntime[[#This Row],[Failure Type]]="Electrical",tblDowntime[[#This Row],[Failure Type]]="Mechanical"),tblDowntime[[#This Row],[Downtime Hours]],"")</f>
        <v/>
      </c>
      <c r="K417" s="10" t="n"/>
      <c r="L417" s="10" t="n"/>
      <c r="M417">
        <f>IF(tblDowntime[[#This Row],[Maintenance Downtime Hours]]="","",tblDowntime[[#This Row],[Equipment ID]])</f>
        <v/>
      </c>
      <c r="N417" s="1">
        <f>IF(tblDowntime[[#This Row],[Failure Type]]="Production",tblDowntime[[#This Row],[Downtime Hours]],"")</f>
        <v/>
      </c>
      <c r="O417">
        <f>IF(tblDowntime[[#This Row],[Production Downtime Hours]]="","",tblDowntime[[#This Row],[Equipment ID]])</f>
        <v/>
      </c>
      <c r="P417" s="10" t="n"/>
    </row>
    <row r="418">
      <c r="B418">
        <f t="array" ref="B418">_xlfn.XLOOKUP(C418,INDIRECT("tblEquipment[Equipment ID]"),INDIRECT("tblEquipment[Production Department]"),"")</f>
        <v/>
      </c>
      <c r="D418">
        <f t="array" ref="D418">_xlfn.XLOOKUP(C418,INDIRECT("tblEquipment[Equipment ID]"),INDIRECT("tblEquipment[Equipment Name]"),"")</f>
        <v/>
      </c>
      <c r="F418" s="16" t="n"/>
      <c r="G418" s="16" t="n"/>
      <c r="H418" s="1">
        <f>IF(OR(F418=0,G418=0),"",(G418-F418)*24)</f>
        <v/>
      </c>
      <c r="I418" s="10" t="n"/>
      <c r="J418" s="1">
        <f>IF(OR(tblDowntime[[#This Row],[Failure Type]]="Sawshop",tblDowntime[[#This Row],[Failure Type]]="Electrical",tblDowntime[[#This Row],[Failure Type]]="Mechanical"),tblDowntime[[#This Row],[Downtime Hours]],"")</f>
        <v/>
      </c>
      <c r="K418" s="10" t="n"/>
      <c r="L418" s="10" t="n"/>
      <c r="M418">
        <f>IF(tblDowntime[[#This Row],[Maintenance Downtime Hours]]="","",tblDowntime[[#This Row],[Equipment ID]])</f>
        <v/>
      </c>
      <c r="N418" s="1">
        <f>IF(tblDowntime[[#This Row],[Failure Type]]="Production",tblDowntime[[#This Row],[Downtime Hours]],"")</f>
        <v/>
      </c>
      <c r="O418">
        <f>IF(tblDowntime[[#This Row],[Production Downtime Hours]]="","",tblDowntime[[#This Row],[Equipment ID]])</f>
        <v/>
      </c>
      <c r="P418" s="10" t="n"/>
    </row>
    <row r="419">
      <c r="B419">
        <f t="array" ref="B419">_xlfn.XLOOKUP(C419,INDIRECT("tblEquipment[Equipment ID]"),INDIRECT("tblEquipment[Production Department]"),"")</f>
        <v/>
      </c>
      <c r="D419">
        <f t="array" ref="D419">_xlfn.XLOOKUP(C419,INDIRECT("tblEquipment[Equipment ID]"),INDIRECT("tblEquipment[Equipment Name]"),"")</f>
        <v/>
      </c>
      <c r="F419" s="16" t="n"/>
      <c r="G419" s="16" t="n"/>
      <c r="H419" s="1">
        <f>IF(OR(F419=0,G419=0),"",(G419-F419)*24)</f>
        <v/>
      </c>
      <c r="I419" s="10" t="n"/>
      <c r="J419" s="1">
        <f>IF(OR(tblDowntime[[#This Row],[Failure Type]]="Sawshop",tblDowntime[[#This Row],[Failure Type]]="Electrical",tblDowntime[[#This Row],[Failure Type]]="Mechanical"),tblDowntime[[#This Row],[Downtime Hours]],"")</f>
        <v/>
      </c>
      <c r="K419" s="10" t="n"/>
      <c r="L419" s="10" t="n"/>
      <c r="M419">
        <f>IF(tblDowntime[[#This Row],[Maintenance Downtime Hours]]="","",tblDowntime[[#This Row],[Equipment ID]])</f>
        <v/>
      </c>
      <c r="N419" s="1">
        <f>IF(tblDowntime[[#This Row],[Failure Type]]="Production",tblDowntime[[#This Row],[Downtime Hours]],"")</f>
        <v/>
      </c>
      <c r="O419">
        <f>IF(tblDowntime[[#This Row],[Production Downtime Hours]]="","",tblDowntime[[#This Row],[Equipment ID]])</f>
        <v/>
      </c>
      <c r="P419" s="10" t="n"/>
    </row>
    <row r="420">
      <c r="B420">
        <f t="array" ref="B420">_xlfn.XLOOKUP(C420,INDIRECT("tblEquipment[Equipment ID]"),INDIRECT("tblEquipment[Production Department]"),"")</f>
        <v/>
      </c>
      <c r="D420">
        <f t="array" ref="D420">_xlfn.XLOOKUP(C420,INDIRECT("tblEquipment[Equipment ID]"),INDIRECT("tblEquipment[Equipment Name]"),"")</f>
        <v/>
      </c>
      <c r="F420" s="16" t="n"/>
      <c r="G420" s="16" t="n"/>
      <c r="H420" s="1">
        <f>IF(OR(F420=0,G420=0),"",(G420-F420)*24)</f>
        <v/>
      </c>
      <c r="I420" s="10" t="n"/>
      <c r="J420" s="1">
        <f>IF(OR(tblDowntime[[#This Row],[Failure Type]]="Sawshop",tblDowntime[[#This Row],[Failure Type]]="Electrical",tblDowntime[[#This Row],[Failure Type]]="Mechanical"),tblDowntime[[#This Row],[Downtime Hours]],"")</f>
        <v/>
      </c>
      <c r="K420" s="10" t="n"/>
      <c r="L420" s="10" t="n"/>
      <c r="M420">
        <f>IF(tblDowntime[[#This Row],[Maintenance Downtime Hours]]="","",tblDowntime[[#This Row],[Equipment ID]])</f>
        <v/>
      </c>
      <c r="N420" s="1">
        <f>IF(tblDowntime[[#This Row],[Failure Type]]="Production",tblDowntime[[#This Row],[Downtime Hours]],"")</f>
        <v/>
      </c>
      <c r="O420">
        <f>IF(tblDowntime[[#This Row],[Production Downtime Hours]]="","",tblDowntime[[#This Row],[Equipment ID]])</f>
        <v/>
      </c>
      <c r="P420" s="10" t="n"/>
    </row>
    <row r="421">
      <c r="B421">
        <f t="array" ref="B421">_xlfn.XLOOKUP(C421,INDIRECT("tblEquipment[Equipment ID]"),INDIRECT("tblEquipment[Production Department]"),"")</f>
        <v/>
      </c>
      <c r="D421">
        <f t="array" ref="D421">_xlfn.XLOOKUP(C421,INDIRECT("tblEquipment[Equipment ID]"),INDIRECT("tblEquipment[Equipment Name]"),"")</f>
        <v/>
      </c>
      <c r="F421" s="16" t="n"/>
      <c r="G421" s="16" t="n"/>
      <c r="H421" s="1">
        <f>IF(OR(F421=0,G421=0),"",(G421-F421)*24)</f>
        <v/>
      </c>
      <c r="I421" s="10" t="n"/>
      <c r="J421" s="1">
        <f>IF(OR(tblDowntime[[#This Row],[Failure Type]]="Sawshop",tblDowntime[[#This Row],[Failure Type]]="Electrical",tblDowntime[[#This Row],[Failure Type]]="Mechanical"),tblDowntime[[#This Row],[Downtime Hours]],"")</f>
        <v/>
      </c>
      <c r="K421" s="10" t="n"/>
      <c r="L421" s="10" t="n"/>
      <c r="M421">
        <f>IF(tblDowntime[[#This Row],[Maintenance Downtime Hours]]="","",tblDowntime[[#This Row],[Equipment ID]])</f>
        <v/>
      </c>
      <c r="N421" s="1">
        <f>IF(tblDowntime[[#This Row],[Failure Type]]="Production",tblDowntime[[#This Row],[Downtime Hours]],"")</f>
        <v/>
      </c>
      <c r="O421">
        <f>IF(tblDowntime[[#This Row],[Production Downtime Hours]]="","",tblDowntime[[#This Row],[Equipment ID]])</f>
        <v/>
      </c>
      <c r="P421" s="10" t="n"/>
    </row>
    <row r="422">
      <c r="B422">
        <f t="array" ref="B422">_xlfn.XLOOKUP(C422,INDIRECT("tblEquipment[Equipment ID]"),INDIRECT("tblEquipment[Production Department]"),"")</f>
        <v/>
      </c>
      <c r="D422">
        <f t="array" ref="D422">_xlfn.XLOOKUP(C422,INDIRECT("tblEquipment[Equipment ID]"),INDIRECT("tblEquipment[Equipment Name]"),"")</f>
        <v/>
      </c>
      <c r="F422" s="16" t="n"/>
      <c r="G422" s="16" t="n"/>
      <c r="H422" s="1">
        <f>IF(OR(F422=0,G422=0),"",(G422-F422)*24)</f>
        <v/>
      </c>
      <c r="I422" s="10" t="n"/>
      <c r="J422" s="1">
        <f>IF(OR(tblDowntime[[#This Row],[Failure Type]]="Sawshop",tblDowntime[[#This Row],[Failure Type]]="Electrical",tblDowntime[[#This Row],[Failure Type]]="Mechanical"),tblDowntime[[#This Row],[Downtime Hours]],"")</f>
        <v/>
      </c>
      <c r="K422" s="10" t="n"/>
      <c r="L422" s="10" t="n"/>
      <c r="M422">
        <f>IF(tblDowntime[[#This Row],[Maintenance Downtime Hours]]="","",tblDowntime[[#This Row],[Equipment ID]])</f>
        <v/>
      </c>
      <c r="N422" s="1">
        <f>IF(tblDowntime[[#This Row],[Failure Type]]="Production",tblDowntime[[#This Row],[Downtime Hours]],"")</f>
        <v/>
      </c>
      <c r="O422">
        <f>IF(tblDowntime[[#This Row],[Production Downtime Hours]]="","",tblDowntime[[#This Row],[Equipment ID]])</f>
        <v/>
      </c>
      <c r="P422" s="10" t="n"/>
    </row>
    <row r="423">
      <c r="B423">
        <f t="array" ref="B423">_xlfn.XLOOKUP(C423,INDIRECT("tblEquipment[Equipment ID]"),INDIRECT("tblEquipment[Production Department]"),"")</f>
        <v/>
      </c>
      <c r="D423">
        <f t="array" ref="D423">_xlfn.XLOOKUP(C423,INDIRECT("tblEquipment[Equipment ID]"),INDIRECT("tblEquipment[Equipment Name]"),"")</f>
        <v/>
      </c>
      <c r="F423" s="16" t="n"/>
      <c r="G423" s="16" t="n"/>
      <c r="H423" s="1">
        <f>IF(OR(F423=0,G423=0),"",(G423-F423)*24)</f>
        <v/>
      </c>
      <c r="I423" s="10" t="n"/>
      <c r="J423" s="1">
        <f>IF(OR(tblDowntime[[#This Row],[Failure Type]]="Sawshop",tblDowntime[[#This Row],[Failure Type]]="Electrical",tblDowntime[[#This Row],[Failure Type]]="Mechanical"),tblDowntime[[#This Row],[Downtime Hours]],"")</f>
        <v/>
      </c>
      <c r="K423" s="10" t="n"/>
      <c r="L423" s="10" t="n"/>
      <c r="M423">
        <f>IF(tblDowntime[[#This Row],[Maintenance Downtime Hours]]="","",tblDowntime[[#This Row],[Equipment ID]])</f>
        <v/>
      </c>
      <c r="N423" s="1">
        <f>IF(tblDowntime[[#This Row],[Failure Type]]="Production",tblDowntime[[#This Row],[Downtime Hours]],"")</f>
        <v/>
      </c>
      <c r="O423">
        <f>IF(tblDowntime[[#This Row],[Production Downtime Hours]]="","",tblDowntime[[#This Row],[Equipment ID]])</f>
        <v/>
      </c>
      <c r="P423" s="10" t="n"/>
    </row>
    <row r="424">
      <c r="B424">
        <f t="array" ref="B424">_xlfn.XLOOKUP(C424,INDIRECT("tblEquipment[Equipment ID]"),INDIRECT("tblEquipment[Production Department]"),"")</f>
        <v/>
      </c>
      <c r="D424">
        <f t="array" ref="D424">_xlfn.XLOOKUP(C424,INDIRECT("tblEquipment[Equipment ID]"),INDIRECT("tblEquipment[Equipment Name]"),"")</f>
        <v/>
      </c>
      <c r="F424" s="16" t="n"/>
      <c r="G424" s="16" t="n"/>
      <c r="H424" s="1">
        <f>IF(OR(F424=0,G424=0),"",(G424-F424)*24)</f>
        <v/>
      </c>
      <c r="I424" s="10" t="n"/>
      <c r="J424" s="1">
        <f>IF(OR(tblDowntime[[#This Row],[Failure Type]]="Sawshop",tblDowntime[[#This Row],[Failure Type]]="Electrical",tblDowntime[[#This Row],[Failure Type]]="Mechanical"),tblDowntime[[#This Row],[Downtime Hours]],"")</f>
        <v/>
      </c>
      <c r="K424" s="10" t="n"/>
      <c r="L424" s="10" t="n"/>
      <c r="M424">
        <f>IF(tblDowntime[[#This Row],[Maintenance Downtime Hours]]="","",tblDowntime[[#This Row],[Equipment ID]])</f>
        <v/>
      </c>
      <c r="N424" s="1">
        <f>IF(tblDowntime[[#This Row],[Failure Type]]="Production",tblDowntime[[#This Row],[Downtime Hours]],"")</f>
        <v/>
      </c>
      <c r="O424">
        <f>IF(tblDowntime[[#This Row],[Production Downtime Hours]]="","",tblDowntime[[#This Row],[Equipment ID]])</f>
        <v/>
      </c>
      <c r="P424" s="10" t="n"/>
    </row>
    <row r="425">
      <c r="B425">
        <f t="array" ref="B425">_xlfn.XLOOKUP(C425,INDIRECT("tblEquipment[Equipment ID]"),INDIRECT("tblEquipment[Production Department]"),"")</f>
        <v/>
      </c>
      <c r="D425">
        <f t="array" ref="D425">_xlfn.XLOOKUP(C425,INDIRECT("tblEquipment[Equipment ID]"),INDIRECT("tblEquipment[Equipment Name]"),"")</f>
        <v/>
      </c>
      <c r="F425" s="16" t="n"/>
      <c r="G425" s="16" t="n"/>
      <c r="H425" s="1">
        <f>IF(OR(F425=0,G425=0),"",(G425-F425)*24)</f>
        <v/>
      </c>
      <c r="I425" s="10" t="n"/>
      <c r="J425" s="1">
        <f>IF(OR(tblDowntime[[#This Row],[Failure Type]]="Sawshop",tblDowntime[[#This Row],[Failure Type]]="Electrical",tblDowntime[[#This Row],[Failure Type]]="Mechanical"),tblDowntime[[#This Row],[Downtime Hours]],"")</f>
        <v/>
      </c>
      <c r="K425" s="10" t="n"/>
      <c r="L425" s="10" t="n"/>
      <c r="M425">
        <f>IF(tblDowntime[[#This Row],[Maintenance Downtime Hours]]="","",tblDowntime[[#This Row],[Equipment ID]])</f>
        <v/>
      </c>
      <c r="N425" s="1">
        <f>IF(tblDowntime[[#This Row],[Failure Type]]="Production",tblDowntime[[#This Row],[Downtime Hours]],"")</f>
        <v/>
      </c>
      <c r="O425">
        <f>IF(tblDowntime[[#This Row],[Production Downtime Hours]]="","",tblDowntime[[#This Row],[Equipment ID]])</f>
        <v/>
      </c>
      <c r="P425" s="10" t="n"/>
    </row>
    <row r="426">
      <c r="B426">
        <f t="array" ref="B426">_xlfn.XLOOKUP(C426,INDIRECT("tblEquipment[Equipment ID]"),INDIRECT("tblEquipment[Production Department]"),"")</f>
        <v/>
      </c>
      <c r="D426">
        <f t="array" ref="D426">_xlfn.XLOOKUP(C426,INDIRECT("tblEquipment[Equipment ID]"),INDIRECT("tblEquipment[Equipment Name]"),"")</f>
        <v/>
      </c>
      <c r="F426" s="16" t="n"/>
      <c r="G426" s="16" t="n"/>
      <c r="H426" s="1">
        <f>IF(OR(F426=0,G426=0),"",(G426-F426)*24)</f>
        <v/>
      </c>
      <c r="I426" s="10" t="n"/>
      <c r="J426" s="1">
        <f>IF(OR(tblDowntime[[#This Row],[Failure Type]]="Sawshop",tblDowntime[[#This Row],[Failure Type]]="Electrical",tblDowntime[[#This Row],[Failure Type]]="Mechanical"),tblDowntime[[#This Row],[Downtime Hours]],"")</f>
        <v/>
      </c>
      <c r="K426" s="10" t="n"/>
      <c r="L426" s="10" t="n"/>
      <c r="M426">
        <f>IF(tblDowntime[[#This Row],[Maintenance Downtime Hours]]="","",tblDowntime[[#This Row],[Equipment ID]])</f>
        <v/>
      </c>
      <c r="N426" s="1">
        <f>IF(tblDowntime[[#This Row],[Failure Type]]="Production",tblDowntime[[#This Row],[Downtime Hours]],"")</f>
        <v/>
      </c>
      <c r="O426">
        <f>IF(tblDowntime[[#This Row],[Production Downtime Hours]]="","",tblDowntime[[#This Row],[Equipment ID]])</f>
        <v/>
      </c>
      <c r="P426" s="10" t="n"/>
    </row>
    <row r="427">
      <c r="B427">
        <f t="array" ref="B427">_xlfn.XLOOKUP(C427,INDIRECT("tblEquipment[Equipment ID]"),INDIRECT("tblEquipment[Production Department]"),"")</f>
        <v/>
      </c>
      <c r="D427">
        <f t="array" ref="D427">_xlfn.XLOOKUP(C427,INDIRECT("tblEquipment[Equipment ID]"),INDIRECT("tblEquipment[Equipment Name]"),"")</f>
        <v/>
      </c>
      <c r="F427" s="16" t="n"/>
      <c r="G427" s="16" t="n"/>
      <c r="H427" s="1">
        <f>IF(OR(F427=0,G427=0),"",(G427-F427)*24)</f>
        <v/>
      </c>
      <c r="I427" s="10" t="n"/>
      <c r="J427" s="1">
        <f>IF(OR(tblDowntime[[#This Row],[Failure Type]]="Sawshop",tblDowntime[[#This Row],[Failure Type]]="Electrical",tblDowntime[[#This Row],[Failure Type]]="Mechanical"),tblDowntime[[#This Row],[Downtime Hours]],"")</f>
        <v/>
      </c>
      <c r="K427" s="10" t="n"/>
      <c r="L427" s="10" t="n"/>
      <c r="M427">
        <f>IF(tblDowntime[[#This Row],[Maintenance Downtime Hours]]="","",tblDowntime[[#This Row],[Equipment ID]])</f>
        <v/>
      </c>
      <c r="N427" s="1">
        <f>IF(tblDowntime[[#This Row],[Failure Type]]="Production",tblDowntime[[#This Row],[Downtime Hours]],"")</f>
        <v/>
      </c>
      <c r="O427">
        <f>IF(tblDowntime[[#This Row],[Production Downtime Hours]]="","",tblDowntime[[#This Row],[Equipment ID]])</f>
        <v/>
      </c>
      <c r="P427" s="10" t="n"/>
    </row>
    <row r="428">
      <c r="B428">
        <f t="array" ref="B428">_xlfn.XLOOKUP(C428,INDIRECT("tblEquipment[Equipment ID]"),INDIRECT("tblEquipment[Production Department]"),"")</f>
        <v/>
      </c>
      <c r="D428">
        <f t="array" ref="D428">_xlfn.XLOOKUP(C428,INDIRECT("tblEquipment[Equipment ID]"),INDIRECT("tblEquipment[Equipment Name]"),"")</f>
        <v/>
      </c>
      <c r="F428" s="16" t="n"/>
      <c r="G428" s="16" t="n"/>
      <c r="H428" s="1">
        <f>IF(OR(F428=0,G428=0),"",(G428-F428)*24)</f>
        <v/>
      </c>
      <c r="I428" s="10" t="n"/>
      <c r="J428" s="1">
        <f>IF(OR(tblDowntime[[#This Row],[Failure Type]]="Sawshop",tblDowntime[[#This Row],[Failure Type]]="Electrical",tblDowntime[[#This Row],[Failure Type]]="Mechanical"),tblDowntime[[#This Row],[Downtime Hours]],"")</f>
        <v/>
      </c>
      <c r="K428" s="10" t="n"/>
      <c r="L428" s="10" t="n"/>
      <c r="M428">
        <f>IF(tblDowntime[[#This Row],[Maintenance Downtime Hours]]="","",tblDowntime[[#This Row],[Equipment ID]])</f>
        <v/>
      </c>
      <c r="N428" s="1">
        <f>IF(tblDowntime[[#This Row],[Failure Type]]="Production",tblDowntime[[#This Row],[Downtime Hours]],"")</f>
        <v/>
      </c>
      <c r="O428">
        <f>IF(tblDowntime[[#This Row],[Production Downtime Hours]]="","",tblDowntime[[#This Row],[Equipment ID]])</f>
        <v/>
      </c>
      <c r="P428" s="10" t="n"/>
    </row>
    <row r="429">
      <c r="B429">
        <f t="array" ref="B429">_xlfn.XLOOKUP(C429,INDIRECT("tblEquipment[Equipment ID]"),INDIRECT("tblEquipment[Production Department]"),"")</f>
        <v/>
      </c>
      <c r="D429">
        <f t="array" ref="D429">_xlfn.XLOOKUP(C429,INDIRECT("tblEquipment[Equipment ID]"),INDIRECT("tblEquipment[Equipment Name]"),"")</f>
        <v/>
      </c>
      <c r="F429" s="16" t="n"/>
      <c r="G429" s="16" t="n"/>
      <c r="H429" s="1">
        <f>IF(OR(F429=0,G429=0),"",(G429-F429)*24)</f>
        <v/>
      </c>
      <c r="I429" s="10" t="n"/>
      <c r="J429" s="1">
        <f>IF(OR(tblDowntime[[#This Row],[Failure Type]]="Sawshop",tblDowntime[[#This Row],[Failure Type]]="Electrical",tblDowntime[[#This Row],[Failure Type]]="Mechanical"),tblDowntime[[#This Row],[Downtime Hours]],"")</f>
        <v/>
      </c>
      <c r="K429" s="10" t="n"/>
      <c r="L429" s="10" t="n"/>
      <c r="M429">
        <f>IF(tblDowntime[[#This Row],[Maintenance Downtime Hours]]="","",tblDowntime[[#This Row],[Equipment ID]])</f>
        <v/>
      </c>
      <c r="N429" s="1">
        <f>IF(tblDowntime[[#This Row],[Failure Type]]="Production",tblDowntime[[#This Row],[Downtime Hours]],"")</f>
        <v/>
      </c>
      <c r="O429">
        <f>IF(tblDowntime[[#This Row],[Production Downtime Hours]]="","",tblDowntime[[#This Row],[Equipment ID]])</f>
        <v/>
      </c>
      <c r="P429" s="10" t="n"/>
    </row>
    <row r="430">
      <c r="B430">
        <f t="array" ref="B430">_xlfn.XLOOKUP(C430,INDIRECT("tblEquipment[Equipment ID]"),INDIRECT("tblEquipment[Production Department]"),"")</f>
        <v/>
      </c>
      <c r="D430">
        <f t="array" ref="D430">_xlfn.XLOOKUP(C430,INDIRECT("tblEquipment[Equipment ID]"),INDIRECT("tblEquipment[Equipment Name]"),"")</f>
        <v/>
      </c>
      <c r="F430" s="16" t="n"/>
      <c r="G430" s="16" t="n"/>
      <c r="H430" s="1">
        <f>IF(OR(F430=0,G430=0),"",(G430-F430)*24)</f>
        <v/>
      </c>
      <c r="I430" s="10" t="n"/>
      <c r="J430" s="1">
        <f>IF(OR(tblDowntime[[#This Row],[Failure Type]]="Sawshop",tblDowntime[[#This Row],[Failure Type]]="Electrical",tblDowntime[[#This Row],[Failure Type]]="Mechanical"),tblDowntime[[#This Row],[Downtime Hours]],"")</f>
        <v/>
      </c>
      <c r="K430" s="10" t="n"/>
      <c r="L430" s="10" t="n"/>
      <c r="M430">
        <f>IF(tblDowntime[[#This Row],[Maintenance Downtime Hours]]="","",tblDowntime[[#This Row],[Equipment ID]])</f>
        <v/>
      </c>
      <c r="N430" s="1">
        <f>IF(tblDowntime[[#This Row],[Failure Type]]="Production",tblDowntime[[#This Row],[Downtime Hours]],"")</f>
        <v/>
      </c>
      <c r="O430">
        <f>IF(tblDowntime[[#This Row],[Production Downtime Hours]]="","",tblDowntime[[#This Row],[Equipment ID]])</f>
        <v/>
      </c>
      <c r="P430" s="10" t="n"/>
    </row>
    <row r="431">
      <c r="B431">
        <f t="array" ref="B431">_xlfn.XLOOKUP(C431,INDIRECT("tblEquipment[Equipment ID]"),INDIRECT("tblEquipment[Production Department]"),"")</f>
        <v/>
      </c>
      <c r="D431">
        <f t="array" ref="D431">_xlfn.XLOOKUP(C431,INDIRECT("tblEquipment[Equipment ID]"),INDIRECT("tblEquipment[Equipment Name]"),"")</f>
        <v/>
      </c>
      <c r="F431" s="16" t="n"/>
      <c r="G431" s="16" t="n"/>
      <c r="H431" s="1">
        <f>IF(OR(F431=0,G431=0),"",(G431-F431)*24)</f>
        <v/>
      </c>
      <c r="I431" s="10" t="n"/>
      <c r="J431" s="1">
        <f>IF(OR(tblDowntime[[#This Row],[Failure Type]]="Sawshop",tblDowntime[[#This Row],[Failure Type]]="Electrical",tblDowntime[[#This Row],[Failure Type]]="Mechanical"),tblDowntime[[#This Row],[Downtime Hours]],"")</f>
        <v/>
      </c>
      <c r="K431" s="10" t="n"/>
      <c r="L431" s="10" t="n"/>
      <c r="M431">
        <f>IF(tblDowntime[[#This Row],[Maintenance Downtime Hours]]="","",tblDowntime[[#This Row],[Equipment ID]])</f>
        <v/>
      </c>
      <c r="N431" s="1">
        <f>IF(tblDowntime[[#This Row],[Failure Type]]="Production",tblDowntime[[#This Row],[Downtime Hours]],"")</f>
        <v/>
      </c>
      <c r="O431">
        <f>IF(tblDowntime[[#This Row],[Production Downtime Hours]]="","",tblDowntime[[#This Row],[Equipment ID]])</f>
        <v/>
      </c>
      <c r="P431" s="10" t="n"/>
    </row>
    <row r="432">
      <c r="B432">
        <f t="array" ref="B432">_xlfn.XLOOKUP(C432,INDIRECT("tblEquipment[Equipment ID]"),INDIRECT("tblEquipment[Production Department]"),"")</f>
        <v/>
      </c>
      <c r="D432">
        <f t="array" ref="D432">_xlfn.XLOOKUP(C432,INDIRECT("tblEquipment[Equipment ID]"),INDIRECT("tblEquipment[Equipment Name]"),"")</f>
        <v/>
      </c>
      <c r="F432" s="16" t="n"/>
      <c r="G432" s="16" t="n"/>
      <c r="H432" s="1">
        <f>IF(OR(F432=0,G432=0),"",(G432-F432)*24)</f>
        <v/>
      </c>
      <c r="I432" s="10" t="n"/>
      <c r="J432" s="1">
        <f>IF(OR(tblDowntime[[#This Row],[Failure Type]]="Sawshop",tblDowntime[[#This Row],[Failure Type]]="Electrical",tblDowntime[[#This Row],[Failure Type]]="Mechanical"),tblDowntime[[#This Row],[Downtime Hours]],"")</f>
        <v/>
      </c>
      <c r="K432" s="10" t="n"/>
      <c r="L432" s="10" t="n"/>
      <c r="M432">
        <f>IF(tblDowntime[[#This Row],[Maintenance Downtime Hours]]="","",tblDowntime[[#This Row],[Equipment ID]])</f>
        <v/>
      </c>
      <c r="N432" s="1">
        <f>IF(tblDowntime[[#This Row],[Failure Type]]="Production",tblDowntime[[#This Row],[Downtime Hours]],"")</f>
        <v/>
      </c>
      <c r="O432">
        <f>IF(tblDowntime[[#This Row],[Production Downtime Hours]]="","",tblDowntime[[#This Row],[Equipment ID]])</f>
        <v/>
      </c>
      <c r="P432" s="10" t="n"/>
    </row>
    <row r="433">
      <c r="B433">
        <f t="array" ref="B433">_xlfn.XLOOKUP(C433,INDIRECT("tblEquipment[Equipment ID]"),INDIRECT("tblEquipment[Production Department]"),"")</f>
        <v/>
      </c>
      <c r="D433">
        <f t="array" ref="D433">_xlfn.XLOOKUP(C433,INDIRECT("tblEquipment[Equipment ID]"),INDIRECT("tblEquipment[Equipment Name]"),"")</f>
        <v/>
      </c>
      <c r="F433" s="16" t="n"/>
      <c r="G433" s="16" t="n"/>
      <c r="H433" s="1">
        <f>IF(OR(F433=0,G433=0),"",(G433-F433)*24)</f>
        <v/>
      </c>
      <c r="I433" s="10" t="n"/>
      <c r="J433" s="1">
        <f>IF(OR(tblDowntime[[#This Row],[Failure Type]]="Sawshop",tblDowntime[[#This Row],[Failure Type]]="Electrical",tblDowntime[[#This Row],[Failure Type]]="Mechanical"),tblDowntime[[#This Row],[Downtime Hours]],"")</f>
        <v/>
      </c>
      <c r="K433" s="10" t="n"/>
      <c r="L433" s="10" t="n"/>
      <c r="M433">
        <f>IF(tblDowntime[[#This Row],[Maintenance Downtime Hours]]="","",tblDowntime[[#This Row],[Equipment ID]])</f>
        <v/>
      </c>
      <c r="N433" s="1">
        <f>IF(tblDowntime[[#This Row],[Failure Type]]="Production",tblDowntime[[#This Row],[Downtime Hours]],"")</f>
        <v/>
      </c>
      <c r="O433">
        <f>IF(tblDowntime[[#This Row],[Production Downtime Hours]]="","",tblDowntime[[#This Row],[Equipment ID]])</f>
        <v/>
      </c>
      <c r="P433" s="10" t="n"/>
    </row>
    <row r="434">
      <c r="B434">
        <f t="array" ref="B434">_xlfn.XLOOKUP(C434,INDIRECT("tblEquipment[Equipment ID]"),INDIRECT("tblEquipment[Production Department]"),"")</f>
        <v/>
      </c>
      <c r="D434">
        <f t="array" ref="D434">_xlfn.XLOOKUP(C434,INDIRECT("tblEquipment[Equipment ID]"),INDIRECT("tblEquipment[Equipment Name]"),"")</f>
        <v/>
      </c>
      <c r="F434" s="16" t="n"/>
      <c r="G434" s="16" t="n"/>
      <c r="H434" s="1">
        <f>IF(OR(F434=0,G434=0),"",(G434-F434)*24)</f>
        <v/>
      </c>
      <c r="I434" s="10" t="n"/>
      <c r="J434" s="1">
        <f>IF(OR(tblDowntime[[#This Row],[Failure Type]]="Sawshop",tblDowntime[[#This Row],[Failure Type]]="Electrical",tblDowntime[[#This Row],[Failure Type]]="Mechanical"),tblDowntime[[#This Row],[Downtime Hours]],"")</f>
        <v/>
      </c>
      <c r="K434" s="10" t="n"/>
      <c r="L434" s="10" t="n"/>
      <c r="M434">
        <f>IF(tblDowntime[[#This Row],[Maintenance Downtime Hours]]="","",tblDowntime[[#This Row],[Equipment ID]])</f>
        <v/>
      </c>
      <c r="N434" s="1">
        <f>IF(tblDowntime[[#This Row],[Failure Type]]="Production",tblDowntime[[#This Row],[Downtime Hours]],"")</f>
        <v/>
      </c>
      <c r="O434">
        <f>IF(tblDowntime[[#This Row],[Production Downtime Hours]]="","",tblDowntime[[#This Row],[Equipment ID]])</f>
        <v/>
      </c>
      <c r="P434" s="10" t="n"/>
    </row>
    <row r="435">
      <c r="B435">
        <f t="array" ref="B435">_xlfn.XLOOKUP(C435,INDIRECT("tblEquipment[Equipment ID]"),INDIRECT("tblEquipment[Production Department]"),"")</f>
        <v/>
      </c>
      <c r="D435">
        <f t="array" ref="D435">_xlfn.XLOOKUP(C435,INDIRECT("tblEquipment[Equipment ID]"),INDIRECT("tblEquipment[Equipment Name]"),"")</f>
        <v/>
      </c>
      <c r="F435" s="16" t="n"/>
      <c r="G435" s="16" t="n"/>
      <c r="H435" s="1">
        <f>IF(OR(F435=0,G435=0),"",(G435-F435)*24)</f>
        <v/>
      </c>
      <c r="I435" s="10" t="n"/>
      <c r="J435" s="1">
        <f>IF(OR(tblDowntime[[#This Row],[Failure Type]]="Sawshop",tblDowntime[[#This Row],[Failure Type]]="Electrical",tblDowntime[[#This Row],[Failure Type]]="Mechanical"),tblDowntime[[#This Row],[Downtime Hours]],"")</f>
        <v/>
      </c>
      <c r="K435" s="10" t="n"/>
      <c r="L435" s="10" t="n"/>
      <c r="M435">
        <f>IF(tblDowntime[[#This Row],[Maintenance Downtime Hours]]="","",tblDowntime[[#This Row],[Equipment ID]])</f>
        <v/>
      </c>
      <c r="N435" s="1">
        <f>IF(tblDowntime[[#This Row],[Failure Type]]="Production",tblDowntime[[#This Row],[Downtime Hours]],"")</f>
        <v/>
      </c>
      <c r="O435">
        <f>IF(tblDowntime[[#This Row],[Production Downtime Hours]]="","",tblDowntime[[#This Row],[Equipment ID]])</f>
        <v/>
      </c>
      <c r="P435" s="10" t="n"/>
    </row>
    <row r="436">
      <c r="B436">
        <f t="array" ref="B436">_xlfn.XLOOKUP(C436,INDIRECT("tblEquipment[Equipment ID]"),INDIRECT("tblEquipment[Production Department]"),"")</f>
        <v/>
      </c>
      <c r="D436">
        <f t="array" ref="D436">_xlfn.XLOOKUP(C436,INDIRECT("tblEquipment[Equipment ID]"),INDIRECT("tblEquipment[Equipment Name]"),"")</f>
        <v/>
      </c>
      <c r="F436" s="16" t="n"/>
      <c r="G436" s="16" t="n"/>
      <c r="H436" s="1">
        <f>IF(OR(F436=0,G436=0),"",(G436-F436)*24)</f>
        <v/>
      </c>
      <c r="I436" s="10" t="n"/>
      <c r="J436" s="1">
        <f>IF(OR(tblDowntime[[#This Row],[Failure Type]]="Sawshop",tblDowntime[[#This Row],[Failure Type]]="Electrical",tblDowntime[[#This Row],[Failure Type]]="Mechanical"),tblDowntime[[#This Row],[Downtime Hours]],"")</f>
        <v/>
      </c>
      <c r="K436" s="10" t="n"/>
      <c r="L436" s="10" t="n"/>
      <c r="M436">
        <f>IF(tblDowntime[[#This Row],[Maintenance Downtime Hours]]="","",tblDowntime[[#This Row],[Equipment ID]])</f>
        <v/>
      </c>
      <c r="N436" s="1">
        <f>IF(tblDowntime[[#This Row],[Failure Type]]="Production",tblDowntime[[#This Row],[Downtime Hours]],"")</f>
        <v/>
      </c>
      <c r="O436">
        <f>IF(tblDowntime[[#This Row],[Production Downtime Hours]]="","",tblDowntime[[#This Row],[Equipment ID]])</f>
        <v/>
      </c>
      <c r="P436" s="10" t="n"/>
    </row>
    <row r="437">
      <c r="B437">
        <f t="array" ref="B437">_xlfn.XLOOKUP(C437,INDIRECT("tblEquipment[Equipment ID]"),INDIRECT("tblEquipment[Production Department]"),"")</f>
        <v/>
      </c>
      <c r="D437">
        <f t="array" ref="D437">_xlfn.XLOOKUP(C437,INDIRECT("tblEquipment[Equipment ID]"),INDIRECT("tblEquipment[Equipment Name]"),"")</f>
        <v/>
      </c>
      <c r="F437" s="16" t="n"/>
      <c r="G437" s="16" t="n"/>
      <c r="H437" s="1">
        <f>IF(OR(F437=0,G437=0),"",(G437-F437)*24)</f>
        <v/>
      </c>
      <c r="I437" s="10" t="n"/>
      <c r="J437" s="1">
        <f>IF(OR(tblDowntime[[#This Row],[Failure Type]]="Sawshop",tblDowntime[[#This Row],[Failure Type]]="Electrical",tblDowntime[[#This Row],[Failure Type]]="Mechanical"),tblDowntime[[#This Row],[Downtime Hours]],"")</f>
        <v/>
      </c>
      <c r="K437" s="10" t="n"/>
      <c r="L437" s="10" t="n"/>
      <c r="M437">
        <f>IF(tblDowntime[[#This Row],[Maintenance Downtime Hours]]="","",tblDowntime[[#This Row],[Equipment ID]])</f>
        <v/>
      </c>
      <c r="N437" s="1">
        <f>IF(tblDowntime[[#This Row],[Failure Type]]="Production",tblDowntime[[#This Row],[Downtime Hours]],"")</f>
        <v/>
      </c>
      <c r="O437">
        <f>IF(tblDowntime[[#This Row],[Production Downtime Hours]]="","",tblDowntime[[#This Row],[Equipment ID]])</f>
        <v/>
      </c>
      <c r="P437" s="10" t="n"/>
    </row>
    <row r="438">
      <c r="B438">
        <f t="array" ref="B438">_xlfn.XLOOKUP(C438,INDIRECT("tblEquipment[Equipment ID]"),INDIRECT("tblEquipment[Production Department]"),"")</f>
        <v/>
      </c>
      <c r="D438">
        <f t="array" ref="D438">_xlfn.XLOOKUP(C438,INDIRECT("tblEquipment[Equipment ID]"),INDIRECT("tblEquipment[Equipment Name]"),"")</f>
        <v/>
      </c>
      <c r="F438" s="16" t="n"/>
      <c r="G438" s="16" t="n"/>
      <c r="H438" s="1">
        <f>IF(OR(F438=0,G438=0),"",(G438-F438)*24)</f>
        <v/>
      </c>
      <c r="I438" s="10" t="n"/>
      <c r="J438" s="1">
        <f>IF(OR(tblDowntime[[#This Row],[Failure Type]]="Sawshop",tblDowntime[[#This Row],[Failure Type]]="Electrical",tblDowntime[[#This Row],[Failure Type]]="Mechanical"),tblDowntime[[#This Row],[Downtime Hours]],"")</f>
        <v/>
      </c>
      <c r="K438" s="10" t="n"/>
      <c r="L438" s="10" t="n"/>
      <c r="M438">
        <f>IF(tblDowntime[[#This Row],[Maintenance Downtime Hours]]="","",tblDowntime[[#This Row],[Equipment ID]])</f>
        <v/>
      </c>
      <c r="N438" s="1">
        <f>IF(tblDowntime[[#This Row],[Failure Type]]="Production",tblDowntime[[#This Row],[Downtime Hours]],"")</f>
        <v/>
      </c>
      <c r="O438">
        <f>IF(tblDowntime[[#This Row],[Production Downtime Hours]]="","",tblDowntime[[#This Row],[Equipment ID]])</f>
        <v/>
      </c>
      <c r="P438" s="10" t="n"/>
    </row>
    <row r="439">
      <c r="B439">
        <f t="array" ref="B439">_xlfn.XLOOKUP(C439,INDIRECT("tblEquipment[Equipment ID]"),INDIRECT("tblEquipment[Production Department]"),"")</f>
        <v/>
      </c>
      <c r="D439">
        <f t="array" ref="D439">_xlfn.XLOOKUP(C439,INDIRECT("tblEquipment[Equipment ID]"),INDIRECT("tblEquipment[Equipment Name]"),"")</f>
        <v/>
      </c>
      <c r="F439" s="16" t="n"/>
      <c r="G439" s="16" t="n"/>
      <c r="H439" s="1">
        <f>IF(OR(F439=0,G439=0),"",(G439-F439)*24)</f>
        <v/>
      </c>
      <c r="I439" s="10" t="n"/>
      <c r="J439" s="1">
        <f>IF(OR(tblDowntime[[#This Row],[Failure Type]]="Sawshop",tblDowntime[[#This Row],[Failure Type]]="Electrical",tblDowntime[[#This Row],[Failure Type]]="Mechanical"),tblDowntime[[#This Row],[Downtime Hours]],"")</f>
        <v/>
      </c>
      <c r="K439" s="10" t="n"/>
      <c r="L439" s="10" t="n"/>
      <c r="M439">
        <f>IF(tblDowntime[[#This Row],[Maintenance Downtime Hours]]="","",tblDowntime[[#This Row],[Equipment ID]])</f>
        <v/>
      </c>
      <c r="N439" s="1">
        <f>IF(tblDowntime[[#This Row],[Failure Type]]="Production",tblDowntime[[#This Row],[Downtime Hours]],"")</f>
        <v/>
      </c>
      <c r="O439">
        <f>IF(tblDowntime[[#This Row],[Production Downtime Hours]]="","",tblDowntime[[#This Row],[Equipment ID]])</f>
        <v/>
      </c>
      <c r="P439" s="10" t="n"/>
    </row>
    <row r="440">
      <c r="B440">
        <f t="array" ref="B440">_xlfn.XLOOKUP(C440,INDIRECT("tblEquipment[Equipment ID]"),INDIRECT("tblEquipment[Production Department]"),"")</f>
        <v/>
      </c>
      <c r="D440">
        <f t="array" ref="D440">_xlfn.XLOOKUP(C440,INDIRECT("tblEquipment[Equipment ID]"),INDIRECT("tblEquipment[Equipment Name]"),"")</f>
        <v/>
      </c>
      <c r="F440" s="16" t="n"/>
      <c r="G440" s="16" t="n"/>
      <c r="H440" s="1">
        <f>IF(OR(F440=0,G440=0),"",(G440-F440)*24)</f>
        <v/>
      </c>
      <c r="I440" s="10" t="n"/>
      <c r="J440" s="1">
        <f>IF(OR(tblDowntime[[#This Row],[Failure Type]]="Sawshop",tblDowntime[[#This Row],[Failure Type]]="Electrical",tblDowntime[[#This Row],[Failure Type]]="Mechanical"),tblDowntime[[#This Row],[Downtime Hours]],"")</f>
        <v/>
      </c>
      <c r="K440" s="10" t="n"/>
      <c r="L440" s="10" t="n"/>
      <c r="M440">
        <f>IF(tblDowntime[[#This Row],[Maintenance Downtime Hours]]="","",tblDowntime[[#This Row],[Equipment ID]])</f>
        <v/>
      </c>
      <c r="N440" s="1">
        <f>IF(tblDowntime[[#This Row],[Failure Type]]="Production",tblDowntime[[#This Row],[Downtime Hours]],"")</f>
        <v/>
      </c>
      <c r="O440">
        <f>IF(tblDowntime[[#This Row],[Production Downtime Hours]]="","",tblDowntime[[#This Row],[Equipment ID]])</f>
        <v/>
      </c>
      <c r="P440" s="10" t="n"/>
    </row>
    <row r="441">
      <c r="B441">
        <f t="array" ref="B441">_xlfn.XLOOKUP(C441,INDIRECT("tblEquipment[Equipment ID]"),INDIRECT("tblEquipment[Production Department]"),"")</f>
        <v/>
      </c>
      <c r="D441">
        <f t="array" ref="D441">_xlfn.XLOOKUP(C441,INDIRECT("tblEquipment[Equipment ID]"),INDIRECT("tblEquipment[Equipment Name]"),"")</f>
        <v/>
      </c>
      <c r="F441" s="16" t="n"/>
      <c r="G441" s="16" t="n"/>
      <c r="H441" s="1">
        <f>IF(OR(F441=0,G441=0),"",(G441-F441)*24)</f>
        <v/>
      </c>
      <c r="I441" s="10" t="n"/>
      <c r="J441" s="1">
        <f>IF(OR(tblDowntime[[#This Row],[Failure Type]]="Sawshop",tblDowntime[[#This Row],[Failure Type]]="Electrical",tblDowntime[[#This Row],[Failure Type]]="Mechanical"),tblDowntime[[#This Row],[Downtime Hours]],"")</f>
        <v/>
      </c>
      <c r="K441" s="10" t="n"/>
      <c r="L441" s="10" t="n"/>
      <c r="M441">
        <f>IF(tblDowntime[[#This Row],[Maintenance Downtime Hours]]="","",tblDowntime[[#This Row],[Equipment ID]])</f>
        <v/>
      </c>
      <c r="N441" s="1">
        <f>IF(tblDowntime[[#This Row],[Failure Type]]="Production",tblDowntime[[#This Row],[Downtime Hours]],"")</f>
        <v/>
      </c>
      <c r="O441">
        <f>IF(tblDowntime[[#This Row],[Production Downtime Hours]]="","",tblDowntime[[#This Row],[Equipment ID]])</f>
        <v/>
      </c>
      <c r="P441" s="10" t="n"/>
    </row>
    <row r="442">
      <c r="B442">
        <f t="array" ref="B442">_xlfn.XLOOKUP(C442,INDIRECT("tblEquipment[Equipment ID]"),INDIRECT("tblEquipment[Production Department]"),"")</f>
        <v/>
      </c>
      <c r="D442">
        <f t="array" ref="D442">_xlfn.XLOOKUP(C442,INDIRECT("tblEquipment[Equipment ID]"),INDIRECT("tblEquipment[Equipment Name]"),"")</f>
        <v/>
      </c>
      <c r="F442" s="16" t="n"/>
      <c r="G442" s="16" t="n"/>
      <c r="H442" s="1">
        <f>IF(OR(F442=0,G442=0),"",(G442-F442)*24)</f>
        <v/>
      </c>
      <c r="I442" s="10" t="n"/>
      <c r="J442" s="1">
        <f>IF(OR(tblDowntime[[#This Row],[Failure Type]]="Sawshop",tblDowntime[[#This Row],[Failure Type]]="Electrical",tblDowntime[[#This Row],[Failure Type]]="Mechanical"),tblDowntime[[#This Row],[Downtime Hours]],"")</f>
        <v/>
      </c>
      <c r="K442" s="10" t="n"/>
      <c r="L442" s="10" t="n"/>
      <c r="M442">
        <f>IF(tblDowntime[[#This Row],[Maintenance Downtime Hours]]="","",tblDowntime[[#This Row],[Equipment ID]])</f>
        <v/>
      </c>
      <c r="N442" s="1">
        <f>IF(tblDowntime[[#This Row],[Failure Type]]="Production",tblDowntime[[#This Row],[Downtime Hours]],"")</f>
        <v/>
      </c>
      <c r="O442">
        <f>IF(tblDowntime[[#This Row],[Production Downtime Hours]]="","",tblDowntime[[#This Row],[Equipment ID]])</f>
        <v/>
      </c>
      <c r="P442" s="10" t="n"/>
    </row>
    <row r="443">
      <c r="B443">
        <f t="array" ref="B443">_xlfn.XLOOKUP(C443,INDIRECT("tblEquipment[Equipment ID]"),INDIRECT("tblEquipment[Production Department]"),"")</f>
        <v/>
      </c>
      <c r="D443">
        <f t="array" ref="D443">_xlfn.XLOOKUP(C443,INDIRECT("tblEquipment[Equipment ID]"),INDIRECT("tblEquipment[Equipment Name]"),"")</f>
        <v/>
      </c>
      <c r="F443" s="16" t="n"/>
      <c r="G443" s="16" t="n"/>
      <c r="H443" s="1">
        <f>IF(OR(F443=0,G443=0),"",(G443-F443)*24)</f>
        <v/>
      </c>
      <c r="I443" s="10" t="n"/>
      <c r="J443" s="1">
        <f>IF(OR(tblDowntime[[#This Row],[Failure Type]]="Sawshop",tblDowntime[[#This Row],[Failure Type]]="Electrical",tblDowntime[[#This Row],[Failure Type]]="Mechanical"),tblDowntime[[#This Row],[Downtime Hours]],"")</f>
        <v/>
      </c>
      <c r="K443" s="10" t="n"/>
      <c r="L443" s="10" t="n"/>
      <c r="M443">
        <f>IF(tblDowntime[[#This Row],[Maintenance Downtime Hours]]="","",tblDowntime[[#This Row],[Equipment ID]])</f>
        <v/>
      </c>
      <c r="N443" s="1">
        <f>IF(tblDowntime[[#This Row],[Failure Type]]="Production",tblDowntime[[#This Row],[Downtime Hours]],"")</f>
        <v/>
      </c>
      <c r="O443">
        <f>IF(tblDowntime[[#This Row],[Production Downtime Hours]]="","",tblDowntime[[#This Row],[Equipment ID]])</f>
        <v/>
      </c>
      <c r="P443" s="10" t="n"/>
    </row>
    <row r="444">
      <c r="B444">
        <f t="array" ref="B444">_xlfn.XLOOKUP(C444,INDIRECT("tblEquipment[Equipment ID]"),INDIRECT("tblEquipment[Production Department]"),"")</f>
        <v/>
      </c>
      <c r="D444">
        <f t="array" ref="D444">_xlfn.XLOOKUP(C444,INDIRECT("tblEquipment[Equipment ID]"),INDIRECT("tblEquipment[Equipment Name]"),"")</f>
        <v/>
      </c>
      <c r="F444" s="16" t="n"/>
      <c r="G444" s="16" t="n"/>
      <c r="H444" s="1">
        <f>IF(OR(F444=0,G444=0),"",(G444-F444)*24)</f>
        <v/>
      </c>
      <c r="I444" s="10" t="n"/>
      <c r="J444" s="1">
        <f>IF(OR(tblDowntime[[#This Row],[Failure Type]]="Sawshop",tblDowntime[[#This Row],[Failure Type]]="Electrical",tblDowntime[[#This Row],[Failure Type]]="Mechanical"),tblDowntime[[#This Row],[Downtime Hours]],"")</f>
        <v/>
      </c>
      <c r="K444" s="10" t="n"/>
      <c r="L444" s="10" t="n"/>
      <c r="M444">
        <f>IF(tblDowntime[[#This Row],[Maintenance Downtime Hours]]="","",tblDowntime[[#This Row],[Equipment ID]])</f>
        <v/>
      </c>
      <c r="N444" s="1">
        <f>IF(tblDowntime[[#This Row],[Failure Type]]="Production",tblDowntime[[#This Row],[Downtime Hours]],"")</f>
        <v/>
      </c>
      <c r="O444">
        <f>IF(tblDowntime[[#This Row],[Production Downtime Hours]]="","",tblDowntime[[#This Row],[Equipment ID]])</f>
        <v/>
      </c>
      <c r="P444" s="10" t="n"/>
    </row>
    <row r="445">
      <c r="B445">
        <f t="array" ref="B445">_xlfn.XLOOKUP(C445,INDIRECT("tblEquipment[Equipment ID]"),INDIRECT("tblEquipment[Production Department]"),"")</f>
        <v/>
      </c>
      <c r="D445">
        <f t="array" ref="D445">_xlfn.XLOOKUP(C445,INDIRECT("tblEquipment[Equipment ID]"),INDIRECT("tblEquipment[Equipment Name]"),"")</f>
        <v/>
      </c>
      <c r="F445" s="16" t="n"/>
      <c r="G445" s="16" t="n"/>
      <c r="H445" s="1">
        <f>IF(OR(F445=0,G445=0),"",(G445-F445)*24)</f>
        <v/>
      </c>
      <c r="I445" s="10" t="n"/>
      <c r="J445" s="1">
        <f>IF(OR(tblDowntime[[#This Row],[Failure Type]]="Sawshop",tblDowntime[[#This Row],[Failure Type]]="Electrical",tblDowntime[[#This Row],[Failure Type]]="Mechanical"),tblDowntime[[#This Row],[Downtime Hours]],"")</f>
        <v/>
      </c>
      <c r="K445" s="10" t="n"/>
      <c r="L445" s="10" t="n"/>
      <c r="M445">
        <f>IF(tblDowntime[[#This Row],[Maintenance Downtime Hours]]="","",tblDowntime[[#This Row],[Equipment ID]])</f>
        <v/>
      </c>
      <c r="N445" s="1">
        <f>IF(tblDowntime[[#This Row],[Failure Type]]="Production",tblDowntime[[#This Row],[Downtime Hours]],"")</f>
        <v/>
      </c>
      <c r="O445">
        <f>IF(tblDowntime[[#This Row],[Production Downtime Hours]]="","",tblDowntime[[#This Row],[Equipment ID]])</f>
        <v/>
      </c>
      <c r="P445" s="10" t="n"/>
    </row>
    <row r="446">
      <c r="B446">
        <f t="array" ref="B446">_xlfn.XLOOKUP(C446,INDIRECT("tblEquipment[Equipment ID]"),INDIRECT("tblEquipment[Production Department]"),"")</f>
        <v/>
      </c>
      <c r="D446">
        <f t="array" ref="D446">_xlfn.XLOOKUP(C446,INDIRECT("tblEquipment[Equipment ID]"),INDIRECT("tblEquipment[Equipment Name]"),"")</f>
        <v/>
      </c>
      <c r="F446" s="16" t="n"/>
      <c r="G446" s="16" t="n"/>
      <c r="H446" s="1">
        <f>IF(OR(F446=0,G446=0),"",(G446-F446)*24)</f>
        <v/>
      </c>
      <c r="I446" s="10" t="n"/>
      <c r="J446" s="1">
        <f>IF(OR(tblDowntime[[#This Row],[Failure Type]]="Sawshop",tblDowntime[[#This Row],[Failure Type]]="Electrical",tblDowntime[[#This Row],[Failure Type]]="Mechanical"),tblDowntime[[#This Row],[Downtime Hours]],"")</f>
        <v/>
      </c>
      <c r="K446" s="10" t="n"/>
      <c r="L446" s="10" t="n"/>
      <c r="M446">
        <f>IF(tblDowntime[[#This Row],[Maintenance Downtime Hours]]="","",tblDowntime[[#This Row],[Equipment ID]])</f>
        <v/>
      </c>
      <c r="N446" s="1">
        <f>IF(tblDowntime[[#This Row],[Failure Type]]="Production",tblDowntime[[#This Row],[Downtime Hours]],"")</f>
        <v/>
      </c>
      <c r="O446">
        <f>IF(tblDowntime[[#This Row],[Production Downtime Hours]]="","",tblDowntime[[#This Row],[Equipment ID]])</f>
        <v/>
      </c>
      <c r="P446" s="10" t="n"/>
    </row>
    <row r="447">
      <c r="B447">
        <f t="array" ref="B447">_xlfn.XLOOKUP(C447,INDIRECT("tblEquipment[Equipment ID]"),INDIRECT("tblEquipment[Production Department]"),"")</f>
        <v/>
      </c>
      <c r="D447">
        <f t="array" ref="D447">_xlfn.XLOOKUP(C447,INDIRECT("tblEquipment[Equipment ID]"),INDIRECT("tblEquipment[Equipment Name]"),"")</f>
        <v/>
      </c>
      <c r="F447" s="16" t="n"/>
      <c r="G447" s="16" t="n"/>
      <c r="H447" s="1">
        <f>IF(OR(F447=0,G447=0),"",(G447-F447)*24)</f>
        <v/>
      </c>
      <c r="I447" s="10" t="n"/>
      <c r="J447" s="1">
        <f>IF(OR(tblDowntime[[#This Row],[Failure Type]]="Sawshop",tblDowntime[[#This Row],[Failure Type]]="Electrical",tblDowntime[[#This Row],[Failure Type]]="Mechanical"),tblDowntime[[#This Row],[Downtime Hours]],"")</f>
        <v/>
      </c>
      <c r="K447" s="10" t="n"/>
      <c r="L447" s="10" t="n"/>
      <c r="M447">
        <f>IF(tblDowntime[[#This Row],[Maintenance Downtime Hours]]="","",tblDowntime[[#This Row],[Equipment ID]])</f>
        <v/>
      </c>
      <c r="N447" s="1">
        <f>IF(tblDowntime[[#This Row],[Failure Type]]="Production",tblDowntime[[#This Row],[Downtime Hours]],"")</f>
        <v/>
      </c>
      <c r="O447">
        <f>IF(tblDowntime[[#This Row],[Production Downtime Hours]]="","",tblDowntime[[#This Row],[Equipment ID]])</f>
        <v/>
      </c>
      <c r="P447" s="10" t="n"/>
    </row>
    <row r="448">
      <c r="B448">
        <f t="array" ref="B448">_xlfn.XLOOKUP(C448,INDIRECT("tblEquipment[Equipment ID]"),INDIRECT("tblEquipment[Production Department]"),"")</f>
        <v/>
      </c>
      <c r="D448">
        <f t="array" ref="D448">_xlfn.XLOOKUP(C448,INDIRECT("tblEquipment[Equipment ID]"),INDIRECT("tblEquipment[Equipment Name]"),"")</f>
        <v/>
      </c>
      <c r="F448" s="16" t="n"/>
      <c r="G448" s="16" t="n"/>
      <c r="H448" s="1">
        <f>IF(OR(F448=0,G448=0),"",(G448-F448)*24)</f>
        <v/>
      </c>
      <c r="I448" s="10" t="n"/>
      <c r="J448" s="1">
        <f>IF(OR(tblDowntime[[#This Row],[Failure Type]]="Sawshop",tblDowntime[[#This Row],[Failure Type]]="Electrical",tblDowntime[[#This Row],[Failure Type]]="Mechanical"),tblDowntime[[#This Row],[Downtime Hours]],"")</f>
        <v/>
      </c>
      <c r="K448" s="10" t="n"/>
      <c r="L448" s="10" t="n"/>
      <c r="M448">
        <f>IF(tblDowntime[[#This Row],[Maintenance Downtime Hours]]="","",tblDowntime[[#This Row],[Equipment ID]])</f>
        <v/>
      </c>
      <c r="N448" s="1">
        <f>IF(tblDowntime[[#This Row],[Failure Type]]="Production",tblDowntime[[#This Row],[Downtime Hours]],"")</f>
        <v/>
      </c>
      <c r="O448">
        <f>IF(tblDowntime[[#This Row],[Production Downtime Hours]]="","",tblDowntime[[#This Row],[Equipment ID]])</f>
        <v/>
      </c>
      <c r="P448" s="10" t="n"/>
    </row>
    <row r="449">
      <c r="B449">
        <f t="array" ref="B449">_xlfn.XLOOKUP(C449,INDIRECT("tblEquipment[Equipment ID]"),INDIRECT("tblEquipment[Production Department]"),"")</f>
        <v/>
      </c>
      <c r="D449">
        <f t="array" ref="D449">_xlfn.XLOOKUP(C449,INDIRECT("tblEquipment[Equipment ID]"),INDIRECT("tblEquipment[Equipment Name]"),"")</f>
        <v/>
      </c>
      <c r="F449" s="16" t="n"/>
      <c r="G449" s="16" t="n"/>
      <c r="H449" s="1">
        <f>IF(OR(F449=0,G449=0),"",(G449-F449)*24)</f>
        <v/>
      </c>
      <c r="I449" s="10" t="n"/>
      <c r="J449" s="1">
        <f>IF(OR(tblDowntime[[#This Row],[Failure Type]]="Sawshop",tblDowntime[[#This Row],[Failure Type]]="Electrical",tblDowntime[[#This Row],[Failure Type]]="Mechanical"),tblDowntime[[#This Row],[Downtime Hours]],"")</f>
        <v/>
      </c>
      <c r="K449" s="10" t="n"/>
      <c r="L449" s="10" t="n"/>
      <c r="M449">
        <f>IF(tblDowntime[[#This Row],[Maintenance Downtime Hours]]="","",tblDowntime[[#This Row],[Equipment ID]])</f>
        <v/>
      </c>
      <c r="N449" s="1">
        <f>IF(tblDowntime[[#This Row],[Failure Type]]="Production",tblDowntime[[#This Row],[Downtime Hours]],"")</f>
        <v/>
      </c>
      <c r="O449">
        <f>IF(tblDowntime[[#This Row],[Production Downtime Hours]]="","",tblDowntime[[#This Row],[Equipment ID]])</f>
        <v/>
      </c>
      <c r="P449" s="10" t="n"/>
    </row>
    <row r="450">
      <c r="B450">
        <f t="array" ref="B450">_xlfn.XLOOKUP(C450,INDIRECT("tblEquipment[Equipment ID]"),INDIRECT("tblEquipment[Production Department]"),"")</f>
        <v/>
      </c>
      <c r="D450">
        <f t="array" ref="D450">_xlfn.XLOOKUP(C450,INDIRECT("tblEquipment[Equipment ID]"),INDIRECT("tblEquipment[Equipment Name]"),"")</f>
        <v/>
      </c>
      <c r="F450" s="16" t="n"/>
      <c r="G450" s="16" t="n"/>
      <c r="H450" s="1">
        <f>IF(OR(F450=0,G450=0),"",(G450-F450)*24)</f>
        <v/>
      </c>
      <c r="I450" s="10" t="n"/>
      <c r="J450" s="1">
        <f>IF(OR(tblDowntime[[#This Row],[Failure Type]]="Sawshop",tblDowntime[[#This Row],[Failure Type]]="Electrical",tblDowntime[[#This Row],[Failure Type]]="Mechanical"),tblDowntime[[#This Row],[Downtime Hours]],"")</f>
        <v/>
      </c>
      <c r="K450" s="10" t="n"/>
      <c r="L450" s="10" t="n"/>
      <c r="M450">
        <f>IF(tblDowntime[[#This Row],[Maintenance Downtime Hours]]="","",tblDowntime[[#This Row],[Equipment ID]])</f>
        <v/>
      </c>
      <c r="N450" s="1">
        <f>IF(tblDowntime[[#This Row],[Failure Type]]="Production",tblDowntime[[#This Row],[Downtime Hours]],"")</f>
        <v/>
      </c>
      <c r="O450">
        <f>IF(tblDowntime[[#This Row],[Production Downtime Hours]]="","",tblDowntime[[#This Row],[Equipment ID]])</f>
        <v/>
      </c>
      <c r="P450" s="10" t="n"/>
    </row>
    <row r="451">
      <c r="B451">
        <f t="array" ref="B451">_xlfn.XLOOKUP(C451,INDIRECT("tblEquipment[Equipment ID]"),INDIRECT("tblEquipment[Production Department]"),"")</f>
        <v/>
      </c>
      <c r="D451">
        <f t="array" ref="D451">_xlfn.XLOOKUP(C451,INDIRECT("tblEquipment[Equipment ID]"),INDIRECT("tblEquipment[Equipment Name]"),"")</f>
        <v/>
      </c>
      <c r="F451" s="16" t="n"/>
      <c r="G451" s="16" t="n"/>
      <c r="H451" s="1">
        <f>IF(OR(F451=0,G451=0),"",(G451-F451)*24)</f>
        <v/>
      </c>
      <c r="I451" s="10" t="n"/>
      <c r="J451" s="1">
        <f>IF(OR(tblDowntime[[#This Row],[Failure Type]]="Sawshop",tblDowntime[[#This Row],[Failure Type]]="Electrical",tblDowntime[[#This Row],[Failure Type]]="Mechanical"),tblDowntime[[#This Row],[Downtime Hours]],"")</f>
        <v/>
      </c>
      <c r="K451" s="10" t="n"/>
      <c r="L451" s="10" t="n"/>
      <c r="M451">
        <f>IF(tblDowntime[[#This Row],[Maintenance Downtime Hours]]="","",tblDowntime[[#This Row],[Equipment ID]])</f>
        <v/>
      </c>
      <c r="N451" s="1">
        <f>IF(tblDowntime[[#This Row],[Failure Type]]="Production",tblDowntime[[#This Row],[Downtime Hours]],"")</f>
        <v/>
      </c>
      <c r="O451">
        <f>IF(tblDowntime[[#This Row],[Production Downtime Hours]]="","",tblDowntime[[#This Row],[Equipment ID]])</f>
        <v/>
      </c>
      <c r="P451" s="10" t="n"/>
    </row>
    <row r="452">
      <c r="B452">
        <f t="array" ref="B452">_xlfn.XLOOKUP(C452,INDIRECT("tblEquipment[Equipment ID]"),INDIRECT("tblEquipment[Production Department]"),"")</f>
        <v/>
      </c>
      <c r="D452">
        <f t="array" ref="D452">_xlfn.XLOOKUP(C452,INDIRECT("tblEquipment[Equipment ID]"),INDIRECT("tblEquipment[Equipment Name]"),"")</f>
        <v/>
      </c>
      <c r="F452" s="16" t="n"/>
      <c r="G452" s="16" t="n"/>
      <c r="H452" s="1">
        <f>IF(OR(F452=0,G452=0),"",(G452-F452)*24)</f>
        <v/>
      </c>
      <c r="I452" s="10" t="n"/>
      <c r="J452" s="1">
        <f>IF(OR(tblDowntime[[#This Row],[Failure Type]]="Sawshop",tblDowntime[[#This Row],[Failure Type]]="Electrical",tblDowntime[[#This Row],[Failure Type]]="Mechanical"),tblDowntime[[#This Row],[Downtime Hours]],"")</f>
        <v/>
      </c>
      <c r="K452" s="10" t="n"/>
      <c r="L452" s="10" t="n"/>
      <c r="M452">
        <f>IF(tblDowntime[[#This Row],[Maintenance Downtime Hours]]="","",tblDowntime[[#This Row],[Equipment ID]])</f>
        <v/>
      </c>
      <c r="N452" s="1">
        <f>IF(tblDowntime[[#This Row],[Failure Type]]="Production",tblDowntime[[#This Row],[Downtime Hours]],"")</f>
        <v/>
      </c>
      <c r="O452">
        <f>IF(tblDowntime[[#This Row],[Production Downtime Hours]]="","",tblDowntime[[#This Row],[Equipment ID]])</f>
        <v/>
      </c>
      <c r="P452" s="10" t="n"/>
    </row>
    <row r="453">
      <c r="B453">
        <f t="array" ref="B453">_xlfn.XLOOKUP(C453,INDIRECT("tblEquipment[Equipment ID]"),INDIRECT("tblEquipment[Production Department]"),"")</f>
        <v/>
      </c>
      <c r="D453">
        <f t="array" ref="D453">_xlfn.XLOOKUP(C453,INDIRECT("tblEquipment[Equipment ID]"),INDIRECT("tblEquipment[Equipment Name]"),"")</f>
        <v/>
      </c>
      <c r="F453" s="16" t="n"/>
      <c r="G453" s="16" t="n"/>
      <c r="H453" s="1">
        <f>IF(OR(F453=0,G453=0),"",(G453-F453)*24)</f>
        <v/>
      </c>
      <c r="I453" s="10" t="n"/>
      <c r="J453" s="1">
        <f>IF(OR(tblDowntime[[#This Row],[Failure Type]]="Sawshop",tblDowntime[[#This Row],[Failure Type]]="Electrical",tblDowntime[[#This Row],[Failure Type]]="Mechanical"),tblDowntime[[#This Row],[Downtime Hours]],"")</f>
        <v/>
      </c>
      <c r="K453" s="10" t="n"/>
      <c r="L453" s="10" t="n"/>
      <c r="M453">
        <f>IF(tblDowntime[[#This Row],[Maintenance Downtime Hours]]="","",tblDowntime[[#This Row],[Equipment ID]])</f>
        <v/>
      </c>
      <c r="N453" s="1">
        <f>IF(tblDowntime[[#This Row],[Failure Type]]="Production",tblDowntime[[#This Row],[Downtime Hours]],"")</f>
        <v/>
      </c>
      <c r="O453">
        <f>IF(tblDowntime[[#This Row],[Production Downtime Hours]]="","",tblDowntime[[#This Row],[Equipment ID]])</f>
        <v/>
      </c>
      <c r="P453" s="10" t="n"/>
    </row>
    <row r="454">
      <c r="B454">
        <f t="array" ref="B454">_xlfn.XLOOKUP(C454,INDIRECT("tblEquipment[Equipment ID]"),INDIRECT("tblEquipment[Production Department]"),"")</f>
        <v/>
      </c>
      <c r="D454">
        <f t="array" ref="D454">_xlfn.XLOOKUP(C454,INDIRECT("tblEquipment[Equipment ID]"),INDIRECT("tblEquipment[Equipment Name]"),"")</f>
        <v/>
      </c>
      <c r="F454" s="16" t="n"/>
      <c r="G454" s="16" t="n"/>
      <c r="H454" s="1">
        <f>IF(OR(F454=0,G454=0),"",(G454-F454)*24)</f>
        <v/>
      </c>
      <c r="I454" s="10" t="n"/>
      <c r="J454" s="1">
        <f>IF(OR(tblDowntime[[#This Row],[Failure Type]]="Sawshop",tblDowntime[[#This Row],[Failure Type]]="Electrical",tblDowntime[[#This Row],[Failure Type]]="Mechanical"),tblDowntime[[#This Row],[Downtime Hours]],"")</f>
        <v/>
      </c>
      <c r="K454" s="10" t="n"/>
      <c r="L454" s="10" t="n"/>
      <c r="M454">
        <f>IF(tblDowntime[[#This Row],[Maintenance Downtime Hours]]="","",tblDowntime[[#This Row],[Equipment ID]])</f>
        <v/>
      </c>
      <c r="N454" s="1">
        <f>IF(tblDowntime[[#This Row],[Failure Type]]="Production",tblDowntime[[#This Row],[Downtime Hours]],"")</f>
        <v/>
      </c>
      <c r="O454">
        <f>IF(tblDowntime[[#This Row],[Production Downtime Hours]]="","",tblDowntime[[#This Row],[Equipment ID]])</f>
        <v/>
      </c>
      <c r="P454" s="10" t="n"/>
    </row>
    <row r="455">
      <c r="B455">
        <f t="array" ref="B455">_xlfn.XLOOKUP(C455,INDIRECT("tblEquipment[Equipment ID]"),INDIRECT("tblEquipment[Production Department]"),"")</f>
        <v/>
      </c>
      <c r="D455">
        <f t="array" ref="D455">_xlfn.XLOOKUP(C455,INDIRECT("tblEquipment[Equipment ID]"),INDIRECT("tblEquipment[Equipment Name]"),"")</f>
        <v/>
      </c>
      <c r="F455" s="16" t="n"/>
      <c r="G455" s="16" t="n"/>
      <c r="H455" s="1">
        <f>IF(OR(F455=0,G455=0),"",(G455-F455)*24)</f>
        <v/>
      </c>
      <c r="I455" s="10" t="n"/>
      <c r="J455" s="1">
        <f>IF(OR(tblDowntime[[#This Row],[Failure Type]]="Sawshop",tblDowntime[[#This Row],[Failure Type]]="Electrical",tblDowntime[[#This Row],[Failure Type]]="Mechanical"),tblDowntime[[#This Row],[Downtime Hours]],"")</f>
        <v/>
      </c>
      <c r="K455" s="10" t="n"/>
      <c r="L455" s="10" t="n"/>
      <c r="M455">
        <f>IF(tblDowntime[[#This Row],[Maintenance Downtime Hours]]="","",tblDowntime[[#This Row],[Equipment ID]])</f>
        <v/>
      </c>
      <c r="N455" s="1">
        <f>IF(tblDowntime[[#This Row],[Failure Type]]="Production",tblDowntime[[#This Row],[Downtime Hours]],"")</f>
        <v/>
      </c>
      <c r="O455">
        <f>IF(tblDowntime[[#This Row],[Production Downtime Hours]]="","",tblDowntime[[#This Row],[Equipment ID]])</f>
        <v/>
      </c>
      <c r="P455" s="10" t="n"/>
    </row>
    <row r="456">
      <c r="B456">
        <f t="array" ref="B456">_xlfn.XLOOKUP(C456,INDIRECT("tblEquipment[Equipment ID]"),INDIRECT("tblEquipment[Production Department]"),"")</f>
        <v/>
      </c>
      <c r="D456">
        <f t="array" ref="D456">_xlfn.XLOOKUP(C456,INDIRECT("tblEquipment[Equipment ID]"),INDIRECT("tblEquipment[Equipment Name]"),"")</f>
        <v/>
      </c>
      <c r="F456" s="16" t="n"/>
      <c r="G456" s="16" t="n"/>
      <c r="H456" s="1">
        <f>IF(OR(F456=0,G456=0),"",(G456-F456)*24)</f>
        <v/>
      </c>
      <c r="I456" s="10" t="n"/>
      <c r="J456" s="1">
        <f>IF(OR(tblDowntime[[#This Row],[Failure Type]]="Sawshop",tblDowntime[[#This Row],[Failure Type]]="Electrical",tblDowntime[[#This Row],[Failure Type]]="Mechanical"),tblDowntime[[#This Row],[Downtime Hours]],"")</f>
        <v/>
      </c>
      <c r="K456" s="10" t="n"/>
      <c r="L456" s="10" t="n"/>
      <c r="M456">
        <f>IF(tblDowntime[[#This Row],[Maintenance Downtime Hours]]="","",tblDowntime[[#This Row],[Equipment ID]])</f>
        <v/>
      </c>
      <c r="N456" s="1">
        <f>IF(tblDowntime[[#This Row],[Failure Type]]="Production",tblDowntime[[#This Row],[Downtime Hours]],"")</f>
        <v/>
      </c>
      <c r="O456">
        <f>IF(tblDowntime[[#This Row],[Production Downtime Hours]]="","",tblDowntime[[#This Row],[Equipment ID]])</f>
        <v/>
      </c>
      <c r="P456" s="10" t="n"/>
    </row>
    <row r="457">
      <c r="B457">
        <f t="array" ref="B457">_xlfn.XLOOKUP(C457,INDIRECT("tblEquipment[Equipment ID]"),INDIRECT("tblEquipment[Production Department]"),"")</f>
        <v/>
      </c>
      <c r="D457">
        <f t="array" ref="D457">_xlfn.XLOOKUP(C457,INDIRECT("tblEquipment[Equipment ID]"),INDIRECT("tblEquipment[Equipment Name]"),"")</f>
        <v/>
      </c>
      <c r="F457" s="16" t="n"/>
      <c r="G457" s="16" t="n"/>
      <c r="H457" s="1">
        <f>IF(OR(F457=0,G457=0),"",(G457-F457)*24)</f>
        <v/>
      </c>
      <c r="I457" s="10" t="n"/>
      <c r="J457" s="1">
        <f>IF(OR(tblDowntime[[#This Row],[Failure Type]]="Sawshop",tblDowntime[[#This Row],[Failure Type]]="Electrical",tblDowntime[[#This Row],[Failure Type]]="Mechanical"),tblDowntime[[#This Row],[Downtime Hours]],"")</f>
        <v/>
      </c>
      <c r="K457" s="10" t="n"/>
      <c r="L457" s="10" t="n"/>
      <c r="M457">
        <f>IF(tblDowntime[[#This Row],[Maintenance Downtime Hours]]="","",tblDowntime[[#This Row],[Equipment ID]])</f>
        <v/>
      </c>
      <c r="N457" s="1">
        <f>IF(tblDowntime[[#This Row],[Failure Type]]="Production",tblDowntime[[#This Row],[Downtime Hours]],"")</f>
        <v/>
      </c>
      <c r="O457">
        <f>IF(tblDowntime[[#This Row],[Production Downtime Hours]]="","",tblDowntime[[#This Row],[Equipment ID]])</f>
        <v/>
      </c>
      <c r="P457" s="10" t="n"/>
    </row>
    <row r="458">
      <c r="B458">
        <f t="array" ref="B458">_xlfn.XLOOKUP(C458,INDIRECT("tblEquipment[Equipment ID]"),INDIRECT("tblEquipment[Production Department]"),"")</f>
        <v/>
      </c>
      <c r="D458">
        <f t="array" ref="D458">_xlfn.XLOOKUP(C458,INDIRECT("tblEquipment[Equipment ID]"),INDIRECT("tblEquipment[Equipment Name]"),"")</f>
        <v/>
      </c>
      <c r="F458" s="16" t="n"/>
      <c r="G458" s="16" t="n"/>
      <c r="H458" s="1">
        <f>IF(OR(F458=0,G458=0),"",(G458-F458)*24)</f>
        <v/>
      </c>
      <c r="I458" s="10" t="n"/>
      <c r="J458" s="1">
        <f>IF(OR(tblDowntime[[#This Row],[Failure Type]]="Sawshop",tblDowntime[[#This Row],[Failure Type]]="Electrical",tblDowntime[[#This Row],[Failure Type]]="Mechanical"),tblDowntime[[#This Row],[Downtime Hours]],"")</f>
        <v/>
      </c>
      <c r="K458" s="10" t="n"/>
      <c r="L458" s="10" t="n"/>
      <c r="M458">
        <f>IF(tblDowntime[[#This Row],[Maintenance Downtime Hours]]="","",tblDowntime[[#This Row],[Equipment ID]])</f>
        <v/>
      </c>
      <c r="N458" s="1">
        <f>IF(tblDowntime[[#This Row],[Failure Type]]="Production",tblDowntime[[#This Row],[Downtime Hours]],"")</f>
        <v/>
      </c>
      <c r="O458">
        <f>IF(tblDowntime[[#This Row],[Production Downtime Hours]]="","",tblDowntime[[#This Row],[Equipment ID]])</f>
        <v/>
      </c>
      <c r="P458" s="10" t="n"/>
    </row>
    <row r="459">
      <c r="B459">
        <f t="array" ref="B459">_xlfn.XLOOKUP(C459,INDIRECT("tblEquipment[Equipment ID]"),INDIRECT("tblEquipment[Production Department]"),"")</f>
        <v/>
      </c>
      <c r="D459">
        <f t="array" ref="D459">_xlfn.XLOOKUP(C459,INDIRECT("tblEquipment[Equipment ID]"),INDIRECT("tblEquipment[Equipment Name]"),"")</f>
        <v/>
      </c>
      <c r="F459" s="16" t="n"/>
      <c r="G459" s="16" t="n"/>
      <c r="H459" s="1">
        <f>IF(OR(F459=0,G459=0),"",(G459-F459)*24)</f>
        <v/>
      </c>
      <c r="I459" s="10" t="n"/>
      <c r="J459" s="1">
        <f>IF(OR(tblDowntime[[#This Row],[Failure Type]]="Sawshop",tblDowntime[[#This Row],[Failure Type]]="Electrical",tblDowntime[[#This Row],[Failure Type]]="Mechanical"),tblDowntime[[#This Row],[Downtime Hours]],"")</f>
        <v/>
      </c>
      <c r="K459" s="10" t="n"/>
      <c r="L459" s="10" t="n"/>
      <c r="M459">
        <f>IF(tblDowntime[[#This Row],[Maintenance Downtime Hours]]="","",tblDowntime[[#This Row],[Equipment ID]])</f>
        <v/>
      </c>
      <c r="N459" s="1">
        <f>IF(tblDowntime[[#This Row],[Failure Type]]="Production",tblDowntime[[#This Row],[Downtime Hours]],"")</f>
        <v/>
      </c>
      <c r="O459">
        <f>IF(tblDowntime[[#This Row],[Production Downtime Hours]]="","",tblDowntime[[#This Row],[Equipment ID]])</f>
        <v/>
      </c>
      <c r="P459" s="10" t="n"/>
    </row>
    <row r="460">
      <c r="B460">
        <f t="array" ref="B460">_xlfn.XLOOKUP(C460,INDIRECT("tblEquipment[Equipment ID]"),INDIRECT("tblEquipment[Production Department]"),"")</f>
        <v/>
      </c>
      <c r="D460">
        <f t="array" ref="D460">_xlfn.XLOOKUP(C460,INDIRECT("tblEquipment[Equipment ID]"),INDIRECT("tblEquipment[Equipment Name]"),"")</f>
        <v/>
      </c>
      <c r="F460" s="16" t="n"/>
      <c r="G460" s="16" t="n"/>
      <c r="H460" s="1">
        <f>IF(OR(F460=0,G460=0),"",(G460-F460)*24)</f>
        <v/>
      </c>
      <c r="I460" s="10" t="n"/>
      <c r="J460" s="1">
        <f>IF(OR(tblDowntime[[#This Row],[Failure Type]]="Sawshop",tblDowntime[[#This Row],[Failure Type]]="Electrical",tblDowntime[[#This Row],[Failure Type]]="Mechanical"),tblDowntime[[#This Row],[Downtime Hours]],"")</f>
        <v/>
      </c>
      <c r="K460" s="10" t="n"/>
      <c r="L460" s="10" t="n"/>
      <c r="M460">
        <f>IF(tblDowntime[[#This Row],[Maintenance Downtime Hours]]="","",tblDowntime[[#This Row],[Equipment ID]])</f>
        <v/>
      </c>
      <c r="N460" s="1">
        <f>IF(tblDowntime[[#This Row],[Failure Type]]="Production",tblDowntime[[#This Row],[Downtime Hours]],"")</f>
        <v/>
      </c>
      <c r="O460">
        <f>IF(tblDowntime[[#This Row],[Production Downtime Hours]]="","",tblDowntime[[#This Row],[Equipment ID]])</f>
        <v/>
      </c>
      <c r="P460" s="10" t="n"/>
    </row>
    <row r="461">
      <c r="B461">
        <f t="array" ref="B461">_xlfn.XLOOKUP(C461,INDIRECT("tblEquipment[Equipment ID]"),INDIRECT("tblEquipment[Production Department]"),"")</f>
        <v/>
      </c>
      <c r="D461">
        <f t="array" ref="D461">_xlfn.XLOOKUP(C461,INDIRECT("tblEquipment[Equipment ID]"),INDIRECT("tblEquipment[Equipment Name]"),"")</f>
        <v/>
      </c>
      <c r="F461" s="16" t="n"/>
      <c r="G461" s="16" t="n"/>
      <c r="H461" s="1">
        <f>IF(OR(F461=0,G461=0),"",(G461-F461)*24)</f>
        <v/>
      </c>
      <c r="I461" s="10" t="n"/>
      <c r="J461" s="1">
        <f>IF(OR(tblDowntime[[#This Row],[Failure Type]]="Sawshop",tblDowntime[[#This Row],[Failure Type]]="Electrical",tblDowntime[[#This Row],[Failure Type]]="Mechanical"),tblDowntime[[#This Row],[Downtime Hours]],"")</f>
        <v/>
      </c>
      <c r="K461" s="10" t="n"/>
      <c r="L461" s="10" t="n"/>
      <c r="M461">
        <f>IF(tblDowntime[[#This Row],[Maintenance Downtime Hours]]="","",tblDowntime[[#This Row],[Equipment ID]])</f>
        <v/>
      </c>
      <c r="N461" s="1">
        <f>IF(tblDowntime[[#This Row],[Failure Type]]="Production",tblDowntime[[#This Row],[Downtime Hours]],"")</f>
        <v/>
      </c>
      <c r="O461">
        <f>IF(tblDowntime[[#This Row],[Production Downtime Hours]]="","",tblDowntime[[#This Row],[Equipment ID]])</f>
        <v/>
      </c>
      <c r="P461" s="10" t="n"/>
    </row>
    <row r="462">
      <c r="B462">
        <f t="array" ref="B462">_xlfn.XLOOKUP(C462,INDIRECT("tblEquipment[Equipment ID]"),INDIRECT("tblEquipment[Production Department]"),"")</f>
        <v/>
      </c>
      <c r="D462">
        <f t="array" ref="D462">_xlfn.XLOOKUP(C462,INDIRECT("tblEquipment[Equipment ID]"),INDIRECT("tblEquipment[Equipment Name]"),"")</f>
        <v/>
      </c>
      <c r="F462" s="16" t="n"/>
      <c r="G462" s="16" t="n"/>
      <c r="H462" s="1">
        <f>IF(OR(F462=0,G462=0),"",(G462-F462)*24)</f>
        <v/>
      </c>
      <c r="I462" s="10" t="n"/>
      <c r="J462" s="1">
        <f>IF(OR(tblDowntime[[#This Row],[Failure Type]]="Sawshop",tblDowntime[[#This Row],[Failure Type]]="Electrical",tblDowntime[[#This Row],[Failure Type]]="Mechanical"),tblDowntime[[#This Row],[Downtime Hours]],"")</f>
        <v/>
      </c>
      <c r="K462" s="10" t="n"/>
      <c r="L462" s="10" t="n"/>
      <c r="M462">
        <f>IF(tblDowntime[[#This Row],[Maintenance Downtime Hours]]="","",tblDowntime[[#This Row],[Equipment ID]])</f>
        <v/>
      </c>
      <c r="N462" s="1">
        <f>IF(tblDowntime[[#This Row],[Failure Type]]="Production",tblDowntime[[#This Row],[Downtime Hours]],"")</f>
        <v/>
      </c>
      <c r="O462">
        <f>IF(tblDowntime[[#This Row],[Production Downtime Hours]]="","",tblDowntime[[#This Row],[Equipment ID]])</f>
        <v/>
      </c>
      <c r="P462" s="10" t="n"/>
    </row>
    <row r="463">
      <c r="B463">
        <f t="array" ref="B463">_xlfn.XLOOKUP(C463,INDIRECT("tblEquipment[Equipment ID]"),INDIRECT("tblEquipment[Production Department]"),"")</f>
        <v/>
      </c>
      <c r="D463">
        <f t="array" ref="D463">_xlfn.XLOOKUP(C463,INDIRECT("tblEquipment[Equipment ID]"),INDIRECT("tblEquipment[Equipment Name]"),"")</f>
        <v/>
      </c>
      <c r="F463" s="16" t="n"/>
      <c r="G463" s="16" t="n"/>
      <c r="H463" s="1">
        <f>IF(OR(F463=0,G463=0),"",(G463-F463)*24)</f>
        <v/>
      </c>
      <c r="I463" s="10" t="n"/>
      <c r="J463" s="1">
        <f>IF(OR(tblDowntime[[#This Row],[Failure Type]]="Sawshop",tblDowntime[[#This Row],[Failure Type]]="Electrical",tblDowntime[[#This Row],[Failure Type]]="Mechanical"),tblDowntime[[#This Row],[Downtime Hours]],"")</f>
        <v/>
      </c>
      <c r="K463" s="10" t="n"/>
      <c r="L463" s="10" t="n"/>
      <c r="M463">
        <f>IF(tblDowntime[[#This Row],[Maintenance Downtime Hours]]="","",tblDowntime[[#This Row],[Equipment ID]])</f>
        <v/>
      </c>
      <c r="N463" s="1">
        <f>IF(tblDowntime[[#This Row],[Failure Type]]="Production",tblDowntime[[#This Row],[Downtime Hours]],"")</f>
        <v/>
      </c>
      <c r="O463">
        <f>IF(tblDowntime[[#This Row],[Production Downtime Hours]]="","",tblDowntime[[#This Row],[Equipment ID]])</f>
        <v/>
      </c>
      <c r="P463" s="10" t="n"/>
    </row>
    <row r="464">
      <c r="B464">
        <f t="array" ref="B464">_xlfn.XLOOKUP(C464,INDIRECT("tblEquipment[Equipment ID]"),INDIRECT("tblEquipment[Production Department]"),"")</f>
        <v/>
      </c>
      <c r="D464">
        <f t="array" ref="D464">_xlfn.XLOOKUP(C464,INDIRECT("tblEquipment[Equipment ID]"),INDIRECT("tblEquipment[Equipment Name]"),"")</f>
        <v/>
      </c>
      <c r="F464" s="16" t="n"/>
      <c r="G464" s="16" t="n"/>
      <c r="H464" s="1">
        <f>IF(OR(F464=0,G464=0),"",(G464-F464)*24)</f>
        <v/>
      </c>
      <c r="I464" s="10" t="n"/>
      <c r="J464" s="1">
        <f>IF(OR(tblDowntime[[#This Row],[Failure Type]]="Sawshop",tblDowntime[[#This Row],[Failure Type]]="Electrical",tblDowntime[[#This Row],[Failure Type]]="Mechanical"),tblDowntime[[#This Row],[Downtime Hours]],"")</f>
        <v/>
      </c>
      <c r="K464" s="10" t="n"/>
      <c r="L464" s="10" t="n"/>
      <c r="M464">
        <f>IF(tblDowntime[[#This Row],[Maintenance Downtime Hours]]="","",tblDowntime[[#This Row],[Equipment ID]])</f>
        <v/>
      </c>
      <c r="N464" s="1">
        <f>IF(tblDowntime[[#This Row],[Failure Type]]="Production",tblDowntime[[#This Row],[Downtime Hours]],"")</f>
        <v/>
      </c>
      <c r="O464">
        <f>IF(tblDowntime[[#This Row],[Production Downtime Hours]]="","",tblDowntime[[#This Row],[Equipment ID]])</f>
        <v/>
      </c>
      <c r="P464" s="10" t="n"/>
    </row>
    <row r="465">
      <c r="B465">
        <f t="array" ref="B465">_xlfn.XLOOKUP(C465,INDIRECT("tblEquipment[Equipment ID]"),INDIRECT("tblEquipment[Production Department]"),"")</f>
        <v/>
      </c>
      <c r="D465">
        <f t="array" ref="D465">_xlfn.XLOOKUP(C465,INDIRECT("tblEquipment[Equipment ID]"),INDIRECT("tblEquipment[Equipment Name]"),"")</f>
        <v/>
      </c>
      <c r="F465" s="16" t="n"/>
      <c r="G465" s="16" t="n"/>
      <c r="H465" s="1">
        <f>IF(OR(F465=0,G465=0),"",(G465-F465)*24)</f>
        <v/>
      </c>
      <c r="I465" s="10" t="n"/>
      <c r="J465" s="1">
        <f>IF(OR(tblDowntime[[#This Row],[Failure Type]]="Sawshop",tblDowntime[[#This Row],[Failure Type]]="Electrical",tblDowntime[[#This Row],[Failure Type]]="Mechanical"),tblDowntime[[#This Row],[Downtime Hours]],"")</f>
        <v/>
      </c>
      <c r="K465" s="10" t="n"/>
      <c r="L465" s="10" t="n"/>
      <c r="M465">
        <f>IF(tblDowntime[[#This Row],[Maintenance Downtime Hours]]="","",tblDowntime[[#This Row],[Equipment ID]])</f>
        <v/>
      </c>
      <c r="N465" s="1">
        <f>IF(tblDowntime[[#This Row],[Failure Type]]="Production",tblDowntime[[#This Row],[Downtime Hours]],"")</f>
        <v/>
      </c>
      <c r="O465">
        <f>IF(tblDowntime[[#This Row],[Production Downtime Hours]]="","",tblDowntime[[#This Row],[Equipment ID]])</f>
        <v/>
      </c>
      <c r="P465" s="10" t="n"/>
    </row>
    <row r="466">
      <c r="B466">
        <f t="array" ref="B466">_xlfn.XLOOKUP(C466,INDIRECT("tblEquipment[Equipment ID]"),INDIRECT("tblEquipment[Production Department]"),"")</f>
        <v/>
      </c>
      <c r="D466">
        <f t="array" ref="D466">_xlfn.XLOOKUP(C466,INDIRECT("tblEquipment[Equipment ID]"),INDIRECT("tblEquipment[Equipment Name]"),"")</f>
        <v/>
      </c>
      <c r="F466" s="16" t="n"/>
      <c r="G466" s="16" t="n"/>
      <c r="H466" s="1">
        <f>IF(OR(F466=0,G466=0),"",(G466-F466)*24)</f>
        <v/>
      </c>
      <c r="I466" s="10" t="n"/>
      <c r="J466" s="1">
        <f>IF(OR(tblDowntime[[#This Row],[Failure Type]]="Sawshop",tblDowntime[[#This Row],[Failure Type]]="Electrical",tblDowntime[[#This Row],[Failure Type]]="Mechanical"),tblDowntime[[#This Row],[Downtime Hours]],"")</f>
        <v/>
      </c>
      <c r="K466" s="10" t="n"/>
      <c r="L466" s="10" t="n"/>
      <c r="M466">
        <f>IF(tblDowntime[[#This Row],[Maintenance Downtime Hours]]="","",tblDowntime[[#This Row],[Equipment ID]])</f>
        <v/>
      </c>
      <c r="N466" s="1">
        <f>IF(tblDowntime[[#This Row],[Failure Type]]="Production",tblDowntime[[#This Row],[Downtime Hours]],"")</f>
        <v/>
      </c>
      <c r="O466">
        <f>IF(tblDowntime[[#This Row],[Production Downtime Hours]]="","",tblDowntime[[#This Row],[Equipment ID]])</f>
        <v/>
      </c>
      <c r="P466" s="10" t="n"/>
    </row>
    <row r="467">
      <c r="B467">
        <f t="array" ref="B467">_xlfn.XLOOKUP(C467,INDIRECT("tblEquipment[Equipment ID]"),INDIRECT("tblEquipment[Production Department]"),"")</f>
        <v/>
      </c>
      <c r="D467">
        <f t="array" ref="D467">_xlfn.XLOOKUP(C467,INDIRECT("tblEquipment[Equipment ID]"),INDIRECT("tblEquipment[Equipment Name]"),"")</f>
        <v/>
      </c>
      <c r="F467" s="16" t="n"/>
      <c r="G467" s="16" t="n"/>
      <c r="H467" s="1">
        <f>IF(OR(F467=0,G467=0),"",(G467-F467)*24)</f>
        <v/>
      </c>
      <c r="I467" s="10" t="n"/>
      <c r="J467" s="1">
        <f>IF(OR(tblDowntime[[#This Row],[Failure Type]]="Sawshop",tblDowntime[[#This Row],[Failure Type]]="Electrical",tblDowntime[[#This Row],[Failure Type]]="Mechanical"),tblDowntime[[#This Row],[Downtime Hours]],"")</f>
        <v/>
      </c>
      <c r="K467" s="10" t="n"/>
      <c r="L467" s="10" t="n"/>
      <c r="M467">
        <f>IF(tblDowntime[[#This Row],[Maintenance Downtime Hours]]="","",tblDowntime[[#This Row],[Equipment ID]])</f>
        <v/>
      </c>
      <c r="N467" s="1">
        <f>IF(tblDowntime[[#This Row],[Failure Type]]="Production",tblDowntime[[#This Row],[Downtime Hours]],"")</f>
        <v/>
      </c>
      <c r="O467">
        <f>IF(tblDowntime[[#This Row],[Production Downtime Hours]]="","",tblDowntime[[#This Row],[Equipment ID]])</f>
        <v/>
      </c>
      <c r="P467" s="10" t="n"/>
    </row>
    <row r="468">
      <c r="B468">
        <f t="array" ref="B468">_xlfn.XLOOKUP(C468,INDIRECT("tblEquipment[Equipment ID]"),INDIRECT("tblEquipment[Production Department]"),"")</f>
        <v/>
      </c>
      <c r="D468">
        <f t="array" ref="D468">_xlfn.XLOOKUP(C468,INDIRECT("tblEquipment[Equipment ID]"),INDIRECT("tblEquipment[Equipment Name]"),"")</f>
        <v/>
      </c>
      <c r="F468" s="16" t="n"/>
      <c r="G468" s="16" t="n"/>
      <c r="H468" s="1">
        <f>IF(OR(F468=0,G468=0),"",(G468-F468)*24)</f>
        <v/>
      </c>
      <c r="I468" s="10" t="n"/>
      <c r="J468" s="1">
        <f>IF(OR(tblDowntime[[#This Row],[Failure Type]]="Sawshop",tblDowntime[[#This Row],[Failure Type]]="Electrical",tblDowntime[[#This Row],[Failure Type]]="Mechanical"),tblDowntime[[#This Row],[Downtime Hours]],"")</f>
        <v/>
      </c>
      <c r="K468" s="10" t="n"/>
      <c r="L468" s="10" t="n"/>
      <c r="M468">
        <f>IF(tblDowntime[[#This Row],[Maintenance Downtime Hours]]="","",tblDowntime[[#This Row],[Equipment ID]])</f>
        <v/>
      </c>
      <c r="N468" s="1">
        <f>IF(tblDowntime[[#This Row],[Failure Type]]="Production",tblDowntime[[#This Row],[Downtime Hours]],"")</f>
        <v/>
      </c>
      <c r="O468">
        <f>IF(tblDowntime[[#This Row],[Production Downtime Hours]]="","",tblDowntime[[#This Row],[Equipment ID]])</f>
        <v/>
      </c>
      <c r="P468" s="10" t="n"/>
    </row>
    <row r="469">
      <c r="B469">
        <f t="array" ref="B469">_xlfn.XLOOKUP(C469,INDIRECT("tblEquipment[Equipment ID]"),INDIRECT("tblEquipment[Production Department]"),"")</f>
        <v/>
      </c>
      <c r="D469">
        <f t="array" ref="D469">_xlfn.XLOOKUP(C469,INDIRECT("tblEquipment[Equipment ID]"),INDIRECT("tblEquipment[Equipment Name]"),"")</f>
        <v/>
      </c>
      <c r="F469" s="16" t="n"/>
      <c r="G469" s="16" t="n"/>
      <c r="H469" s="1">
        <f>IF(OR(F469=0,G469=0),"",(G469-F469)*24)</f>
        <v/>
      </c>
      <c r="I469" s="10" t="n"/>
      <c r="J469" s="1">
        <f>IF(OR(tblDowntime[[#This Row],[Failure Type]]="Sawshop",tblDowntime[[#This Row],[Failure Type]]="Electrical",tblDowntime[[#This Row],[Failure Type]]="Mechanical"),tblDowntime[[#This Row],[Downtime Hours]],"")</f>
        <v/>
      </c>
      <c r="K469" s="10" t="n"/>
      <c r="L469" s="10" t="n"/>
      <c r="M469">
        <f>IF(tblDowntime[[#This Row],[Maintenance Downtime Hours]]="","",tblDowntime[[#This Row],[Equipment ID]])</f>
        <v/>
      </c>
      <c r="N469" s="1">
        <f>IF(tblDowntime[[#This Row],[Failure Type]]="Production",tblDowntime[[#This Row],[Downtime Hours]],"")</f>
        <v/>
      </c>
      <c r="O469">
        <f>IF(tblDowntime[[#This Row],[Production Downtime Hours]]="","",tblDowntime[[#This Row],[Equipment ID]])</f>
        <v/>
      </c>
      <c r="P469" s="10" t="n"/>
    </row>
    <row r="470">
      <c r="B470">
        <f t="array" ref="B470">_xlfn.XLOOKUP(C470,INDIRECT("tblEquipment[Equipment ID]"),INDIRECT("tblEquipment[Production Department]"),"")</f>
        <v/>
      </c>
      <c r="D470">
        <f t="array" ref="D470">_xlfn.XLOOKUP(C470,INDIRECT("tblEquipment[Equipment ID]"),INDIRECT("tblEquipment[Equipment Name]"),"")</f>
        <v/>
      </c>
      <c r="F470" s="16" t="n"/>
      <c r="G470" s="16" t="n"/>
      <c r="H470" s="1">
        <f>IF(OR(F470=0,G470=0),"",(G470-F470)*24)</f>
        <v/>
      </c>
      <c r="I470" s="10" t="n"/>
      <c r="J470" s="1">
        <f>IF(OR(tblDowntime[[#This Row],[Failure Type]]="Sawshop",tblDowntime[[#This Row],[Failure Type]]="Electrical",tblDowntime[[#This Row],[Failure Type]]="Mechanical"),tblDowntime[[#This Row],[Downtime Hours]],"")</f>
        <v/>
      </c>
      <c r="K470" s="10" t="n"/>
      <c r="L470" s="10" t="n"/>
      <c r="M470">
        <f>IF(tblDowntime[[#This Row],[Maintenance Downtime Hours]]="","",tblDowntime[[#This Row],[Equipment ID]])</f>
        <v/>
      </c>
      <c r="N470" s="1">
        <f>IF(tblDowntime[[#This Row],[Failure Type]]="Production",tblDowntime[[#This Row],[Downtime Hours]],"")</f>
        <v/>
      </c>
      <c r="O470">
        <f>IF(tblDowntime[[#This Row],[Production Downtime Hours]]="","",tblDowntime[[#This Row],[Equipment ID]])</f>
        <v/>
      </c>
      <c r="P470" s="10" t="n"/>
    </row>
    <row r="471">
      <c r="B471">
        <f t="array" ref="B471">_xlfn.XLOOKUP(C471,INDIRECT("tblEquipment[Equipment ID]"),INDIRECT("tblEquipment[Production Department]"),"")</f>
        <v/>
      </c>
      <c r="D471">
        <f t="array" ref="D471">_xlfn.XLOOKUP(C471,INDIRECT("tblEquipment[Equipment ID]"),INDIRECT("tblEquipment[Equipment Name]"),"")</f>
        <v/>
      </c>
      <c r="F471" s="16" t="n"/>
      <c r="G471" s="16" t="n"/>
      <c r="H471" s="1">
        <f>IF(OR(F471=0,G471=0),"",(G471-F471)*24)</f>
        <v/>
      </c>
      <c r="I471" s="10" t="n"/>
      <c r="J471" s="1">
        <f>IF(OR(tblDowntime[[#This Row],[Failure Type]]="Sawshop",tblDowntime[[#This Row],[Failure Type]]="Electrical",tblDowntime[[#This Row],[Failure Type]]="Mechanical"),tblDowntime[[#This Row],[Downtime Hours]],"")</f>
        <v/>
      </c>
      <c r="K471" s="10" t="n"/>
      <c r="L471" s="10" t="n"/>
      <c r="M471">
        <f>IF(tblDowntime[[#This Row],[Maintenance Downtime Hours]]="","",tblDowntime[[#This Row],[Equipment ID]])</f>
        <v/>
      </c>
      <c r="N471" s="1">
        <f>IF(tblDowntime[[#This Row],[Failure Type]]="Production",tblDowntime[[#This Row],[Downtime Hours]],"")</f>
        <v/>
      </c>
      <c r="O471">
        <f>IF(tblDowntime[[#This Row],[Production Downtime Hours]]="","",tblDowntime[[#This Row],[Equipment ID]])</f>
        <v/>
      </c>
      <c r="P471" s="10" t="n"/>
    </row>
    <row r="472">
      <c r="B472">
        <f t="array" ref="B472">_xlfn.XLOOKUP(C472,INDIRECT("tblEquipment[Equipment ID]"),INDIRECT("tblEquipment[Production Department]"),"")</f>
        <v/>
      </c>
      <c r="D472">
        <f t="array" ref="D472">_xlfn.XLOOKUP(C472,INDIRECT("tblEquipment[Equipment ID]"),INDIRECT("tblEquipment[Equipment Name]"),"")</f>
        <v/>
      </c>
      <c r="F472" s="16" t="n"/>
      <c r="G472" s="16" t="n"/>
      <c r="H472" s="1">
        <f>IF(OR(F472=0,G472=0),"",(G472-F472)*24)</f>
        <v/>
      </c>
      <c r="I472" s="10" t="n"/>
      <c r="J472" s="1">
        <f>IF(OR(tblDowntime[[#This Row],[Failure Type]]="Sawshop",tblDowntime[[#This Row],[Failure Type]]="Electrical",tblDowntime[[#This Row],[Failure Type]]="Mechanical"),tblDowntime[[#This Row],[Downtime Hours]],"")</f>
        <v/>
      </c>
      <c r="K472" s="10" t="n"/>
      <c r="L472" s="10" t="n"/>
      <c r="M472">
        <f>IF(tblDowntime[[#This Row],[Maintenance Downtime Hours]]="","",tblDowntime[[#This Row],[Equipment ID]])</f>
        <v/>
      </c>
      <c r="N472" s="1">
        <f>IF(tblDowntime[[#This Row],[Failure Type]]="Production",tblDowntime[[#This Row],[Downtime Hours]],"")</f>
        <v/>
      </c>
      <c r="O472">
        <f>IF(tblDowntime[[#This Row],[Production Downtime Hours]]="","",tblDowntime[[#This Row],[Equipment ID]])</f>
        <v/>
      </c>
      <c r="P472" s="10" t="n"/>
    </row>
    <row r="473">
      <c r="B473">
        <f t="array" ref="B473">_xlfn.XLOOKUP(C473,INDIRECT("tblEquipment[Equipment ID]"),INDIRECT("tblEquipment[Production Department]"),"")</f>
        <v/>
      </c>
      <c r="D473">
        <f t="array" ref="D473">_xlfn.XLOOKUP(C473,INDIRECT("tblEquipment[Equipment ID]"),INDIRECT("tblEquipment[Equipment Name]"),"")</f>
        <v/>
      </c>
      <c r="F473" s="16" t="n"/>
      <c r="G473" s="16" t="n"/>
      <c r="H473" s="1">
        <f>IF(OR(F473=0,G473=0),"",(G473-F473)*24)</f>
        <v/>
      </c>
      <c r="I473" s="10" t="n"/>
      <c r="J473" s="1">
        <f>IF(OR(tblDowntime[[#This Row],[Failure Type]]="Sawshop",tblDowntime[[#This Row],[Failure Type]]="Electrical",tblDowntime[[#This Row],[Failure Type]]="Mechanical"),tblDowntime[[#This Row],[Downtime Hours]],"")</f>
        <v/>
      </c>
      <c r="K473" s="10" t="n"/>
      <c r="L473" s="10" t="n"/>
      <c r="M473">
        <f>IF(tblDowntime[[#This Row],[Maintenance Downtime Hours]]="","",tblDowntime[[#This Row],[Equipment ID]])</f>
        <v/>
      </c>
      <c r="N473" s="1">
        <f>IF(tblDowntime[[#This Row],[Failure Type]]="Production",tblDowntime[[#This Row],[Downtime Hours]],"")</f>
        <v/>
      </c>
      <c r="O473">
        <f>IF(tblDowntime[[#This Row],[Production Downtime Hours]]="","",tblDowntime[[#This Row],[Equipment ID]])</f>
        <v/>
      </c>
      <c r="P473" s="10" t="n"/>
    </row>
    <row r="474">
      <c r="B474">
        <f t="array" ref="B474">_xlfn.XLOOKUP(C474,INDIRECT("tblEquipment[Equipment ID]"),INDIRECT("tblEquipment[Production Department]"),"")</f>
        <v/>
      </c>
      <c r="D474">
        <f t="array" ref="D474">_xlfn.XLOOKUP(C474,INDIRECT("tblEquipment[Equipment ID]"),INDIRECT("tblEquipment[Equipment Name]"),"")</f>
        <v/>
      </c>
      <c r="F474" s="16" t="n"/>
      <c r="G474" s="16" t="n"/>
      <c r="H474" s="1">
        <f>IF(OR(F474=0,G474=0),"",(G474-F474)*24)</f>
        <v/>
      </c>
      <c r="I474" s="10" t="n"/>
      <c r="J474" s="1">
        <f>IF(OR(tblDowntime[[#This Row],[Failure Type]]="Sawshop",tblDowntime[[#This Row],[Failure Type]]="Electrical",tblDowntime[[#This Row],[Failure Type]]="Mechanical"),tblDowntime[[#This Row],[Downtime Hours]],"")</f>
        <v/>
      </c>
      <c r="K474" s="10" t="n"/>
      <c r="L474" s="10" t="n"/>
      <c r="M474">
        <f>IF(tblDowntime[[#This Row],[Maintenance Downtime Hours]]="","",tblDowntime[[#This Row],[Equipment ID]])</f>
        <v/>
      </c>
      <c r="N474" s="1">
        <f>IF(tblDowntime[[#This Row],[Failure Type]]="Production",tblDowntime[[#This Row],[Downtime Hours]],"")</f>
        <v/>
      </c>
      <c r="O474">
        <f>IF(tblDowntime[[#This Row],[Production Downtime Hours]]="","",tblDowntime[[#This Row],[Equipment ID]])</f>
        <v/>
      </c>
      <c r="P474" s="10" t="n"/>
    </row>
    <row r="475">
      <c r="B475">
        <f t="array" ref="B475">_xlfn.XLOOKUP(C475,INDIRECT("tblEquipment[Equipment ID]"),INDIRECT("tblEquipment[Production Department]"),"")</f>
        <v/>
      </c>
      <c r="D475">
        <f t="array" ref="D475">_xlfn.XLOOKUP(C475,INDIRECT("tblEquipment[Equipment ID]"),INDIRECT("tblEquipment[Equipment Name]"),"")</f>
        <v/>
      </c>
      <c r="F475" s="16" t="n"/>
      <c r="G475" s="16" t="n"/>
      <c r="H475" s="1">
        <f>IF(OR(F475=0,G475=0),"",(G475-F475)*24)</f>
        <v/>
      </c>
      <c r="I475" s="10" t="n"/>
      <c r="J475" s="1">
        <f>IF(OR(tblDowntime[[#This Row],[Failure Type]]="Sawshop",tblDowntime[[#This Row],[Failure Type]]="Electrical",tblDowntime[[#This Row],[Failure Type]]="Mechanical"),tblDowntime[[#This Row],[Downtime Hours]],"")</f>
        <v/>
      </c>
      <c r="K475" s="10" t="n"/>
      <c r="L475" s="10" t="n"/>
      <c r="M475">
        <f>IF(tblDowntime[[#This Row],[Maintenance Downtime Hours]]="","",tblDowntime[[#This Row],[Equipment ID]])</f>
        <v/>
      </c>
      <c r="N475" s="1">
        <f>IF(tblDowntime[[#This Row],[Failure Type]]="Production",tblDowntime[[#This Row],[Downtime Hours]],"")</f>
        <v/>
      </c>
      <c r="O475">
        <f>IF(tblDowntime[[#This Row],[Production Downtime Hours]]="","",tblDowntime[[#This Row],[Equipment ID]])</f>
        <v/>
      </c>
      <c r="P475" s="10" t="n"/>
    </row>
    <row r="476">
      <c r="B476">
        <f t="array" ref="B476">_xlfn.XLOOKUP(C476,INDIRECT("tblEquipment[Equipment ID]"),INDIRECT("tblEquipment[Production Department]"),"")</f>
        <v/>
      </c>
      <c r="D476">
        <f t="array" ref="D476">_xlfn.XLOOKUP(C476,INDIRECT("tblEquipment[Equipment ID]"),INDIRECT("tblEquipment[Equipment Name]"),"")</f>
        <v/>
      </c>
      <c r="F476" s="16" t="n"/>
      <c r="G476" s="16" t="n"/>
      <c r="H476" s="1">
        <f>IF(OR(F476=0,G476=0),"",(G476-F476)*24)</f>
        <v/>
      </c>
      <c r="I476" s="10" t="n"/>
      <c r="J476" s="1">
        <f>IF(OR(tblDowntime[[#This Row],[Failure Type]]="Sawshop",tblDowntime[[#This Row],[Failure Type]]="Electrical",tblDowntime[[#This Row],[Failure Type]]="Mechanical"),tblDowntime[[#This Row],[Downtime Hours]],"")</f>
        <v/>
      </c>
      <c r="K476" s="10" t="n"/>
      <c r="L476" s="10" t="n"/>
      <c r="M476">
        <f>IF(tblDowntime[[#This Row],[Maintenance Downtime Hours]]="","",tblDowntime[[#This Row],[Equipment ID]])</f>
        <v/>
      </c>
      <c r="N476" s="1">
        <f>IF(tblDowntime[[#This Row],[Failure Type]]="Production",tblDowntime[[#This Row],[Downtime Hours]],"")</f>
        <v/>
      </c>
      <c r="O476">
        <f>IF(tblDowntime[[#This Row],[Production Downtime Hours]]="","",tblDowntime[[#This Row],[Equipment ID]])</f>
        <v/>
      </c>
      <c r="P476" s="10" t="n"/>
    </row>
    <row r="477">
      <c r="B477">
        <f t="array" ref="B477">_xlfn.XLOOKUP(C477,INDIRECT("tblEquipment[Equipment ID]"),INDIRECT("tblEquipment[Production Department]"),"")</f>
        <v/>
      </c>
      <c r="D477">
        <f t="array" ref="D477">_xlfn.XLOOKUP(C477,INDIRECT("tblEquipment[Equipment ID]"),INDIRECT("tblEquipment[Equipment Name]"),"")</f>
        <v/>
      </c>
      <c r="F477" s="16" t="n"/>
      <c r="G477" s="16" t="n"/>
      <c r="H477" s="1">
        <f>IF(OR(F477=0,G477=0),"",(G477-F477)*24)</f>
        <v/>
      </c>
      <c r="I477" s="10" t="n"/>
      <c r="J477" s="1">
        <f>IF(OR(tblDowntime[[#This Row],[Failure Type]]="Sawshop",tblDowntime[[#This Row],[Failure Type]]="Electrical",tblDowntime[[#This Row],[Failure Type]]="Mechanical"),tblDowntime[[#This Row],[Downtime Hours]],"")</f>
        <v/>
      </c>
      <c r="K477" s="10" t="n"/>
      <c r="L477" s="10" t="n"/>
      <c r="M477">
        <f>IF(tblDowntime[[#This Row],[Maintenance Downtime Hours]]="","",tblDowntime[[#This Row],[Equipment ID]])</f>
        <v/>
      </c>
      <c r="N477" s="1">
        <f>IF(tblDowntime[[#This Row],[Failure Type]]="Production",tblDowntime[[#This Row],[Downtime Hours]],"")</f>
        <v/>
      </c>
      <c r="O477">
        <f>IF(tblDowntime[[#This Row],[Production Downtime Hours]]="","",tblDowntime[[#This Row],[Equipment ID]])</f>
        <v/>
      </c>
      <c r="P477" s="10" t="n"/>
    </row>
    <row r="478">
      <c r="B478">
        <f t="array" ref="B478">_xlfn.XLOOKUP(C478,INDIRECT("tblEquipment[Equipment ID]"),INDIRECT("tblEquipment[Production Department]"),"")</f>
        <v/>
      </c>
      <c r="D478">
        <f t="array" ref="D478">_xlfn.XLOOKUP(C478,INDIRECT("tblEquipment[Equipment ID]"),INDIRECT("tblEquipment[Equipment Name]"),"")</f>
        <v/>
      </c>
      <c r="F478" s="16" t="n"/>
      <c r="G478" s="16" t="n"/>
      <c r="H478" s="1">
        <f>IF(OR(F478=0,G478=0),"",(G478-F478)*24)</f>
        <v/>
      </c>
      <c r="I478" s="10" t="n"/>
      <c r="J478" s="1">
        <f>IF(OR(tblDowntime[[#This Row],[Failure Type]]="Sawshop",tblDowntime[[#This Row],[Failure Type]]="Electrical",tblDowntime[[#This Row],[Failure Type]]="Mechanical"),tblDowntime[[#This Row],[Downtime Hours]],"")</f>
        <v/>
      </c>
      <c r="K478" s="10" t="n"/>
      <c r="L478" s="10" t="n"/>
      <c r="M478">
        <f>IF(tblDowntime[[#This Row],[Maintenance Downtime Hours]]="","",tblDowntime[[#This Row],[Equipment ID]])</f>
        <v/>
      </c>
      <c r="N478" s="1">
        <f>IF(tblDowntime[[#This Row],[Failure Type]]="Production",tblDowntime[[#This Row],[Downtime Hours]],"")</f>
        <v/>
      </c>
      <c r="O478">
        <f>IF(tblDowntime[[#This Row],[Production Downtime Hours]]="","",tblDowntime[[#This Row],[Equipment ID]])</f>
        <v/>
      </c>
      <c r="P478" s="10" t="n"/>
    </row>
    <row r="479">
      <c r="B479">
        <f t="array" ref="B479">_xlfn.XLOOKUP(C479,INDIRECT("tblEquipment[Equipment ID]"),INDIRECT("tblEquipment[Production Department]"),"")</f>
        <v/>
      </c>
      <c r="D479">
        <f t="array" ref="D479">_xlfn.XLOOKUP(C479,INDIRECT("tblEquipment[Equipment ID]"),INDIRECT("tblEquipment[Equipment Name]"),"")</f>
        <v/>
      </c>
      <c r="F479" s="16" t="n"/>
      <c r="G479" s="16" t="n"/>
      <c r="H479" s="1">
        <f>IF(OR(F479=0,G479=0),"",(G479-F479)*24)</f>
        <v/>
      </c>
      <c r="I479" s="10" t="n"/>
      <c r="J479" s="1">
        <f>IF(OR(tblDowntime[[#This Row],[Failure Type]]="Sawshop",tblDowntime[[#This Row],[Failure Type]]="Electrical",tblDowntime[[#This Row],[Failure Type]]="Mechanical"),tblDowntime[[#This Row],[Downtime Hours]],"")</f>
        <v/>
      </c>
      <c r="K479" s="10" t="n"/>
      <c r="L479" s="10" t="n"/>
      <c r="M479">
        <f>IF(tblDowntime[[#This Row],[Maintenance Downtime Hours]]="","",tblDowntime[[#This Row],[Equipment ID]])</f>
        <v/>
      </c>
      <c r="N479" s="1">
        <f>IF(tblDowntime[[#This Row],[Failure Type]]="Production",tblDowntime[[#This Row],[Downtime Hours]],"")</f>
        <v/>
      </c>
      <c r="O479">
        <f>IF(tblDowntime[[#This Row],[Production Downtime Hours]]="","",tblDowntime[[#This Row],[Equipment ID]])</f>
        <v/>
      </c>
      <c r="P479" s="10" t="n"/>
    </row>
    <row r="480">
      <c r="B480">
        <f t="array" ref="B480">_xlfn.XLOOKUP(C480,INDIRECT("tblEquipment[Equipment ID]"),INDIRECT("tblEquipment[Production Department]"),"")</f>
        <v/>
      </c>
      <c r="D480">
        <f t="array" ref="D480">_xlfn.XLOOKUP(C480,INDIRECT("tblEquipment[Equipment ID]"),INDIRECT("tblEquipment[Equipment Name]"),"")</f>
        <v/>
      </c>
      <c r="F480" s="16" t="n"/>
      <c r="G480" s="16" t="n"/>
      <c r="H480" s="1">
        <f>IF(OR(F480=0,G480=0),"",(G480-F480)*24)</f>
        <v/>
      </c>
      <c r="I480" s="10" t="n"/>
      <c r="J480" s="1">
        <f>IF(OR(tblDowntime[[#This Row],[Failure Type]]="Sawshop",tblDowntime[[#This Row],[Failure Type]]="Electrical",tblDowntime[[#This Row],[Failure Type]]="Mechanical"),tblDowntime[[#This Row],[Downtime Hours]],"")</f>
        <v/>
      </c>
      <c r="K480" s="10" t="n"/>
      <c r="L480" s="10" t="n"/>
      <c r="M480">
        <f>IF(tblDowntime[[#This Row],[Maintenance Downtime Hours]]="","",tblDowntime[[#This Row],[Equipment ID]])</f>
        <v/>
      </c>
      <c r="N480" s="1">
        <f>IF(tblDowntime[[#This Row],[Failure Type]]="Production",tblDowntime[[#This Row],[Downtime Hours]],"")</f>
        <v/>
      </c>
      <c r="O480">
        <f>IF(tblDowntime[[#This Row],[Production Downtime Hours]]="","",tblDowntime[[#This Row],[Equipment ID]])</f>
        <v/>
      </c>
      <c r="P480" s="10" t="n"/>
    </row>
    <row r="481">
      <c r="B481">
        <f t="array" ref="B481">_xlfn.XLOOKUP(C481,INDIRECT("tblEquipment[Equipment ID]"),INDIRECT("tblEquipment[Production Department]"),"")</f>
        <v/>
      </c>
      <c r="D481">
        <f t="array" ref="D481">_xlfn.XLOOKUP(C481,INDIRECT("tblEquipment[Equipment ID]"),INDIRECT("tblEquipment[Equipment Name]"),"")</f>
        <v/>
      </c>
      <c r="F481" s="16" t="n"/>
      <c r="G481" s="16" t="n"/>
      <c r="H481" s="1">
        <f>IF(OR(F481=0,G481=0),"",(G481-F481)*24)</f>
        <v/>
      </c>
      <c r="I481" s="10" t="n"/>
      <c r="J481" s="1">
        <f>IF(OR(tblDowntime[[#This Row],[Failure Type]]="Sawshop",tblDowntime[[#This Row],[Failure Type]]="Electrical",tblDowntime[[#This Row],[Failure Type]]="Mechanical"),tblDowntime[[#This Row],[Downtime Hours]],"")</f>
        <v/>
      </c>
      <c r="K481" s="10" t="n"/>
      <c r="L481" s="10" t="n"/>
      <c r="M481">
        <f>IF(tblDowntime[[#This Row],[Maintenance Downtime Hours]]="","",tblDowntime[[#This Row],[Equipment ID]])</f>
        <v/>
      </c>
      <c r="N481" s="1">
        <f>IF(tblDowntime[[#This Row],[Failure Type]]="Production",tblDowntime[[#This Row],[Downtime Hours]],"")</f>
        <v/>
      </c>
      <c r="O481">
        <f>IF(tblDowntime[[#This Row],[Production Downtime Hours]]="","",tblDowntime[[#This Row],[Equipment ID]])</f>
        <v/>
      </c>
      <c r="P481" s="10" t="n"/>
    </row>
    <row r="482">
      <c r="B482">
        <f t="array" ref="B482">_xlfn.XLOOKUP(C482,INDIRECT("tblEquipment[Equipment ID]"),INDIRECT("tblEquipment[Production Department]"),"")</f>
        <v/>
      </c>
      <c r="D482">
        <f t="array" ref="D482">_xlfn.XLOOKUP(C482,INDIRECT("tblEquipment[Equipment ID]"),INDIRECT("tblEquipment[Equipment Name]"),"")</f>
        <v/>
      </c>
      <c r="F482" s="16" t="n"/>
      <c r="G482" s="16" t="n"/>
      <c r="H482" s="1">
        <f>IF(OR(F482=0,G482=0),"",(G482-F482)*24)</f>
        <v/>
      </c>
      <c r="I482" s="10" t="n"/>
      <c r="J482" s="1">
        <f>IF(OR(tblDowntime[[#This Row],[Failure Type]]="Sawshop",tblDowntime[[#This Row],[Failure Type]]="Electrical",tblDowntime[[#This Row],[Failure Type]]="Mechanical"),tblDowntime[[#This Row],[Downtime Hours]],"")</f>
        <v/>
      </c>
      <c r="K482" s="10" t="n"/>
      <c r="L482" s="10" t="n"/>
      <c r="M482">
        <f>IF(tblDowntime[[#This Row],[Maintenance Downtime Hours]]="","",tblDowntime[[#This Row],[Equipment ID]])</f>
        <v/>
      </c>
      <c r="N482" s="1">
        <f>IF(tblDowntime[[#This Row],[Failure Type]]="Production",tblDowntime[[#This Row],[Downtime Hours]],"")</f>
        <v/>
      </c>
      <c r="O482">
        <f>IF(tblDowntime[[#This Row],[Production Downtime Hours]]="","",tblDowntime[[#This Row],[Equipment ID]])</f>
        <v/>
      </c>
      <c r="P482" s="10" t="n"/>
    </row>
    <row r="483">
      <c r="B483">
        <f t="array" ref="B483">_xlfn.XLOOKUP(C483,INDIRECT("tblEquipment[Equipment ID]"),INDIRECT("tblEquipment[Production Department]"),"")</f>
        <v/>
      </c>
      <c r="D483">
        <f t="array" ref="D483">_xlfn.XLOOKUP(C483,INDIRECT("tblEquipment[Equipment ID]"),INDIRECT("tblEquipment[Equipment Name]"),"")</f>
        <v/>
      </c>
      <c r="F483" s="16" t="n"/>
      <c r="G483" s="16" t="n"/>
      <c r="H483" s="1">
        <f>IF(OR(F483=0,G483=0),"",(G483-F483)*24)</f>
        <v/>
      </c>
      <c r="I483" s="10" t="n"/>
      <c r="J483" s="1">
        <f>IF(OR(tblDowntime[[#This Row],[Failure Type]]="Sawshop",tblDowntime[[#This Row],[Failure Type]]="Electrical",tblDowntime[[#This Row],[Failure Type]]="Mechanical"),tblDowntime[[#This Row],[Downtime Hours]],"")</f>
        <v/>
      </c>
      <c r="K483" s="10" t="n"/>
      <c r="L483" s="10" t="n"/>
      <c r="M483">
        <f>IF(tblDowntime[[#This Row],[Maintenance Downtime Hours]]="","",tblDowntime[[#This Row],[Equipment ID]])</f>
        <v/>
      </c>
      <c r="N483" s="1">
        <f>IF(tblDowntime[[#This Row],[Failure Type]]="Production",tblDowntime[[#This Row],[Downtime Hours]],"")</f>
        <v/>
      </c>
      <c r="O483">
        <f>IF(tblDowntime[[#This Row],[Production Downtime Hours]]="","",tblDowntime[[#This Row],[Equipment ID]])</f>
        <v/>
      </c>
      <c r="P483" s="10" t="n"/>
    </row>
    <row r="484">
      <c r="B484">
        <f t="array" ref="B484">_xlfn.XLOOKUP(C484,INDIRECT("tblEquipment[Equipment ID]"),INDIRECT("tblEquipment[Production Department]"),"")</f>
        <v/>
      </c>
      <c r="D484">
        <f t="array" ref="D484">_xlfn.XLOOKUP(C484,INDIRECT("tblEquipment[Equipment ID]"),INDIRECT("tblEquipment[Equipment Name]"),"")</f>
        <v/>
      </c>
      <c r="F484" s="16" t="n"/>
      <c r="G484" s="16" t="n"/>
      <c r="H484" s="1">
        <f>IF(OR(F484=0,G484=0),"",(G484-F484)*24)</f>
        <v/>
      </c>
      <c r="I484" s="10" t="n"/>
      <c r="J484" s="1">
        <f>IF(OR(tblDowntime[[#This Row],[Failure Type]]="Sawshop",tblDowntime[[#This Row],[Failure Type]]="Electrical",tblDowntime[[#This Row],[Failure Type]]="Mechanical"),tblDowntime[[#This Row],[Downtime Hours]],"")</f>
        <v/>
      </c>
      <c r="K484" s="10" t="n"/>
      <c r="L484" s="10" t="n"/>
      <c r="M484">
        <f>IF(tblDowntime[[#This Row],[Maintenance Downtime Hours]]="","",tblDowntime[[#This Row],[Equipment ID]])</f>
        <v/>
      </c>
      <c r="N484" s="1">
        <f>IF(tblDowntime[[#This Row],[Failure Type]]="Production",tblDowntime[[#This Row],[Downtime Hours]],"")</f>
        <v/>
      </c>
      <c r="O484">
        <f>IF(tblDowntime[[#This Row],[Production Downtime Hours]]="","",tblDowntime[[#This Row],[Equipment ID]])</f>
        <v/>
      </c>
      <c r="P484" s="10" t="n"/>
    </row>
    <row r="485">
      <c r="B485">
        <f t="array" ref="B485">_xlfn.XLOOKUP(C485,INDIRECT("tblEquipment[Equipment ID]"),INDIRECT("tblEquipment[Production Department]"),"")</f>
        <v/>
      </c>
      <c r="D485">
        <f t="array" ref="D485">_xlfn.XLOOKUP(C485,INDIRECT("tblEquipment[Equipment ID]"),INDIRECT("tblEquipment[Equipment Name]"),"")</f>
        <v/>
      </c>
      <c r="F485" s="16" t="n"/>
      <c r="G485" s="16" t="n"/>
      <c r="H485" s="1">
        <f>IF(OR(F485=0,G485=0),"",(G485-F485)*24)</f>
        <v/>
      </c>
      <c r="I485" s="10" t="n"/>
      <c r="J485" s="1">
        <f>IF(OR(tblDowntime[[#This Row],[Failure Type]]="Sawshop",tblDowntime[[#This Row],[Failure Type]]="Electrical",tblDowntime[[#This Row],[Failure Type]]="Mechanical"),tblDowntime[[#This Row],[Downtime Hours]],"")</f>
        <v/>
      </c>
      <c r="K485" s="10" t="n"/>
      <c r="L485" s="10" t="n"/>
      <c r="M485">
        <f>IF(tblDowntime[[#This Row],[Maintenance Downtime Hours]]="","",tblDowntime[[#This Row],[Equipment ID]])</f>
        <v/>
      </c>
      <c r="N485" s="1">
        <f>IF(tblDowntime[[#This Row],[Failure Type]]="Production",tblDowntime[[#This Row],[Downtime Hours]],"")</f>
        <v/>
      </c>
      <c r="O485">
        <f>IF(tblDowntime[[#This Row],[Production Downtime Hours]]="","",tblDowntime[[#This Row],[Equipment ID]])</f>
        <v/>
      </c>
      <c r="P485" s="10" t="n"/>
    </row>
    <row r="486">
      <c r="B486">
        <f t="array" ref="B486">_xlfn.XLOOKUP(C486,INDIRECT("tblEquipment[Equipment ID]"),INDIRECT("tblEquipment[Production Department]"),"")</f>
        <v/>
      </c>
      <c r="D486">
        <f t="array" ref="D486">_xlfn.XLOOKUP(C486,INDIRECT("tblEquipment[Equipment ID]"),INDIRECT("tblEquipment[Equipment Name]"),"")</f>
        <v/>
      </c>
      <c r="F486" s="16" t="n"/>
      <c r="G486" s="16" t="n"/>
      <c r="H486" s="1">
        <f>IF(OR(F486=0,G486=0),"",(G486-F486)*24)</f>
        <v/>
      </c>
      <c r="I486" s="10" t="n"/>
      <c r="J486" s="1">
        <f>IF(OR(tblDowntime[[#This Row],[Failure Type]]="Sawshop",tblDowntime[[#This Row],[Failure Type]]="Electrical",tblDowntime[[#This Row],[Failure Type]]="Mechanical"),tblDowntime[[#This Row],[Downtime Hours]],"")</f>
        <v/>
      </c>
      <c r="K486" s="10" t="n"/>
      <c r="L486" s="10" t="n"/>
      <c r="M486">
        <f>IF(tblDowntime[[#This Row],[Maintenance Downtime Hours]]="","",tblDowntime[[#This Row],[Equipment ID]])</f>
        <v/>
      </c>
      <c r="N486" s="1">
        <f>IF(tblDowntime[[#This Row],[Failure Type]]="Production",tblDowntime[[#This Row],[Downtime Hours]],"")</f>
        <v/>
      </c>
      <c r="O486">
        <f>IF(tblDowntime[[#This Row],[Production Downtime Hours]]="","",tblDowntime[[#This Row],[Equipment ID]])</f>
        <v/>
      </c>
      <c r="P486" s="10" t="n"/>
    </row>
    <row r="487">
      <c r="B487">
        <f t="array" ref="B487">_xlfn.XLOOKUP(C487,INDIRECT("tblEquipment[Equipment ID]"),INDIRECT("tblEquipment[Production Department]"),"")</f>
        <v/>
      </c>
      <c r="D487">
        <f t="array" ref="D487">_xlfn.XLOOKUP(C487,INDIRECT("tblEquipment[Equipment ID]"),INDIRECT("tblEquipment[Equipment Name]"),"")</f>
        <v/>
      </c>
      <c r="F487" s="16" t="n"/>
      <c r="G487" s="16" t="n"/>
      <c r="H487" s="1">
        <f>IF(OR(F487=0,G487=0),"",(G487-F487)*24)</f>
        <v/>
      </c>
      <c r="I487" s="10" t="n"/>
      <c r="J487" s="1">
        <f>IF(OR(tblDowntime[[#This Row],[Failure Type]]="Sawshop",tblDowntime[[#This Row],[Failure Type]]="Electrical",tblDowntime[[#This Row],[Failure Type]]="Mechanical"),tblDowntime[[#This Row],[Downtime Hours]],"")</f>
        <v/>
      </c>
      <c r="K487" s="10" t="n"/>
      <c r="L487" s="10" t="n"/>
      <c r="M487">
        <f>IF(tblDowntime[[#This Row],[Maintenance Downtime Hours]]="","",tblDowntime[[#This Row],[Equipment ID]])</f>
        <v/>
      </c>
      <c r="N487" s="1">
        <f>IF(tblDowntime[[#This Row],[Failure Type]]="Production",tblDowntime[[#This Row],[Downtime Hours]],"")</f>
        <v/>
      </c>
      <c r="O487">
        <f>IF(tblDowntime[[#This Row],[Production Downtime Hours]]="","",tblDowntime[[#This Row],[Equipment ID]])</f>
        <v/>
      </c>
      <c r="P487" s="10" t="n"/>
    </row>
    <row r="488">
      <c r="B488">
        <f t="array" ref="B488">_xlfn.XLOOKUP(C488,INDIRECT("tblEquipment[Equipment ID]"),INDIRECT("tblEquipment[Production Department]"),"")</f>
        <v/>
      </c>
      <c r="D488">
        <f t="array" ref="D488">_xlfn.XLOOKUP(C488,INDIRECT("tblEquipment[Equipment ID]"),INDIRECT("tblEquipment[Equipment Name]"),"")</f>
        <v/>
      </c>
      <c r="F488" s="16" t="n"/>
      <c r="G488" s="16" t="n"/>
      <c r="H488" s="1">
        <f>IF(OR(F488=0,G488=0),"",(G488-F488)*24)</f>
        <v/>
      </c>
      <c r="I488" s="10" t="n"/>
      <c r="J488" s="1">
        <f>IF(OR(tblDowntime[[#This Row],[Failure Type]]="Sawshop",tblDowntime[[#This Row],[Failure Type]]="Electrical",tblDowntime[[#This Row],[Failure Type]]="Mechanical"),tblDowntime[[#This Row],[Downtime Hours]],"")</f>
        <v/>
      </c>
      <c r="K488" s="10" t="n"/>
      <c r="L488" s="10" t="n"/>
      <c r="M488">
        <f>IF(tblDowntime[[#This Row],[Maintenance Downtime Hours]]="","",tblDowntime[[#This Row],[Equipment ID]])</f>
        <v/>
      </c>
      <c r="N488" s="1">
        <f>IF(tblDowntime[[#This Row],[Failure Type]]="Production",tblDowntime[[#This Row],[Downtime Hours]],"")</f>
        <v/>
      </c>
      <c r="O488">
        <f>IF(tblDowntime[[#This Row],[Production Downtime Hours]]="","",tblDowntime[[#This Row],[Equipment ID]])</f>
        <v/>
      </c>
      <c r="P488" s="10" t="n"/>
    </row>
    <row r="489">
      <c r="B489">
        <f t="array" ref="B489">_xlfn.XLOOKUP(C489,INDIRECT("tblEquipment[Equipment ID]"),INDIRECT("tblEquipment[Production Department]"),"")</f>
        <v/>
      </c>
      <c r="D489">
        <f t="array" ref="D489">_xlfn.XLOOKUP(C489,INDIRECT("tblEquipment[Equipment ID]"),INDIRECT("tblEquipment[Equipment Name]"),"")</f>
        <v/>
      </c>
      <c r="F489" s="16" t="n"/>
      <c r="G489" s="16" t="n"/>
      <c r="H489" s="1">
        <f>IF(OR(F489=0,G489=0),"",(G489-F489)*24)</f>
        <v/>
      </c>
      <c r="I489" s="10" t="n"/>
      <c r="J489" s="1">
        <f>IF(OR(tblDowntime[[#This Row],[Failure Type]]="Sawshop",tblDowntime[[#This Row],[Failure Type]]="Electrical",tblDowntime[[#This Row],[Failure Type]]="Mechanical"),tblDowntime[[#This Row],[Downtime Hours]],"")</f>
        <v/>
      </c>
      <c r="K489" s="10" t="n"/>
      <c r="L489" s="10" t="n"/>
      <c r="M489">
        <f>IF(tblDowntime[[#This Row],[Maintenance Downtime Hours]]="","",tblDowntime[[#This Row],[Equipment ID]])</f>
        <v/>
      </c>
      <c r="N489" s="1">
        <f>IF(tblDowntime[[#This Row],[Failure Type]]="Production",tblDowntime[[#This Row],[Downtime Hours]],"")</f>
        <v/>
      </c>
      <c r="O489">
        <f>IF(tblDowntime[[#This Row],[Production Downtime Hours]]="","",tblDowntime[[#This Row],[Equipment ID]])</f>
        <v/>
      </c>
      <c r="P489" s="10" t="n"/>
    </row>
    <row r="490">
      <c r="B490">
        <f t="array" ref="B490">_xlfn.XLOOKUP(C490,INDIRECT("tblEquipment[Equipment ID]"),INDIRECT("tblEquipment[Production Department]"),"")</f>
        <v/>
      </c>
      <c r="D490">
        <f t="array" ref="D490">_xlfn.XLOOKUP(C490,INDIRECT("tblEquipment[Equipment ID]"),INDIRECT("tblEquipment[Equipment Name]"),"")</f>
        <v/>
      </c>
      <c r="F490" s="16" t="n"/>
      <c r="G490" s="16" t="n"/>
      <c r="H490" s="1">
        <f>IF(OR(F490=0,G490=0),"",(G490-F490)*24)</f>
        <v/>
      </c>
      <c r="I490" s="10" t="n"/>
      <c r="J490" s="1">
        <f>IF(OR(tblDowntime[[#This Row],[Failure Type]]="Sawshop",tblDowntime[[#This Row],[Failure Type]]="Electrical",tblDowntime[[#This Row],[Failure Type]]="Mechanical"),tblDowntime[[#This Row],[Downtime Hours]],"")</f>
        <v/>
      </c>
      <c r="K490" s="10" t="n"/>
      <c r="L490" s="10" t="n"/>
      <c r="M490">
        <f>IF(tblDowntime[[#This Row],[Maintenance Downtime Hours]]="","",tblDowntime[[#This Row],[Equipment ID]])</f>
        <v/>
      </c>
      <c r="N490" s="1">
        <f>IF(tblDowntime[[#This Row],[Failure Type]]="Production",tblDowntime[[#This Row],[Downtime Hours]],"")</f>
        <v/>
      </c>
      <c r="O490">
        <f>IF(tblDowntime[[#This Row],[Production Downtime Hours]]="","",tblDowntime[[#This Row],[Equipment ID]])</f>
        <v/>
      </c>
      <c r="P490" s="10" t="n"/>
    </row>
    <row r="491">
      <c r="B491">
        <f t="array" ref="B491">_xlfn.XLOOKUP(C491,INDIRECT("tblEquipment[Equipment ID]"),INDIRECT("tblEquipment[Production Department]"),"")</f>
        <v/>
      </c>
      <c r="D491">
        <f t="array" ref="D491">_xlfn.XLOOKUP(C491,INDIRECT("tblEquipment[Equipment ID]"),INDIRECT("tblEquipment[Equipment Name]"),"")</f>
        <v/>
      </c>
      <c r="F491" s="16" t="n"/>
      <c r="G491" s="16" t="n"/>
      <c r="H491" s="1">
        <f>IF(OR(F491=0,G491=0),"",(G491-F491)*24)</f>
        <v/>
      </c>
      <c r="I491" s="10" t="n"/>
      <c r="J491" s="1">
        <f>IF(OR(tblDowntime[[#This Row],[Failure Type]]="Sawshop",tblDowntime[[#This Row],[Failure Type]]="Electrical",tblDowntime[[#This Row],[Failure Type]]="Mechanical"),tblDowntime[[#This Row],[Downtime Hours]],"")</f>
        <v/>
      </c>
      <c r="K491" s="10" t="n"/>
      <c r="L491" s="10" t="n"/>
      <c r="M491">
        <f>IF(tblDowntime[[#This Row],[Maintenance Downtime Hours]]="","",tblDowntime[[#This Row],[Equipment ID]])</f>
        <v/>
      </c>
      <c r="N491" s="1">
        <f>IF(tblDowntime[[#This Row],[Failure Type]]="Production",tblDowntime[[#This Row],[Downtime Hours]],"")</f>
        <v/>
      </c>
      <c r="O491">
        <f>IF(tblDowntime[[#This Row],[Production Downtime Hours]]="","",tblDowntime[[#This Row],[Equipment ID]])</f>
        <v/>
      </c>
      <c r="P491" s="10" t="n"/>
    </row>
    <row r="492">
      <c r="B492">
        <f t="array" ref="B492">_xlfn.XLOOKUP(C492,INDIRECT("tblEquipment[Equipment ID]"),INDIRECT("tblEquipment[Production Department]"),"")</f>
        <v/>
      </c>
      <c r="D492">
        <f t="array" ref="D492">_xlfn.XLOOKUP(C492,INDIRECT("tblEquipment[Equipment ID]"),INDIRECT("tblEquipment[Equipment Name]"),"")</f>
        <v/>
      </c>
      <c r="F492" s="16" t="n"/>
      <c r="G492" s="16" t="n"/>
      <c r="H492" s="1">
        <f>IF(OR(F492=0,G492=0),"",(G492-F492)*24)</f>
        <v/>
      </c>
      <c r="I492" s="10" t="n"/>
      <c r="J492" s="1">
        <f>IF(OR(tblDowntime[[#This Row],[Failure Type]]="Sawshop",tblDowntime[[#This Row],[Failure Type]]="Electrical",tblDowntime[[#This Row],[Failure Type]]="Mechanical"),tblDowntime[[#This Row],[Downtime Hours]],"")</f>
        <v/>
      </c>
      <c r="K492" s="10" t="n"/>
      <c r="L492" s="10" t="n"/>
      <c r="M492">
        <f>IF(tblDowntime[[#This Row],[Maintenance Downtime Hours]]="","",tblDowntime[[#This Row],[Equipment ID]])</f>
        <v/>
      </c>
      <c r="N492" s="1">
        <f>IF(tblDowntime[[#This Row],[Failure Type]]="Production",tblDowntime[[#This Row],[Downtime Hours]],"")</f>
        <v/>
      </c>
      <c r="O492">
        <f>IF(tblDowntime[[#This Row],[Production Downtime Hours]]="","",tblDowntime[[#This Row],[Equipment ID]])</f>
        <v/>
      </c>
      <c r="P492" s="10" t="n"/>
    </row>
    <row r="493">
      <c r="B493">
        <f t="array" ref="B493">_xlfn.XLOOKUP(C493,INDIRECT("tblEquipment[Equipment ID]"),INDIRECT("tblEquipment[Production Department]"),"")</f>
        <v/>
      </c>
      <c r="D493">
        <f t="array" ref="D493">_xlfn.XLOOKUP(C493,INDIRECT("tblEquipment[Equipment ID]"),INDIRECT("tblEquipment[Equipment Name]"),"")</f>
        <v/>
      </c>
      <c r="F493" s="16" t="n"/>
      <c r="G493" s="16" t="n"/>
      <c r="H493" s="1">
        <f>IF(OR(F493=0,G493=0),"",(G493-F493)*24)</f>
        <v/>
      </c>
      <c r="I493" s="10" t="n"/>
      <c r="J493" s="1">
        <f>IF(OR(tblDowntime[[#This Row],[Failure Type]]="Sawshop",tblDowntime[[#This Row],[Failure Type]]="Electrical",tblDowntime[[#This Row],[Failure Type]]="Mechanical"),tblDowntime[[#This Row],[Downtime Hours]],"")</f>
        <v/>
      </c>
      <c r="K493" s="10" t="n"/>
      <c r="L493" s="10" t="n"/>
      <c r="M493">
        <f>IF(tblDowntime[[#This Row],[Maintenance Downtime Hours]]="","",tblDowntime[[#This Row],[Equipment ID]])</f>
        <v/>
      </c>
      <c r="N493" s="1">
        <f>IF(tblDowntime[[#This Row],[Failure Type]]="Production",tblDowntime[[#This Row],[Downtime Hours]],"")</f>
        <v/>
      </c>
      <c r="O493">
        <f>IF(tblDowntime[[#This Row],[Production Downtime Hours]]="","",tblDowntime[[#This Row],[Equipment ID]])</f>
        <v/>
      </c>
      <c r="P493" s="10" t="n"/>
    </row>
    <row r="494">
      <c r="B494">
        <f t="array" ref="B494">_xlfn.XLOOKUP(C494,INDIRECT("tblEquipment[Equipment ID]"),INDIRECT("tblEquipment[Production Department]"),"")</f>
        <v/>
      </c>
      <c r="D494">
        <f t="array" ref="D494">_xlfn.XLOOKUP(C494,INDIRECT("tblEquipment[Equipment ID]"),INDIRECT("tblEquipment[Equipment Name]"),"")</f>
        <v/>
      </c>
      <c r="F494" s="16" t="n"/>
      <c r="G494" s="16" t="n"/>
      <c r="H494" s="1">
        <f>IF(OR(F494=0,G494=0),"",(G494-F494)*24)</f>
        <v/>
      </c>
      <c r="I494" s="10" t="n"/>
      <c r="J494" s="1">
        <f>IF(OR(tblDowntime[[#This Row],[Failure Type]]="Sawshop",tblDowntime[[#This Row],[Failure Type]]="Electrical",tblDowntime[[#This Row],[Failure Type]]="Mechanical"),tblDowntime[[#This Row],[Downtime Hours]],"")</f>
        <v/>
      </c>
      <c r="K494" s="10" t="n"/>
      <c r="L494" s="10" t="n"/>
      <c r="M494">
        <f>IF(tblDowntime[[#This Row],[Maintenance Downtime Hours]]="","",tblDowntime[[#This Row],[Equipment ID]])</f>
        <v/>
      </c>
      <c r="N494" s="1">
        <f>IF(tblDowntime[[#This Row],[Failure Type]]="Production",tblDowntime[[#This Row],[Downtime Hours]],"")</f>
        <v/>
      </c>
      <c r="O494">
        <f>IF(tblDowntime[[#This Row],[Production Downtime Hours]]="","",tblDowntime[[#This Row],[Equipment ID]])</f>
        <v/>
      </c>
      <c r="P494" s="10" t="n"/>
    </row>
    <row r="495">
      <c r="B495">
        <f t="array" ref="B495">_xlfn.XLOOKUP(C495,INDIRECT("tblEquipment[Equipment ID]"),INDIRECT("tblEquipment[Production Department]"),"")</f>
        <v/>
      </c>
      <c r="D495">
        <f t="array" ref="D495">_xlfn.XLOOKUP(C495,INDIRECT("tblEquipment[Equipment ID]"),INDIRECT("tblEquipment[Equipment Name]"),"")</f>
        <v/>
      </c>
      <c r="F495" s="16" t="n"/>
      <c r="G495" s="16" t="n"/>
      <c r="H495" s="1">
        <f>IF(OR(F495=0,G495=0),"",(G495-F495)*24)</f>
        <v/>
      </c>
      <c r="I495" s="10" t="n"/>
      <c r="J495" s="1">
        <f>IF(OR(tblDowntime[[#This Row],[Failure Type]]="Sawshop",tblDowntime[[#This Row],[Failure Type]]="Electrical",tblDowntime[[#This Row],[Failure Type]]="Mechanical"),tblDowntime[[#This Row],[Downtime Hours]],"")</f>
        <v/>
      </c>
      <c r="K495" s="10" t="n"/>
      <c r="L495" s="10" t="n"/>
      <c r="M495">
        <f>IF(tblDowntime[[#This Row],[Maintenance Downtime Hours]]="","",tblDowntime[[#This Row],[Equipment ID]])</f>
        <v/>
      </c>
      <c r="N495" s="1">
        <f>IF(tblDowntime[[#This Row],[Failure Type]]="Production",tblDowntime[[#This Row],[Downtime Hours]],"")</f>
        <v/>
      </c>
      <c r="O495">
        <f>IF(tblDowntime[[#This Row],[Production Downtime Hours]]="","",tblDowntime[[#This Row],[Equipment ID]])</f>
        <v/>
      </c>
      <c r="P495" s="10" t="n"/>
    </row>
    <row r="496">
      <c r="B496">
        <f t="array" ref="B496">_xlfn.XLOOKUP(C496,INDIRECT("tblEquipment[Equipment ID]"),INDIRECT("tblEquipment[Production Department]"),"")</f>
        <v/>
      </c>
      <c r="D496">
        <f t="array" ref="D496">_xlfn.XLOOKUP(C496,INDIRECT("tblEquipment[Equipment ID]"),INDIRECT("tblEquipment[Equipment Name]"),"")</f>
        <v/>
      </c>
      <c r="F496" s="16" t="n"/>
      <c r="G496" s="16" t="n"/>
      <c r="H496" s="1">
        <f>IF(OR(F496=0,G496=0),"",(G496-F496)*24)</f>
        <v/>
      </c>
      <c r="I496" s="10" t="n"/>
      <c r="J496" s="1">
        <f>IF(OR(tblDowntime[[#This Row],[Failure Type]]="Sawshop",tblDowntime[[#This Row],[Failure Type]]="Electrical",tblDowntime[[#This Row],[Failure Type]]="Mechanical"),tblDowntime[[#This Row],[Downtime Hours]],"")</f>
        <v/>
      </c>
      <c r="K496" s="10" t="n"/>
      <c r="L496" s="10" t="n"/>
      <c r="M496">
        <f>IF(tblDowntime[[#This Row],[Maintenance Downtime Hours]]="","",tblDowntime[[#This Row],[Equipment ID]])</f>
        <v/>
      </c>
      <c r="N496" s="1">
        <f>IF(tblDowntime[[#This Row],[Failure Type]]="Production",tblDowntime[[#This Row],[Downtime Hours]],"")</f>
        <v/>
      </c>
      <c r="O496">
        <f>IF(tblDowntime[[#This Row],[Production Downtime Hours]]="","",tblDowntime[[#This Row],[Equipment ID]])</f>
        <v/>
      </c>
      <c r="P496" s="10" t="n"/>
    </row>
    <row r="497">
      <c r="B497">
        <f t="array" ref="B497">_xlfn.XLOOKUP(C497,INDIRECT("tblEquipment[Equipment ID]"),INDIRECT("tblEquipment[Production Department]"),"")</f>
        <v/>
      </c>
      <c r="D497">
        <f t="array" ref="D497">_xlfn.XLOOKUP(C497,INDIRECT("tblEquipment[Equipment ID]"),INDIRECT("tblEquipment[Equipment Name]"),"")</f>
        <v/>
      </c>
      <c r="F497" s="16" t="n"/>
      <c r="G497" s="16" t="n"/>
      <c r="H497" s="1">
        <f>IF(OR(F497=0,G497=0),"",(G497-F497)*24)</f>
        <v/>
      </c>
      <c r="I497" s="10" t="n"/>
      <c r="J497" s="1">
        <f>IF(OR(tblDowntime[[#This Row],[Failure Type]]="Sawshop",tblDowntime[[#This Row],[Failure Type]]="Electrical",tblDowntime[[#This Row],[Failure Type]]="Mechanical"),tblDowntime[[#This Row],[Downtime Hours]],"")</f>
        <v/>
      </c>
      <c r="K497" s="10" t="n"/>
      <c r="L497" s="10" t="n"/>
      <c r="M497">
        <f>IF(tblDowntime[[#This Row],[Maintenance Downtime Hours]]="","",tblDowntime[[#This Row],[Equipment ID]])</f>
        <v/>
      </c>
      <c r="N497" s="1">
        <f>IF(tblDowntime[[#This Row],[Failure Type]]="Production",tblDowntime[[#This Row],[Downtime Hours]],"")</f>
        <v/>
      </c>
      <c r="O497">
        <f>IF(tblDowntime[[#This Row],[Production Downtime Hours]]="","",tblDowntime[[#This Row],[Equipment ID]])</f>
        <v/>
      </c>
      <c r="P497" s="10" t="n"/>
    </row>
    <row r="498">
      <c r="B498">
        <f t="array" ref="B498">_xlfn.XLOOKUP(C498,INDIRECT("tblEquipment[Equipment ID]"),INDIRECT("tblEquipment[Production Department]"),"")</f>
        <v/>
      </c>
      <c r="D498">
        <f t="array" ref="D498">_xlfn.XLOOKUP(C498,INDIRECT("tblEquipment[Equipment ID]"),INDIRECT("tblEquipment[Equipment Name]"),"")</f>
        <v/>
      </c>
      <c r="F498" s="16" t="n"/>
      <c r="G498" s="16" t="n"/>
      <c r="H498" s="1">
        <f>IF(OR(F498=0,G498=0),"",(G498-F498)*24)</f>
        <v/>
      </c>
      <c r="I498" s="10" t="n"/>
      <c r="J498" s="1">
        <f>IF(OR(tblDowntime[[#This Row],[Failure Type]]="Sawshop",tblDowntime[[#This Row],[Failure Type]]="Electrical",tblDowntime[[#This Row],[Failure Type]]="Mechanical"),tblDowntime[[#This Row],[Downtime Hours]],"")</f>
        <v/>
      </c>
      <c r="K498" s="10" t="n"/>
      <c r="L498" s="10" t="n"/>
      <c r="M498">
        <f>IF(tblDowntime[[#This Row],[Maintenance Downtime Hours]]="","",tblDowntime[[#This Row],[Equipment ID]])</f>
        <v/>
      </c>
      <c r="N498" s="1">
        <f>IF(tblDowntime[[#This Row],[Failure Type]]="Production",tblDowntime[[#This Row],[Downtime Hours]],"")</f>
        <v/>
      </c>
      <c r="O498">
        <f>IF(tblDowntime[[#This Row],[Production Downtime Hours]]="","",tblDowntime[[#This Row],[Equipment ID]])</f>
        <v/>
      </c>
      <c r="P498" s="10" t="n"/>
    </row>
    <row r="499">
      <c r="B499">
        <f t="array" ref="B499">_xlfn.XLOOKUP(C499,INDIRECT("tblEquipment[Equipment ID]"),INDIRECT("tblEquipment[Production Department]"),"")</f>
        <v/>
      </c>
      <c r="D499">
        <f t="array" ref="D499">_xlfn.XLOOKUP(C499,INDIRECT("tblEquipment[Equipment ID]"),INDIRECT("tblEquipment[Equipment Name]"),"")</f>
        <v/>
      </c>
      <c r="F499" s="16" t="n"/>
      <c r="G499" s="16" t="n"/>
      <c r="H499" s="1">
        <f>IF(OR(F499=0,G499=0),"",(G499-F499)*24)</f>
        <v/>
      </c>
      <c r="I499" s="10" t="n"/>
      <c r="J499" s="1">
        <f>IF(OR(tblDowntime[[#This Row],[Failure Type]]="Sawshop",tblDowntime[[#This Row],[Failure Type]]="Electrical",tblDowntime[[#This Row],[Failure Type]]="Mechanical"),tblDowntime[[#This Row],[Downtime Hours]],"")</f>
        <v/>
      </c>
      <c r="K499" s="10" t="n"/>
      <c r="L499" s="10" t="n"/>
      <c r="M499">
        <f>IF(tblDowntime[[#This Row],[Maintenance Downtime Hours]]="","",tblDowntime[[#This Row],[Equipment ID]])</f>
        <v/>
      </c>
      <c r="N499" s="1">
        <f>IF(tblDowntime[[#This Row],[Failure Type]]="Production",tblDowntime[[#This Row],[Downtime Hours]],"")</f>
        <v/>
      </c>
      <c r="O499">
        <f>IF(tblDowntime[[#This Row],[Production Downtime Hours]]="","",tblDowntime[[#This Row],[Equipment ID]])</f>
        <v/>
      </c>
      <c r="P499" s="10" t="n"/>
    </row>
    <row r="500">
      <c r="B500">
        <f t="array" ref="B500">_xlfn.XLOOKUP(C500,INDIRECT("tblEquipment[Equipment ID]"),INDIRECT("tblEquipment[Production Department]"),"")</f>
        <v/>
      </c>
      <c r="D500">
        <f t="array" ref="D500">_xlfn.XLOOKUP(C500,INDIRECT("tblEquipment[Equipment ID]"),INDIRECT("tblEquipment[Equipment Name]"),"")</f>
        <v/>
      </c>
      <c r="F500" s="16" t="n"/>
      <c r="G500" s="16" t="n"/>
      <c r="H500" s="1">
        <f>IF(OR(F500=0,G500=0),"",(G500-F500)*24)</f>
        <v/>
      </c>
      <c r="I500" s="10" t="n"/>
      <c r="J500" s="1">
        <f>IF(OR(tblDowntime[[#This Row],[Failure Type]]="Sawshop",tblDowntime[[#This Row],[Failure Type]]="Electrical",tblDowntime[[#This Row],[Failure Type]]="Mechanical"),tblDowntime[[#This Row],[Downtime Hours]],"")</f>
        <v/>
      </c>
      <c r="K500" s="10" t="n"/>
      <c r="L500" s="10" t="n"/>
      <c r="M500">
        <f>IF(tblDowntime[[#This Row],[Maintenance Downtime Hours]]="","",tblDowntime[[#This Row],[Equipment ID]])</f>
        <v/>
      </c>
      <c r="N500" s="1">
        <f>IF(tblDowntime[[#This Row],[Failure Type]]="Production",tblDowntime[[#This Row],[Downtime Hours]],"")</f>
        <v/>
      </c>
      <c r="O500">
        <f>IF(tblDowntime[[#This Row],[Production Downtime Hours]]="","",tblDowntime[[#This Row],[Equipment ID]])</f>
        <v/>
      </c>
      <c r="P500" s="10" t="n"/>
    </row>
    <row r="501">
      <c r="B501">
        <f t="array" ref="B501">_xlfn.XLOOKUP(C501,INDIRECT("tblEquipment[Equipment ID]"),INDIRECT("tblEquipment[Production Department]"),"")</f>
        <v/>
      </c>
      <c r="D501">
        <f t="array" ref="D501">_xlfn.XLOOKUP(C501,INDIRECT("tblEquipment[Equipment ID]"),INDIRECT("tblEquipment[Equipment Name]"),"")</f>
        <v/>
      </c>
      <c r="F501" s="16" t="n"/>
      <c r="G501" s="16" t="n"/>
      <c r="H501" s="1">
        <f>IF(OR(F501=0,G501=0),"",(G501-F501)*24)</f>
        <v/>
      </c>
      <c r="I501" s="10" t="n"/>
      <c r="J501" s="1">
        <f>IF(OR(tblDowntime[[#This Row],[Failure Type]]="Sawshop",tblDowntime[[#This Row],[Failure Type]]="Electrical",tblDowntime[[#This Row],[Failure Type]]="Mechanical"),tblDowntime[[#This Row],[Downtime Hours]],"")</f>
        <v/>
      </c>
      <c r="K501" s="10" t="n"/>
      <c r="L501" s="10" t="n"/>
      <c r="M501">
        <f>IF(tblDowntime[[#This Row],[Maintenance Downtime Hours]]="","",tblDowntime[[#This Row],[Equipment ID]])</f>
        <v/>
      </c>
      <c r="N501" s="1">
        <f>IF(tblDowntime[[#This Row],[Failure Type]]="Production",tblDowntime[[#This Row],[Downtime Hours]],"")</f>
        <v/>
      </c>
      <c r="O501">
        <f>IF(tblDowntime[[#This Row],[Production Downtime Hours]]="","",tblDowntime[[#This Row],[Equipment ID]])</f>
        <v/>
      </c>
      <c r="P501" s="10" t="n"/>
    </row>
    <row r="502">
      <c r="B502">
        <f t="array" ref="B502">_xlfn.XLOOKUP(C502,INDIRECT("tblEquipment[Equipment ID]"),INDIRECT("tblEquipment[Production Department]"),"")</f>
        <v/>
      </c>
      <c r="D502">
        <f t="array" ref="D502">_xlfn.XLOOKUP(C502,INDIRECT("tblEquipment[Equipment ID]"),INDIRECT("tblEquipment[Equipment Name]"),"")</f>
        <v/>
      </c>
      <c r="F502" s="16" t="n"/>
      <c r="G502" s="16" t="n"/>
      <c r="H502" s="1">
        <f>IF(OR(F502=0,G502=0),"",(G502-F502)*24)</f>
        <v/>
      </c>
      <c r="I502" s="10" t="n"/>
      <c r="J502" s="1">
        <f>IF(OR(tblDowntime[[#This Row],[Failure Type]]="Sawshop",tblDowntime[[#This Row],[Failure Type]]="Electrical",tblDowntime[[#This Row],[Failure Type]]="Mechanical"),tblDowntime[[#This Row],[Downtime Hours]],"")</f>
        <v/>
      </c>
      <c r="K502" s="10" t="n"/>
      <c r="L502" s="10" t="n"/>
      <c r="M502">
        <f>IF(tblDowntime[[#This Row],[Maintenance Downtime Hours]]="","",tblDowntime[[#This Row],[Equipment ID]])</f>
        <v/>
      </c>
      <c r="N502" s="1">
        <f>IF(tblDowntime[[#This Row],[Failure Type]]="Production",tblDowntime[[#This Row],[Downtime Hours]],"")</f>
        <v/>
      </c>
      <c r="O502">
        <f>IF(tblDowntime[[#This Row],[Production Downtime Hours]]="","",tblDowntime[[#This Row],[Equipment ID]])</f>
        <v/>
      </c>
      <c r="P502" s="10" t="n"/>
    </row>
    <row r="503">
      <c r="B503">
        <f t="array" ref="B503">_xlfn.XLOOKUP(C503,INDIRECT("tblEquipment[Equipment ID]"),INDIRECT("tblEquipment[Production Department]"),"")</f>
        <v/>
      </c>
      <c r="D503">
        <f t="array" ref="D503">_xlfn.XLOOKUP(C503,INDIRECT("tblEquipment[Equipment ID]"),INDIRECT("tblEquipment[Equipment Name]"),"")</f>
        <v/>
      </c>
      <c r="F503" s="16" t="n"/>
      <c r="G503" s="16" t="n"/>
      <c r="H503" s="1">
        <f>IF(OR(F503=0,G503=0),"",(G503-F503)*24)</f>
        <v/>
      </c>
      <c r="I503" s="10" t="n"/>
      <c r="J503" s="1">
        <f>IF(OR(tblDowntime[[#This Row],[Failure Type]]="Sawshop",tblDowntime[[#This Row],[Failure Type]]="Electrical",tblDowntime[[#This Row],[Failure Type]]="Mechanical"),tblDowntime[[#This Row],[Downtime Hours]],"")</f>
        <v/>
      </c>
      <c r="K503" s="10" t="n"/>
      <c r="L503" s="10" t="n"/>
      <c r="M503">
        <f>IF(tblDowntime[[#This Row],[Maintenance Downtime Hours]]="","",tblDowntime[[#This Row],[Equipment ID]])</f>
        <v/>
      </c>
      <c r="N503" s="1">
        <f>IF(tblDowntime[[#This Row],[Failure Type]]="Production",tblDowntime[[#This Row],[Downtime Hours]],"")</f>
        <v/>
      </c>
      <c r="O503">
        <f>IF(tblDowntime[[#This Row],[Production Downtime Hours]]="","",tblDowntime[[#This Row],[Equipment ID]])</f>
        <v/>
      </c>
      <c r="P503" s="10" t="n"/>
    </row>
    <row r="504">
      <c r="B504">
        <f t="array" ref="B504">_xlfn.XLOOKUP(C504,INDIRECT("tblEquipment[Equipment ID]"),INDIRECT("tblEquipment[Production Department]"),"")</f>
        <v/>
      </c>
      <c r="D504">
        <f t="array" ref="D504">_xlfn.XLOOKUP(C504,INDIRECT("tblEquipment[Equipment ID]"),INDIRECT("tblEquipment[Equipment Name]"),"")</f>
        <v/>
      </c>
      <c r="F504" s="16" t="n"/>
      <c r="G504" s="16" t="n"/>
      <c r="H504" s="1">
        <f>IF(OR(F504=0,G504=0),"",(G504-F504)*24)</f>
        <v/>
      </c>
      <c r="I504" s="10" t="n"/>
      <c r="J504" s="1">
        <f>IF(OR(tblDowntime[[#This Row],[Failure Type]]="Sawshop",tblDowntime[[#This Row],[Failure Type]]="Electrical",tblDowntime[[#This Row],[Failure Type]]="Mechanical"),tblDowntime[[#This Row],[Downtime Hours]],"")</f>
        <v/>
      </c>
      <c r="K504" s="10" t="n"/>
      <c r="L504" s="10" t="n"/>
      <c r="M504">
        <f>IF(tblDowntime[[#This Row],[Maintenance Downtime Hours]]="","",tblDowntime[[#This Row],[Equipment ID]])</f>
        <v/>
      </c>
      <c r="N504" s="1">
        <f>IF(tblDowntime[[#This Row],[Failure Type]]="Production",tblDowntime[[#This Row],[Downtime Hours]],"")</f>
        <v/>
      </c>
      <c r="O504">
        <f>IF(tblDowntime[[#This Row],[Production Downtime Hours]]="","",tblDowntime[[#This Row],[Equipment ID]])</f>
        <v/>
      </c>
      <c r="P504" s="10" t="n"/>
    </row>
    <row r="505">
      <c r="B505">
        <f t="array" ref="B505">_xlfn.XLOOKUP(C505,INDIRECT("tblEquipment[Equipment ID]"),INDIRECT("tblEquipment[Production Department]"),"")</f>
        <v/>
      </c>
      <c r="D505">
        <f t="array" ref="D505">_xlfn.XLOOKUP(C505,INDIRECT("tblEquipment[Equipment ID]"),INDIRECT("tblEquipment[Equipment Name]"),"")</f>
        <v/>
      </c>
      <c r="F505" s="16" t="n"/>
      <c r="G505" s="16" t="n"/>
      <c r="H505" s="1">
        <f>IF(OR(F505=0,G505=0),"",(G505-F505)*24)</f>
        <v/>
      </c>
      <c r="I505" s="10" t="n"/>
      <c r="J505" s="1">
        <f>IF(OR(tblDowntime[[#This Row],[Failure Type]]="Sawshop",tblDowntime[[#This Row],[Failure Type]]="Electrical",tblDowntime[[#This Row],[Failure Type]]="Mechanical"),tblDowntime[[#This Row],[Downtime Hours]],"")</f>
        <v/>
      </c>
      <c r="K505" s="10" t="n"/>
      <c r="L505" s="10" t="n"/>
      <c r="M505">
        <f>IF(tblDowntime[[#This Row],[Maintenance Downtime Hours]]="","",tblDowntime[[#This Row],[Equipment ID]])</f>
        <v/>
      </c>
      <c r="N505" s="1">
        <f>IF(tblDowntime[[#This Row],[Failure Type]]="Production",tblDowntime[[#This Row],[Downtime Hours]],"")</f>
        <v/>
      </c>
      <c r="O505">
        <f>IF(tblDowntime[[#This Row],[Production Downtime Hours]]="","",tblDowntime[[#This Row],[Equipment ID]])</f>
        <v/>
      </c>
      <c r="P505" s="10" t="n"/>
    </row>
    <row r="506">
      <c r="B506">
        <f t="array" ref="B506">_xlfn.XLOOKUP(C506,INDIRECT("tblEquipment[Equipment ID]"),INDIRECT("tblEquipment[Production Department]"),"")</f>
        <v/>
      </c>
      <c r="D506">
        <f t="array" ref="D506">_xlfn.XLOOKUP(C506,INDIRECT("tblEquipment[Equipment ID]"),INDIRECT("tblEquipment[Equipment Name]"),"")</f>
        <v/>
      </c>
      <c r="F506" s="16" t="n"/>
      <c r="G506" s="16" t="n"/>
      <c r="H506" s="1">
        <f>IF(OR(F506=0,G506=0),"",(G506-F506)*24)</f>
        <v/>
      </c>
      <c r="I506" s="10" t="n"/>
      <c r="J506" s="1">
        <f>IF(OR(tblDowntime[[#This Row],[Failure Type]]="Sawshop",tblDowntime[[#This Row],[Failure Type]]="Electrical",tblDowntime[[#This Row],[Failure Type]]="Mechanical"),tblDowntime[[#This Row],[Downtime Hours]],"")</f>
        <v/>
      </c>
      <c r="K506" s="10" t="n"/>
      <c r="L506" s="10" t="n"/>
      <c r="M506">
        <f>IF(tblDowntime[[#This Row],[Maintenance Downtime Hours]]="","",tblDowntime[[#This Row],[Equipment ID]])</f>
        <v/>
      </c>
      <c r="N506" s="1">
        <f>IF(tblDowntime[[#This Row],[Failure Type]]="Production",tblDowntime[[#This Row],[Downtime Hours]],"")</f>
        <v/>
      </c>
      <c r="O506">
        <f>IF(tblDowntime[[#This Row],[Production Downtime Hours]]="","",tblDowntime[[#This Row],[Equipment ID]])</f>
        <v/>
      </c>
      <c r="P506" s="10" t="n"/>
    </row>
    <row r="507">
      <c r="B507">
        <f t="array" ref="B507">_xlfn.XLOOKUP(C507,INDIRECT("tblEquipment[Equipment ID]"),INDIRECT("tblEquipment[Production Department]"),"")</f>
        <v/>
      </c>
      <c r="D507">
        <f t="array" ref="D507">_xlfn.XLOOKUP(C507,INDIRECT("tblEquipment[Equipment ID]"),INDIRECT("tblEquipment[Equipment Name]"),"")</f>
        <v/>
      </c>
      <c r="F507" s="16" t="n"/>
      <c r="G507" s="16" t="n"/>
      <c r="H507" s="1">
        <f>IF(OR(F507=0,G507=0),"",(G507-F507)*24)</f>
        <v/>
      </c>
      <c r="I507" s="10" t="n"/>
      <c r="J507" s="1">
        <f>IF(OR(tblDowntime[[#This Row],[Failure Type]]="Sawshop",tblDowntime[[#This Row],[Failure Type]]="Electrical",tblDowntime[[#This Row],[Failure Type]]="Mechanical"),tblDowntime[[#This Row],[Downtime Hours]],"")</f>
        <v/>
      </c>
      <c r="K507" s="10" t="n"/>
      <c r="L507" s="10" t="n"/>
      <c r="M507">
        <f>IF(tblDowntime[[#This Row],[Maintenance Downtime Hours]]="","",tblDowntime[[#This Row],[Equipment ID]])</f>
        <v/>
      </c>
      <c r="N507" s="1">
        <f>IF(tblDowntime[[#This Row],[Failure Type]]="Production",tblDowntime[[#This Row],[Downtime Hours]],"")</f>
        <v/>
      </c>
      <c r="O507">
        <f>IF(tblDowntime[[#This Row],[Production Downtime Hours]]="","",tblDowntime[[#This Row],[Equipment ID]])</f>
        <v/>
      </c>
      <c r="P507" s="10" t="n"/>
    </row>
    <row r="508">
      <c r="B508">
        <f t="array" ref="B508">_xlfn.XLOOKUP(C508,INDIRECT("tblEquipment[Equipment ID]"),INDIRECT("tblEquipment[Production Department]"),"")</f>
        <v/>
      </c>
      <c r="D508">
        <f t="array" ref="D508">_xlfn.XLOOKUP(C508,INDIRECT("tblEquipment[Equipment ID]"),INDIRECT("tblEquipment[Equipment Name]"),"")</f>
        <v/>
      </c>
      <c r="F508" s="16" t="n"/>
      <c r="G508" s="16" t="n"/>
      <c r="H508" s="1">
        <f>IF(OR(F508=0,G508=0),"",(G508-F508)*24)</f>
        <v/>
      </c>
      <c r="I508" s="10" t="n"/>
      <c r="J508" s="1">
        <f>IF(OR(tblDowntime[[#This Row],[Failure Type]]="Sawshop",tblDowntime[[#This Row],[Failure Type]]="Electrical",tblDowntime[[#This Row],[Failure Type]]="Mechanical"),tblDowntime[[#This Row],[Downtime Hours]],"")</f>
        <v/>
      </c>
      <c r="K508" s="10" t="n"/>
      <c r="L508" s="10" t="n"/>
      <c r="M508">
        <f>IF(tblDowntime[[#This Row],[Maintenance Downtime Hours]]="","",tblDowntime[[#This Row],[Equipment ID]])</f>
        <v/>
      </c>
      <c r="N508" s="1">
        <f>IF(tblDowntime[[#This Row],[Failure Type]]="Production",tblDowntime[[#This Row],[Downtime Hours]],"")</f>
        <v/>
      </c>
      <c r="O508">
        <f>IF(tblDowntime[[#This Row],[Production Downtime Hours]]="","",tblDowntime[[#This Row],[Equipment ID]])</f>
        <v/>
      </c>
      <c r="P508" s="10" t="n"/>
    </row>
    <row r="509">
      <c r="B509">
        <f t="array" ref="B509">_xlfn.XLOOKUP(C509,INDIRECT("tblEquipment[Equipment ID]"),INDIRECT("tblEquipment[Production Department]"),"")</f>
        <v/>
      </c>
      <c r="D509">
        <f t="array" ref="D509">_xlfn.XLOOKUP(C509,INDIRECT("tblEquipment[Equipment ID]"),INDIRECT("tblEquipment[Equipment Name]"),"")</f>
        <v/>
      </c>
      <c r="F509" s="16" t="n"/>
      <c r="G509" s="16" t="n"/>
      <c r="H509" s="1">
        <f>IF(OR(F509=0,G509=0),"",(G509-F509)*24)</f>
        <v/>
      </c>
      <c r="I509" s="10" t="n"/>
      <c r="J509" s="1">
        <f>IF(OR(tblDowntime[[#This Row],[Failure Type]]="Sawshop",tblDowntime[[#This Row],[Failure Type]]="Electrical",tblDowntime[[#This Row],[Failure Type]]="Mechanical"),tblDowntime[[#This Row],[Downtime Hours]],"")</f>
        <v/>
      </c>
      <c r="K509" s="10" t="n"/>
      <c r="L509" s="10" t="n"/>
      <c r="M509">
        <f>IF(tblDowntime[[#This Row],[Maintenance Downtime Hours]]="","",tblDowntime[[#This Row],[Equipment ID]])</f>
        <v/>
      </c>
      <c r="N509" s="1">
        <f>IF(tblDowntime[[#This Row],[Failure Type]]="Production",tblDowntime[[#This Row],[Downtime Hours]],"")</f>
        <v/>
      </c>
      <c r="O509">
        <f>IF(tblDowntime[[#This Row],[Production Downtime Hours]]="","",tblDowntime[[#This Row],[Equipment ID]])</f>
        <v/>
      </c>
      <c r="P509" s="10" t="n"/>
    </row>
    <row r="510">
      <c r="B510">
        <f t="array" ref="B510">_xlfn.XLOOKUP(C510,INDIRECT("tblEquipment[Equipment ID]"),INDIRECT("tblEquipment[Production Department]"),"")</f>
        <v/>
      </c>
      <c r="D510">
        <f t="array" ref="D510">_xlfn.XLOOKUP(C510,INDIRECT("tblEquipment[Equipment ID]"),INDIRECT("tblEquipment[Equipment Name]"),"")</f>
        <v/>
      </c>
      <c r="F510" s="16" t="n"/>
      <c r="G510" s="16" t="n"/>
      <c r="H510" s="1">
        <f>IF(OR(F510=0,G510=0),"",(G510-F510)*24)</f>
        <v/>
      </c>
      <c r="I510" s="10" t="n"/>
      <c r="J510" s="1">
        <f>IF(OR(tblDowntime[[#This Row],[Failure Type]]="Sawshop",tblDowntime[[#This Row],[Failure Type]]="Electrical",tblDowntime[[#This Row],[Failure Type]]="Mechanical"),tblDowntime[[#This Row],[Downtime Hours]],"")</f>
        <v/>
      </c>
      <c r="K510" s="10" t="n"/>
      <c r="L510" s="10" t="n"/>
      <c r="M510">
        <f>IF(tblDowntime[[#This Row],[Maintenance Downtime Hours]]="","",tblDowntime[[#This Row],[Equipment ID]])</f>
        <v/>
      </c>
      <c r="N510" s="1">
        <f>IF(tblDowntime[[#This Row],[Failure Type]]="Production",tblDowntime[[#This Row],[Downtime Hours]],"")</f>
        <v/>
      </c>
      <c r="O510">
        <f>IF(tblDowntime[[#This Row],[Production Downtime Hours]]="","",tblDowntime[[#This Row],[Equipment ID]])</f>
        <v/>
      </c>
      <c r="P510" s="10" t="n"/>
    </row>
    <row r="511">
      <c r="B511">
        <f t="array" ref="B511">_xlfn.XLOOKUP(C511,INDIRECT("tblEquipment[Equipment ID]"),INDIRECT("tblEquipment[Production Department]"),"")</f>
        <v/>
      </c>
      <c r="D511">
        <f t="array" ref="D511">_xlfn.XLOOKUP(C511,INDIRECT("tblEquipment[Equipment ID]"),INDIRECT("tblEquipment[Equipment Name]"),"")</f>
        <v/>
      </c>
      <c r="F511" s="16" t="n"/>
      <c r="G511" s="16" t="n"/>
      <c r="H511" s="1">
        <f>IF(OR(F511=0,G511=0),"",(G511-F511)*24)</f>
        <v/>
      </c>
      <c r="I511" s="10" t="n"/>
      <c r="J511" s="1">
        <f>IF(OR(tblDowntime[[#This Row],[Failure Type]]="Sawshop",tblDowntime[[#This Row],[Failure Type]]="Electrical",tblDowntime[[#This Row],[Failure Type]]="Mechanical"),tblDowntime[[#This Row],[Downtime Hours]],"")</f>
        <v/>
      </c>
      <c r="K511" s="10" t="n"/>
      <c r="L511" s="10" t="n"/>
      <c r="M511">
        <f>IF(tblDowntime[[#This Row],[Maintenance Downtime Hours]]="","",tblDowntime[[#This Row],[Equipment ID]])</f>
        <v/>
      </c>
      <c r="N511" s="1">
        <f>IF(tblDowntime[[#This Row],[Failure Type]]="Production",tblDowntime[[#This Row],[Downtime Hours]],"")</f>
        <v/>
      </c>
      <c r="O511">
        <f>IF(tblDowntime[[#This Row],[Production Downtime Hours]]="","",tblDowntime[[#This Row],[Equipment ID]])</f>
        <v/>
      </c>
      <c r="P511" s="10" t="n"/>
    </row>
    <row r="512">
      <c r="B512">
        <f t="array" ref="B512">_xlfn.XLOOKUP(C512,INDIRECT("tblEquipment[Equipment ID]"),INDIRECT("tblEquipment[Production Department]"),"")</f>
        <v/>
      </c>
      <c r="D512">
        <f t="array" ref="D512">_xlfn.XLOOKUP(C512,INDIRECT("tblEquipment[Equipment ID]"),INDIRECT("tblEquipment[Equipment Name]"),"")</f>
        <v/>
      </c>
      <c r="F512" s="16" t="n"/>
      <c r="G512" s="16" t="n"/>
      <c r="H512" s="1">
        <f>IF(OR(F512=0,G512=0),"",(G512-F512)*24)</f>
        <v/>
      </c>
      <c r="I512" s="10" t="n"/>
      <c r="J512" s="1">
        <f>IF(OR(tblDowntime[[#This Row],[Failure Type]]="Sawshop",tblDowntime[[#This Row],[Failure Type]]="Electrical",tblDowntime[[#This Row],[Failure Type]]="Mechanical"),tblDowntime[[#This Row],[Downtime Hours]],"")</f>
        <v/>
      </c>
      <c r="K512" s="10" t="n"/>
      <c r="L512" s="10" t="n"/>
      <c r="M512">
        <f>IF(tblDowntime[[#This Row],[Maintenance Downtime Hours]]="","",tblDowntime[[#This Row],[Equipment ID]])</f>
        <v/>
      </c>
      <c r="N512" s="1">
        <f>IF(tblDowntime[[#This Row],[Failure Type]]="Production",tblDowntime[[#This Row],[Downtime Hours]],"")</f>
        <v/>
      </c>
      <c r="O512">
        <f>IF(tblDowntime[[#This Row],[Production Downtime Hours]]="","",tblDowntime[[#This Row],[Equipment ID]])</f>
        <v/>
      </c>
      <c r="P512" s="10" t="n"/>
    </row>
    <row r="513">
      <c r="B513">
        <f t="array" ref="B513">_xlfn.XLOOKUP(C513,INDIRECT("tblEquipment[Equipment ID]"),INDIRECT("tblEquipment[Production Department]"),"")</f>
        <v/>
      </c>
      <c r="D513">
        <f t="array" ref="D513">_xlfn.XLOOKUP(C513,INDIRECT("tblEquipment[Equipment ID]"),INDIRECT("tblEquipment[Equipment Name]"),"")</f>
        <v/>
      </c>
      <c r="F513" s="16" t="n"/>
      <c r="G513" s="16" t="n"/>
      <c r="H513" s="1">
        <f>IF(OR(F513=0,G513=0),"",(G513-F513)*24)</f>
        <v/>
      </c>
      <c r="I513" s="10" t="n"/>
      <c r="J513" s="1">
        <f>IF(OR(tblDowntime[[#This Row],[Failure Type]]="Sawshop",tblDowntime[[#This Row],[Failure Type]]="Electrical",tblDowntime[[#This Row],[Failure Type]]="Mechanical"),tblDowntime[[#This Row],[Downtime Hours]],"")</f>
        <v/>
      </c>
      <c r="K513" s="10" t="n"/>
      <c r="L513" s="10" t="n"/>
      <c r="M513">
        <f>IF(tblDowntime[[#This Row],[Maintenance Downtime Hours]]="","",tblDowntime[[#This Row],[Equipment ID]])</f>
        <v/>
      </c>
      <c r="N513" s="1">
        <f>IF(tblDowntime[[#This Row],[Failure Type]]="Production",tblDowntime[[#This Row],[Downtime Hours]],"")</f>
        <v/>
      </c>
      <c r="O513">
        <f>IF(tblDowntime[[#This Row],[Production Downtime Hours]]="","",tblDowntime[[#This Row],[Equipment ID]])</f>
        <v/>
      </c>
      <c r="P513" s="10" t="n"/>
    </row>
    <row r="514">
      <c r="B514">
        <f t="array" ref="B514">_xlfn.XLOOKUP(C514,INDIRECT("tblEquipment[Equipment ID]"),INDIRECT("tblEquipment[Production Department]"),"")</f>
        <v/>
      </c>
      <c r="D514">
        <f t="array" ref="D514">_xlfn.XLOOKUP(C514,INDIRECT("tblEquipment[Equipment ID]"),INDIRECT("tblEquipment[Equipment Name]"),"")</f>
        <v/>
      </c>
      <c r="F514" s="16" t="n"/>
      <c r="G514" s="16" t="n"/>
      <c r="H514" s="1">
        <f>IF(OR(F514=0,G514=0),"",(G514-F514)*24)</f>
        <v/>
      </c>
      <c r="I514" s="10" t="n"/>
      <c r="J514" s="1">
        <f>IF(OR(tblDowntime[[#This Row],[Failure Type]]="Sawshop",tblDowntime[[#This Row],[Failure Type]]="Electrical",tblDowntime[[#This Row],[Failure Type]]="Mechanical"),tblDowntime[[#This Row],[Downtime Hours]],"")</f>
        <v/>
      </c>
      <c r="K514" s="10" t="n"/>
      <c r="L514" s="10" t="n"/>
      <c r="M514">
        <f>IF(tblDowntime[[#This Row],[Maintenance Downtime Hours]]="","",tblDowntime[[#This Row],[Equipment ID]])</f>
        <v/>
      </c>
      <c r="N514" s="1">
        <f>IF(tblDowntime[[#This Row],[Failure Type]]="Production",tblDowntime[[#This Row],[Downtime Hours]],"")</f>
        <v/>
      </c>
      <c r="O514">
        <f>IF(tblDowntime[[#This Row],[Production Downtime Hours]]="","",tblDowntime[[#This Row],[Equipment ID]])</f>
        <v/>
      </c>
      <c r="P514" s="10" t="n"/>
    </row>
    <row r="515">
      <c r="B515">
        <f t="array" ref="B515">_xlfn.XLOOKUP(C515,INDIRECT("tblEquipment[Equipment ID]"),INDIRECT("tblEquipment[Production Department]"),"")</f>
        <v/>
      </c>
      <c r="D515">
        <f t="array" ref="D515">_xlfn.XLOOKUP(C515,INDIRECT("tblEquipment[Equipment ID]"),INDIRECT("tblEquipment[Equipment Name]"),"")</f>
        <v/>
      </c>
      <c r="F515" s="16" t="n"/>
      <c r="G515" s="16" t="n"/>
      <c r="H515" s="1">
        <f>IF(OR(F515=0,G515=0),"",(G515-F515)*24)</f>
        <v/>
      </c>
      <c r="I515" s="10" t="n"/>
      <c r="J515" s="1">
        <f>IF(OR(tblDowntime[[#This Row],[Failure Type]]="Sawshop",tblDowntime[[#This Row],[Failure Type]]="Electrical",tblDowntime[[#This Row],[Failure Type]]="Mechanical"),tblDowntime[[#This Row],[Downtime Hours]],"")</f>
        <v/>
      </c>
      <c r="K515" s="10" t="n"/>
      <c r="L515" s="10" t="n"/>
      <c r="M515">
        <f>IF(tblDowntime[[#This Row],[Maintenance Downtime Hours]]="","",tblDowntime[[#This Row],[Equipment ID]])</f>
        <v/>
      </c>
      <c r="N515" s="1">
        <f>IF(tblDowntime[[#This Row],[Failure Type]]="Production",tblDowntime[[#This Row],[Downtime Hours]],"")</f>
        <v/>
      </c>
      <c r="O515">
        <f>IF(tblDowntime[[#This Row],[Production Downtime Hours]]="","",tblDowntime[[#This Row],[Equipment ID]])</f>
        <v/>
      </c>
      <c r="P515" s="10" t="n"/>
    </row>
    <row r="516">
      <c r="B516">
        <f t="array" ref="B516">_xlfn.XLOOKUP(C516,INDIRECT("tblEquipment[Equipment ID]"),INDIRECT("tblEquipment[Production Department]"),"")</f>
        <v/>
      </c>
      <c r="D516">
        <f t="array" ref="D516">_xlfn.XLOOKUP(C516,INDIRECT("tblEquipment[Equipment ID]"),INDIRECT("tblEquipment[Equipment Name]"),"")</f>
        <v/>
      </c>
      <c r="F516" s="16" t="n"/>
      <c r="G516" s="16" t="n"/>
      <c r="H516" s="1">
        <f>IF(OR(F516=0,G516=0),"",(G516-F516)*24)</f>
        <v/>
      </c>
      <c r="I516" s="10" t="n"/>
      <c r="J516" s="1">
        <f>IF(OR(tblDowntime[[#This Row],[Failure Type]]="Sawshop",tblDowntime[[#This Row],[Failure Type]]="Electrical",tblDowntime[[#This Row],[Failure Type]]="Mechanical"),tblDowntime[[#This Row],[Downtime Hours]],"")</f>
        <v/>
      </c>
      <c r="K516" s="10" t="n"/>
      <c r="L516" s="10" t="n"/>
      <c r="M516">
        <f>IF(tblDowntime[[#This Row],[Maintenance Downtime Hours]]="","",tblDowntime[[#This Row],[Equipment ID]])</f>
        <v/>
      </c>
      <c r="N516" s="1">
        <f>IF(tblDowntime[[#This Row],[Failure Type]]="Production",tblDowntime[[#This Row],[Downtime Hours]],"")</f>
        <v/>
      </c>
      <c r="O516">
        <f>IF(tblDowntime[[#This Row],[Production Downtime Hours]]="","",tblDowntime[[#This Row],[Equipment ID]])</f>
        <v/>
      </c>
      <c r="P516" s="10" t="n"/>
    </row>
    <row r="517">
      <c r="B517">
        <f t="array" ref="B517">_xlfn.XLOOKUP(C517,INDIRECT("tblEquipment[Equipment ID]"),INDIRECT("tblEquipment[Production Department]"),"")</f>
        <v/>
      </c>
      <c r="D517">
        <f t="array" ref="D517">_xlfn.XLOOKUP(C517,INDIRECT("tblEquipment[Equipment ID]"),INDIRECT("tblEquipment[Equipment Name]"),"")</f>
        <v/>
      </c>
      <c r="F517" s="16" t="n"/>
      <c r="G517" s="16" t="n"/>
      <c r="H517" s="1">
        <f>IF(OR(F517=0,G517=0),"",(G517-F517)*24)</f>
        <v/>
      </c>
      <c r="I517" s="10" t="n"/>
      <c r="J517" s="1">
        <f>IF(OR(tblDowntime[[#This Row],[Failure Type]]="Sawshop",tblDowntime[[#This Row],[Failure Type]]="Electrical",tblDowntime[[#This Row],[Failure Type]]="Mechanical"),tblDowntime[[#This Row],[Downtime Hours]],"")</f>
        <v/>
      </c>
      <c r="K517" s="10" t="n"/>
      <c r="L517" s="10" t="n"/>
      <c r="M517">
        <f>IF(tblDowntime[[#This Row],[Maintenance Downtime Hours]]="","",tblDowntime[[#This Row],[Equipment ID]])</f>
        <v/>
      </c>
      <c r="N517" s="1">
        <f>IF(tblDowntime[[#This Row],[Failure Type]]="Production",tblDowntime[[#This Row],[Downtime Hours]],"")</f>
        <v/>
      </c>
      <c r="O517">
        <f>IF(tblDowntime[[#This Row],[Production Downtime Hours]]="","",tblDowntime[[#This Row],[Equipment ID]])</f>
        <v/>
      </c>
      <c r="P517" s="10" t="n"/>
    </row>
    <row r="518">
      <c r="B518">
        <f t="array" ref="B518">_xlfn.XLOOKUP(C518,INDIRECT("tblEquipment[Equipment ID]"),INDIRECT("tblEquipment[Production Department]"),"")</f>
        <v/>
      </c>
      <c r="D518">
        <f t="array" ref="D518">_xlfn.XLOOKUP(C518,INDIRECT("tblEquipment[Equipment ID]"),INDIRECT("tblEquipment[Equipment Name]"),"")</f>
        <v/>
      </c>
      <c r="F518" s="16" t="n"/>
      <c r="G518" s="16" t="n"/>
      <c r="H518" s="1">
        <f>IF(OR(F518=0,G518=0),"",(G518-F518)*24)</f>
        <v/>
      </c>
      <c r="I518" s="10" t="n"/>
      <c r="J518" s="1">
        <f>IF(OR(tblDowntime[[#This Row],[Failure Type]]="Sawshop",tblDowntime[[#This Row],[Failure Type]]="Electrical",tblDowntime[[#This Row],[Failure Type]]="Mechanical"),tblDowntime[[#This Row],[Downtime Hours]],"")</f>
        <v/>
      </c>
      <c r="K518" s="10" t="n"/>
      <c r="L518" s="10" t="n"/>
      <c r="M518">
        <f>IF(tblDowntime[[#This Row],[Maintenance Downtime Hours]]="","",tblDowntime[[#This Row],[Equipment ID]])</f>
        <v/>
      </c>
      <c r="N518" s="1">
        <f>IF(tblDowntime[[#This Row],[Failure Type]]="Production",tblDowntime[[#This Row],[Downtime Hours]],"")</f>
        <v/>
      </c>
      <c r="O518">
        <f>IF(tblDowntime[[#This Row],[Production Downtime Hours]]="","",tblDowntime[[#This Row],[Equipment ID]])</f>
        <v/>
      </c>
      <c r="P518" s="10" t="n"/>
    </row>
    <row r="519">
      <c r="B519">
        <f t="array" ref="B519">_xlfn.XLOOKUP(C519,INDIRECT("tblEquipment[Equipment ID]"),INDIRECT("tblEquipment[Production Department]"),"")</f>
        <v/>
      </c>
      <c r="D519">
        <f t="array" ref="D519">_xlfn.XLOOKUP(C519,INDIRECT("tblEquipment[Equipment ID]"),INDIRECT("tblEquipment[Equipment Name]"),"")</f>
        <v/>
      </c>
      <c r="F519" s="16" t="n"/>
      <c r="G519" s="16" t="n"/>
      <c r="H519" s="1">
        <f>IF(OR(F519=0,G519=0),"",(G519-F519)*24)</f>
        <v/>
      </c>
      <c r="I519" s="10" t="n"/>
      <c r="J519" s="1">
        <f>IF(OR(tblDowntime[[#This Row],[Failure Type]]="Sawshop",tblDowntime[[#This Row],[Failure Type]]="Electrical",tblDowntime[[#This Row],[Failure Type]]="Mechanical"),tblDowntime[[#This Row],[Downtime Hours]],"")</f>
        <v/>
      </c>
      <c r="K519" s="10" t="n"/>
      <c r="L519" s="10" t="n"/>
      <c r="M519">
        <f>IF(tblDowntime[[#This Row],[Maintenance Downtime Hours]]="","",tblDowntime[[#This Row],[Equipment ID]])</f>
        <v/>
      </c>
      <c r="N519" s="1">
        <f>IF(tblDowntime[[#This Row],[Failure Type]]="Production",tblDowntime[[#This Row],[Downtime Hours]],"")</f>
        <v/>
      </c>
      <c r="O519">
        <f>IF(tblDowntime[[#This Row],[Production Downtime Hours]]="","",tblDowntime[[#This Row],[Equipment ID]])</f>
        <v/>
      </c>
      <c r="P519" s="10" t="n"/>
    </row>
    <row r="520">
      <c r="B520">
        <f t="array" ref="B520">_xlfn.XLOOKUP(C520,INDIRECT("tblEquipment[Equipment ID]"),INDIRECT("tblEquipment[Production Department]"),"")</f>
        <v/>
      </c>
      <c r="D520">
        <f t="array" ref="D520">_xlfn.XLOOKUP(C520,INDIRECT("tblEquipment[Equipment ID]"),INDIRECT("tblEquipment[Equipment Name]"),"")</f>
        <v/>
      </c>
      <c r="F520" s="16" t="n"/>
      <c r="G520" s="16" t="n"/>
      <c r="H520" s="1">
        <f>IF(OR(F520=0,G520=0),"",(G520-F520)*24)</f>
        <v/>
      </c>
      <c r="I520" s="10" t="n"/>
      <c r="J520" s="1">
        <f>IF(OR(tblDowntime[[#This Row],[Failure Type]]="Sawshop",tblDowntime[[#This Row],[Failure Type]]="Electrical",tblDowntime[[#This Row],[Failure Type]]="Mechanical"),tblDowntime[[#This Row],[Downtime Hours]],"")</f>
        <v/>
      </c>
      <c r="K520" s="10" t="n"/>
      <c r="L520" s="10" t="n"/>
      <c r="M520">
        <f>IF(tblDowntime[[#This Row],[Maintenance Downtime Hours]]="","",tblDowntime[[#This Row],[Equipment ID]])</f>
        <v/>
      </c>
      <c r="N520" s="1">
        <f>IF(tblDowntime[[#This Row],[Failure Type]]="Production",tblDowntime[[#This Row],[Downtime Hours]],"")</f>
        <v/>
      </c>
      <c r="O520">
        <f>IF(tblDowntime[[#This Row],[Production Downtime Hours]]="","",tblDowntime[[#This Row],[Equipment ID]])</f>
        <v/>
      </c>
      <c r="P520" s="10" t="n"/>
    </row>
    <row r="521">
      <c r="B521">
        <f t="array" ref="B521">_xlfn.XLOOKUP(C521,INDIRECT("tblEquipment[Equipment ID]"),INDIRECT("tblEquipment[Production Department]"),"")</f>
        <v/>
      </c>
      <c r="D521">
        <f t="array" ref="D521">_xlfn.XLOOKUP(C521,INDIRECT("tblEquipment[Equipment ID]"),INDIRECT("tblEquipment[Equipment Name]"),"")</f>
        <v/>
      </c>
      <c r="F521" s="16" t="n"/>
      <c r="G521" s="16" t="n"/>
      <c r="H521" s="1">
        <f>IF(OR(F521=0,G521=0),"",(G521-F521)*24)</f>
        <v/>
      </c>
      <c r="I521" s="10" t="n"/>
      <c r="J521" s="1">
        <f>IF(OR(tblDowntime[[#This Row],[Failure Type]]="Sawshop",tblDowntime[[#This Row],[Failure Type]]="Electrical",tblDowntime[[#This Row],[Failure Type]]="Mechanical"),tblDowntime[[#This Row],[Downtime Hours]],"")</f>
        <v/>
      </c>
      <c r="K521" s="10" t="n"/>
      <c r="L521" s="10" t="n"/>
      <c r="M521">
        <f>IF(tblDowntime[[#This Row],[Maintenance Downtime Hours]]="","",tblDowntime[[#This Row],[Equipment ID]])</f>
        <v/>
      </c>
      <c r="N521" s="1">
        <f>IF(tblDowntime[[#This Row],[Failure Type]]="Production",tblDowntime[[#This Row],[Downtime Hours]],"")</f>
        <v/>
      </c>
      <c r="O521">
        <f>IF(tblDowntime[[#This Row],[Production Downtime Hours]]="","",tblDowntime[[#This Row],[Equipment ID]])</f>
        <v/>
      </c>
      <c r="P521" s="10" t="n"/>
    </row>
    <row r="522">
      <c r="B522">
        <f t="array" ref="B522">_xlfn.XLOOKUP(C522,INDIRECT("tblEquipment[Equipment ID]"),INDIRECT("tblEquipment[Production Department]"),"")</f>
        <v/>
      </c>
      <c r="D522">
        <f t="array" ref="D522">_xlfn.XLOOKUP(C522,INDIRECT("tblEquipment[Equipment ID]"),INDIRECT("tblEquipment[Equipment Name]"),"")</f>
        <v/>
      </c>
      <c r="F522" s="16" t="n"/>
      <c r="G522" s="16" t="n"/>
      <c r="H522" s="1">
        <f>IF(OR(F522=0,G522=0),"",(G522-F522)*24)</f>
        <v/>
      </c>
      <c r="I522" s="10" t="n"/>
      <c r="J522" s="1">
        <f>IF(OR(tblDowntime[[#This Row],[Failure Type]]="Sawshop",tblDowntime[[#This Row],[Failure Type]]="Electrical",tblDowntime[[#This Row],[Failure Type]]="Mechanical"),tblDowntime[[#This Row],[Downtime Hours]],"")</f>
        <v/>
      </c>
      <c r="K522" s="10" t="n"/>
      <c r="L522" s="10" t="n"/>
      <c r="M522">
        <f>IF(tblDowntime[[#This Row],[Maintenance Downtime Hours]]="","",tblDowntime[[#This Row],[Equipment ID]])</f>
        <v/>
      </c>
      <c r="N522" s="1">
        <f>IF(tblDowntime[[#This Row],[Failure Type]]="Production",tblDowntime[[#This Row],[Downtime Hours]],"")</f>
        <v/>
      </c>
      <c r="O522">
        <f>IF(tblDowntime[[#This Row],[Production Downtime Hours]]="","",tblDowntime[[#This Row],[Equipment ID]])</f>
        <v/>
      </c>
      <c r="P522" s="10" t="n"/>
    </row>
    <row r="523">
      <c r="B523">
        <f t="array" ref="B523">_xlfn.XLOOKUP(C523,INDIRECT("tblEquipment[Equipment ID]"),INDIRECT("tblEquipment[Production Department]"),"")</f>
        <v/>
      </c>
      <c r="D523">
        <f t="array" ref="D523">_xlfn.XLOOKUP(C523,INDIRECT("tblEquipment[Equipment ID]"),INDIRECT("tblEquipment[Equipment Name]"),"")</f>
        <v/>
      </c>
      <c r="F523" s="16" t="n"/>
      <c r="G523" s="16" t="n"/>
      <c r="H523" s="1">
        <f>IF(OR(F523=0,G523=0),"",(G523-F523)*24)</f>
        <v/>
      </c>
      <c r="I523" s="10" t="n"/>
      <c r="J523" s="1">
        <f>IF(OR(tblDowntime[[#This Row],[Failure Type]]="Sawshop",tblDowntime[[#This Row],[Failure Type]]="Electrical",tblDowntime[[#This Row],[Failure Type]]="Mechanical"),tblDowntime[[#This Row],[Downtime Hours]],"")</f>
        <v/>
      </c>
      <c r="K523" s="10" t="n"/>
      <c r="L523" s="10" t="n"/>
      <c r="M523">
        <f>IF(tblDowntime[[#This Row],[Maintenance Downtime Hours]]="","",tblDowntime[[#This Row],[Equipment ID]])</f>
        <v/>
      </c>
      <c r="N523" s="1">
        <f>IF(tblDowntime[[#This Row],[Failure Type]]="Production",tblDowntime[[#This Row],[Downtime Hours]],"")</f>
        <v/>
      </c>
      <c r="O523">
        <f>IF(tblDowntime[[#This Row],[Production Downtime Hours]]="","",tblDowntime[[#This Row],[Equipment ID]])</f>
        <v/>
      </c>
      <c r="P523" s="10" t="n"/>
    </row>
    <row r="524">
      <c r="B524">
        <f t="array" ref="B524">_xlfn.XLOOKUP(C524,INDIRECT("tblEquipment[Equipment ID]"),INDIRECT("tblEquipment[Production Department]"),"")</f>
        <v/>
      </c>
      <c r="D524">
        <f t="array" ref="D524">_xlfn.XLOOKUP(C524,INDIRECT("tblEquipment[Equipment ID]"),INDIRECT("tblEquipment[Equipment Name]"),"")</f>
        <v/>
      </c>
      <c r="F524" s="16" t="n"/>
      <c r="G524" s="16" t="n"/>
      <c r="H524" s="1">
        <f>IF(OR(F524=0,G524=0),"",(G524-F524)*24)</f>
        <v/>
      </c>
      <c r="I524" s="10" t="n"/>
      <c r="J524" s="1">
        <f>IF(OR(tblDowntime[[#This Row],[Failure Type]]="Sawshop",tblDowntime[[#This Row],[Failure Type]]="Electrical",tblDowntime[[#This Row],[Failure Type]]="Mechanical"),tblDowntime[[#This Row],[Downtime Hours]],"")</f>
        <v/>
      </c>
      <c r="K524" s="10" t="n"/>
      <c r="L524" s="10" t="n"/>
      <c r="M524">
        <f>IF(tblDowntime[[#This Row],[Maintenance Downtime Hours]]="","",tblDowntime[[#This Row],[Equipment ID]])</f>
        <v/>
      </c>
      <c r="N524" s="1">
        <f>IF(tblDowntime[[#This Row],[Failure Type]]="Production",tblDowntime[[#This Row],[Downtime Hours]],"")</f>
        <v/>
      </c>
      <c r="O524">
        <f>IF(tblDowntime[[#This Row],[Production Downtime Hours]]="","",tblDowntime[[#This Row],[Equipment ID]])</f>
        <v/>
      </c>
      <c r="P524" s="10" t="n"/>
    </row>
    <row r="525">
      <c r="B525">
        <f t="array" ref="B525">_xlfn.XLOOKUP(C525,INDIRECT("tblEquipment[Equipment ID]"),INDIRECT("tblEquipment[Production Department]"),"")</f>
        <v/>
      </c>
      <c r="D525">
        <f t="array" ref="D525">_xlfn.XLOOKUP(C525,INDIRECT("tblEquipment[Equipment ID]"),INDIRECT("tblEquipment[Equipment Name]"),"")</f>
        <v/>
      </c>
      <c r="F525" s="16" t="n"/>
      <c r="G525" s="16" t="n"/>
      <c r="H525" s="1">
        <f>IF(OR(F525=0,G525=0),"",(G525-F525)*24)</f>
        <v/>
      </c>
      <c r="I525" s="10" t="n"/>
      <c r="J525" s="1">
        <f>IF(OR(tblDowntime[[#This Row],[Failure Type]]="Sawshop",tblDowntime[[#This Row],[Failure Type]]="Electrical",tblDowntime[[#This Row],[Failure Type]]="Mechanical"),tblDowntime[[#This Row],[Downtime Hours]],"")</f>
        <v/>
      </c>
      <c r="K525" s="10" t="n"/>
      <c r="L525" s="10" t="n"/>
      <c r="M525">
        <f>IF(tblDowntime[[#This Row],[Maintenance Downtime Hours]]="","",tblDowntime[[#This Row],[Equipment ID]])</f>
        <v/>
      </c>
      <c r="N525" s="1">
        <f>IF(tblDowntime[[#This Row],[Failure Type]]="Production",tblDowntime[[#This Row],[Downtime Hours]],"")</f>
        <v/>
      </c>
      <c r="O525">
        <f>IF(tblDowntime[[#This Row],[Production Downtime Hours]]="","",tblDowntime[[#This Row],[Equipment ID]])</f>
        <v/>
      </c>
      <c r="P525" s="10" t="n"/>
    </row>
    <row r="526">
      <c r="B526">
        <f t="array" ref="B526">_xlfn.XLOOKUP(C526,INDIRECT("tblEquipment[Equipment ID]"),INDIRECT("tblEquipment[Production Department]"),"")</f>
        <v/>
      </c>
      <c r="D526">
        <f t="array" ref="D526">_xlfn.XLOOKUP(C526,INDIRECT("tblEquipment[Equipment ID]"),INDIRECT("tblEquipment[Equipment Name]"),"")</f>
        <v/>
      </c>
      <c r="F526" s="16" t="n"/>
      <c r="G526" s="16" t="n"/>
      <c r="H526" s="1">
        <f>IF(OR(F526=0,G526=0),"",(G526-F526)*24)</f>
        <v/>
      </c>
      <c r="I526" s="10" t="n"/>
      <c r="J526" s="1">
        <f>IF(OR(tblDowntime[[#This Row],[Failure Type]]="Sawshop",tblDowntime[[#This Row],[Failure Type]]="Electrical",tblDowntime[[#This Row],[Failure Type]]="Mechanical"),tblDowntime[[#This Row],[Downtime Hours]],"")</f>
        <v/>
      </c>
      <c r="K526" s="10" t="n"/>
      <c r="L526" s="10" t="n"/>
      <c r="M526">
        <f>IF(tblDowntime[[#This Row],[Maintenance Downtime Hours]]="","",tblDowntime[[#This Row],[Equipment ID]])</f>
        <v/>
      </c>
      <c r="N526" s="1">
        <f>IF(tblDowntime[[#This Row],[Failure Type]]="Production",tblDowntime[[#This Row],[Downtime Hours]],"")</f>
        <v/>
      </c>
      <c r="O526">
        <f>IF(tblDowntime[[#This Row],[Production Downtime Hours]]="","",tblDowntime[[#This Row],[Equipment ID]])</f>
        <v/>
      </c>
      <c r="P526" s="10" t="n"/>
    </row>
    <row r="527">
      <c r="B527">
        <f t="array" ref="B527">_xlfn.XLOOKUP(C527,INDIRECT("tblEquipment[Equipment ID]"),INDIRECT("tblEquipment[Production Department]"),"")</f>
        <v/>
      </c>
      <c r="D527">
        <f t="array" ref="D527">_xlfn.XLOOKUP(C527,INDIRECT("tblEquipment[Equipment ID]"),INDIRECT("tblEquipment[Equipment Name]"),"")</f>
        <v/>
      </c>
      <c r="F527" s="16" t="n"/>
      <c r="G527" s="16" t="n"/>
      <c r="H527" s="1">
        <f>IF(OR(F527=0,G527=0),"",(G527-F527)*24)</f>
        <v/>
      </c>
      <c r="I527" s="10" t="n"/>
      <c r="J527" s="1">
        <f>IF(OR(tblDowntime[[#This Row],[Failure Type]]="Sawshop",tblDowntime[[#This Row],[Failure Type]]="Electrical",tblDowntime[[#This Row],[Failure Type]]="Mechanical"),tblDowntime[[#This Row],[Downtime Hours]],"")</f>
        <v/>
      </c>
      <c r="K527" s="10" t="n"/>
      <c r="L527" s="10" t="n"/>
      <c r="M527">
        <f>IF(tblDowntime[[#This Row],[Maintenance Downtime Hours]]="","",tblDowntime[[#This Row],[Equipment ID]])</f>
        <v/>
      </c>
      <c r="N527" s="1">
        <f>IF(tblDowntime[[#This Row],[Failure Type]]="Production",tblDowntime[[#This Row],[Downtime Hours]],"")</f>
        <v/>
      </c>
      <c r="O527">
        <f>IF(tblDowntime[[#This Row],[Production Downtime Hours]]="","",tblDowntime[[#This Row],[Equipment ID]])</f>
        <v/>
      </c>
      <c r="P527" s="10" t="n"/>
    </row>
    <row r="528">
      <c r="B528">
        <f t="array" ref="B528">_xlfn.XLOOKUP(C528,INDIRECT("tblEquipment[Equipment ID]"),INDIRECT("tblEquipment[Production Department]"),"")</f>
        <v/>
      </c>
      <c r="D528">
        <f t="array" ref="D528">_xlfn.XLOOKUP(C528,INDIRECT("tblEquipment[Equipment ID]"),INDIRECT("tblEquipment[Equipment Name]"),"")</f>
        <v/>
      </c>
      <c r="F528" s="16" t="n"/>
      <c r="G528" s="16" t="n"/>
      <c r="H528" s="1">
        <f>IF(OR(F528=0,G528=0),"",(G528-F528)*24)</f>
        <v/>
      </c>
      <c r="I528" s="10" t="n"/>
      <c r="J528" s="1">
        <f>IF(OR(tblDowntime[[#This Row],[Failure Type]]="Sawshop",tblDowntime[[#This Row],[Failure Type]]="Electrical",tblDowntime[[#This Row],[Failure Type]]="Mechanical"),tblDowntime[[#This Row],[Downtime Hours]],"")</f>
        <v/>
      </c>
      <c r="K528" s="10" t="n"/>
      <c r="L528" s="10" t="n"/>
      <c r="M528">
        <f>IF(tblDowntime[[#This Row],[Maintenance Downtime Hours]]="","",tblDowntime[[#This Row],[Equipment ID]])</f>
        <v/>
      </c>
      <c r="N528" s="1">
        <f>IF(tblDowntime[[#This Row],[Failure Type]]="Production",tblDowntime[[#This Row],[Downtime Hours]],"")</f>
        <v/>
      </c>
      <c r="O528">
        <f>IF(tblDowntime[[#This Row],[Production Downtime Hours]]="","",tblDowntime[[#This Row],[Equipment ID]])</f>
        <v/>
      </c>
      <c r="P528" s="10" t="n"/>
    </row>
    <row r="529">
      <c r="B529">
        <f t="array" ref="B529">_xlfn.XLOOKUP(C529,INDIRECT("tblEquipment[Equipment ID]"),INDIRECT("tblEquipment[Production Department]"),"")</f>
        <v/>
      </c>
      <c r="D529">
        <f t="array" ref="D529">_xlfn.XLOOKUP(C529,INDIRECT("tblEquipment[Equipment ID]"),INDIRECT("tblEquipment[Equipment Name]"),"")</f>
        <v/>
      </c>
      <c r="F529" s="16" t="n"/>
      <c r="G529" s="16" t="n"/>
      <c r="H529" s="1">
        <f>IF(OR(F529=0,G529=0),"",(G529-F529)*24)</f>
        <v/>
      </c>
      <c r="I529" s="10" t="n"/>
      <c r="J529" s="1">
        <f>IF(OR(tblDowntime[[#This Row],[Failure Type]]="Sawshop",tblDowntime[[#This Row],[Failure Type]]="Electrical",tblDowntime[[#This Row],[Failure Type]]="Mechanical"),tblDowntime[[#This Row],[Downtime Hours]],"")</f>
        <v/>
      </c>
      <c r="K529" s="10" t="n"/>
      <c r="L529" s="10" t="n"/>
      <c r="M529">
        <f>IF(tblDowntime[[#This Row],[Maintenance Downtime Hours]]="","",tblDowntime[[#This Row],[Equipment ID]])</f>
        <v/>
      </c>
      <c r="N529" s="1">
        <f>IF(tblDowntime[[#This Row],[Failure Type]]="Production",tblDowntime[[#This Row],[Downtime Hours]],"")</f>
        <v/>
      </c>
      <c r="O529">
        <f>IF(tblDowntime[[#This Row],[Production Downtime Hours]]="","",tblDowntime[[#This Row],[Equipment ID]])</f>
        <v/>
      </c>
      <c r="P529" s="10" t="n"/>
    </row>
    <row r="530">
      <c r="B530">
        <f t="array" ref="B530">_xlfn.XLOOKUP(C530,INDIRECT("tblEquipment[Equipment ID]"),INDIRECT("tblEquipment[Production Department]"),"")</f>
        <v/>
      </c>
      <c r="D530">
        <f t="array" ref="D530">_xlfn.XLOOKUP(C530,INDIRECT("tblEquipment[Equipment ID]"),INDIRECT("tblEquipment[Equipment Name]"),"")</f>
        <v/>
      </c>
      <c r="F530" s="16" t="n"/>
      <c r="G530" s="16" t="n"/>
      <c r="H530" s="1">
        <f>IF(OR(F530=0,G530=0),"",(G530-F530)*24)</f>
        <v/>
      </c>
      <c r="I530" s="10" t="n"/>
      <c r="J530" s="1">
        <f>IF(OR(tblDowntime[[#This Row],[Failure Type]]="Sawshop",tblDowntime[[#This Row],[Failure Type]]="Electrical",tblDowntime[[#This Row],[Failure Type]]="Mechanical"),tblDowntime[[#This Row],[Downtime Hours]],"")</f>
        <v/>
      </c>
      <c r="K530" s="10" t="n"/>
      <c r="L530" s="10" t="n"/>
      <c r="M530">
        <f>IF(tblDowntime[[#This Row],[Maintenance Downtime Hours]]="","",tblDowntime[[#This Row],[Equipment ID]])</f>
        <v/>
      </c>
      <c r="N530" s="1">
        <f>IF(tblDowntime[[#This Row],[Failure Type]]="Production",tblDowntime[[#This Row],[Downtime Hours]],"")</f>
        <v/>
      </c>
      <c r="O530">
        <f>IF(tblDowntime[[#This Row],[Production Downtime Hours]]="","",tblDowntime[[#This Row],[Equipment ID]])</f>
        <v/>
      </c>
      <c r="P530" s="10" t="n"/>
    </row>
    <row r="531">
      <c r="B531">
        <f t="array" ref="B531">_xlfn.XLOOKUP(C531,INDIRECT("tblEquipment[Equipment ID]"),INDIRECT("tblEquipment[Production Department]"),"")</f>
        <v/>
      </c>
      <c r="D531">
        <f t="array" ref="D531">_xlfn.XLOOKUP(C531,INDIRECT("tblEquipment[Equipment ID]"),INDIRECT("tblEquipment[Equipment Name]"),"")</f>
        <v/>
      </c>
      <c r="F531" s="16" t="n"/>
      <c r="G531" s="16" t="n"/>
      <c r="H531" s="1">
        <f>IF(OR(F531=0,G531=0),"",(G531-F531)*24)</f>
        <v/>
      </c>
      <c r="I531" s="10" t="n"/>
      <c r="J531" s="1">
        <f>IF(OR(tblDowntime[[#This Row],[Failure Type]]="Sawshop",tblDowntime[[#This Row],[Failure Type]]="Electrical",tblDowntime[[#This Row],[Failure Type]]="Mechanical"),tblDowntime[[#This Row],[Downtime Hours]],"")</f>
        <v/>
      </c>
      <c r="K531" s="10" t="n"/>
      <c r="L531" s="10" t="n"/>
      <c r="M531">
        <f>IF(tblDowntime[[#This Row],[Maintenance Downtime Hours]]="","",tblDowntime[[#This Row],[Equipment ID]])</f>
        <v/>
      </c>
      <c r="N531" s="1">
        <f>IF(tblDowntime[[#This Row],[Failure Type]]="Production",tblDowntime[[#This Row],[Downtime Hours]],"")</f>
        <v/>
      </c>
      <c r="O531">
        <f>IF(tblDowntime[[#This Row],[Production Downtime Hours]]="","",tblDowntime[[#This Row],[Equipment ID]])</f>
        <v/>
      </c>
      <c r="P531" s="10" t="n"/>
    </row>
    <row r="532">
      <c r="B532">
        <f t="array" ref="B532">_xlfn.XLOOKUP(C532,INDIRECT("tblEquipment[Equipment ID]"),INDIRECT("tblEquipment[Production Department]"),"")</f>
        <v/>
      </c>
      <c r="D532">
        <f t="array" ref="D532">_xlfn.XLOOKUP(C532,INDIRECT("tblEquipment[Equipment ID]"),INDIRECT("tblEquipment[Equipment Name]"),"")</f>
        <v/>
      </c>
      <c r="F532" s="16" t="n"/>
      <c r="G532" s="16" t="n"/>
      <c r="H532" s="1">
        <f>IF(OR(F532=0,G532=0),"",(G532-F532)*24)</f>
        <v/>
      </c>
      <c r="I532" s="10" t="n"/>
      <c r="J532" s="1">
        <f>IF(OR(tblDowntime[[#This Row],[Failure Type]]="Sawshop",tblDowntime[[#This Row],[Failure Type]]="Electrical",tblDowntime[[#This Row],[Failure Type]]="Mechanical"),tblDowntime[[#This Row],[Downtime Hours]],"")</f>
        <v/>
      </c>
      <c r="K532" s="10" t="n"/>
      <c r="L532" s="10" t="n"/>
      <c r="M532">
        <f>IF(tblDowntime[[#This Row],[Maintenance Downtime Hours]]="","",tblDowntime[[#This Row],[Equipment ID]])</f>
        <v/>
      </c>
      <c r="N532" s="1">
        <f>IF(tblDowntime[[#This Row],[Failure Type]]="Production",tblDowntime[[#This Row],[Downtime Hours]],"")</f>
        <v/>
      </c>
      <c r="O532">
        <f>IF(tblDowntime[[#This Row],[Production Downtime Hours]]="","",tblDowntime[[#This Row],[Equipment ID]])</f>
        <v/>
      </c>
      <c r="P532" s="10" t="n"/>
    </row>
    <row r="533">
      <c r="B533">
        <f t="array" ref="B533">_xlfn.XLOOKUP(C533,INDIRECT("tblEquipment[Equipment ID]"),INDIRECT("tblEquipment[Production Department]"),"")</f>
        <v/>
      </c>
      <c r="D533">
        <f t="array" ref="D533">_xlfn.XLOOKUP(C533,INDIRECT("tblEquipment[Equipment ID]"),INDIRECT("tblEquipment[Equipment Name]"),"")</f>
        <v/>
      </c>
      <c r="F533" s="16" t="n"/>
      <c r="G533" s="16" t="n"/>
      <c r="H533" s="1">
        <f>IF(OR(F533=0,G533=0),"",(G533-F533)*24)</f>
        <v/>
      </c>
      <c r="I533" s="10" t="n"/>
      <c r="J533" s="1">
        <f>IF(OR(tblDowntime[[#This Row],[Failure Type]]="Sawshop",tblDowntime[[#This Row],[Failure Type]]="Electrical",tblDowntime[[#This Row],[Failure Type]]="Mechanical"),tblDowntime[[#This Row],[Downtime Hours]],"")</f>
        <v/>
      </c>
      <c r="K533" s="10" t="n"/>
      <c r="L533" s="10" t="n"/>
      <c r="M533">
        <f>IF(tblDowntime[[#This Row],[Maintenance Downtime Hours]]="","",tblDowntime[[#This Row],[Equipment ID]])</f>
        <v/>
      </c>
      <c r="N533" s="1">
        <f>IF(tblDowntime[[#This Row],[Failure Type]]="Production",tblDowntime[[#This Row],[Downtime Hours]],"")</f>
        <v/>
      </c>
      <c r="O533">
        <f>IF(tblDowntime[[#This Row],[Production Downtime Hours]]="","",tblDowntime[[#This Row],[Equipment ID]])</f>
        <v/>
      </c>
      <c r="P533" s="10" t="n"/>
    </row>
    <row r="534">
      <c r="B534">
        <f t="array" ref="B534">_xlfn.XLOOKUP(C534,INDIRECT("tblEquipment[Equipment ID]"),INDIRECT("tblEquipment[Production Department]"),"")</f>
        <v/>
      </c>
      <c r="D534">
        <f t="array" ref="D534">_xlfn.XLOOKUP(C534,INDIRECT("tblEquipment[Equipment ID]"),INDIRECT("tblEquipment[Equipment Name]"),"")</f>
        <v/>
      </c>
      <c r="F534" s="16" t="n"/>
      <c r="G534" s="16" t="n"/>
      <c r="H534" s="1">
        <f>IF(OR(F534=0,G534=0),"",(G534-F534)*24)</f>
        <v/>
      </c>
      <c r="I534" s="10" t="n"/>
      <c r="J534" s="1">
        <f>IF(OR(tblDowntime[[#This Row],[Failure Type]]="Sawshop",tblDowntime[[#This Row],[Failure Type]]="Electrical",tblDowntime[[#This Row],[Failure Type]]="Mechanical"),tblDowntime[[#This Row],[Downtime Hours]],"")</f>
        <v/>
      </c>
      <c r="K534" s="10" t="n"/>
      <c r="L534" s="10" t="n"/>
      <c r="M534">
        <f>IF(tblDowntime[[#This Row],[Maintenance Downtime Hours]]="","",tblDowntime[[#This Row],[Equipment ID]])</f>
        <v/>
      </c>
      <c r="N534" s="1">
        <f>IF(tblDowntime[[#This Row],[Failure Type]]="Production",tblDowntime[[#This Row],[Downtime Hours]],"")</f>
        <v/>
      </c>
      <c r="O534">
        <f>IF(tblDowntime[[#This Row],[Production Downtime Hours]]="","",tblDowntime[[#This Row],[Equipment ID]])</f>
        <v/>
      </c>
      <c r="P534" s="10" t="n"/>
    </row>
    <row r="535">
      <c r="B535">
        <f t="array" ref="B535">_xlfn.XLOOKUP(C535,INDIRECT("tblEquipment[Equipment ID]"),INDIRECT("tblEquipment[Production Department]"),"")</f>
        <v/>
      </c>
      <c r="D535">
        <f t="array" ref="D535">_xlfn.XLOOKUP(C535,INDIRECT("tblEquipment[Equipment ID]"),INDIRECT("tblEquipment[Equipment Name]"),"")</f>
        <v/>
      </c>
      <c r="F535" s="16" t="n"/>
      <c r="G535" s="16" t="n"/>
      <c r="H535" s="1">
        <f>IF(OR(F535=0,G535=0),"",(G535-F535)*24)</f>
        <v/>
      </c>
      <c r="I535" s="10" t="n"/>
      <c r="J535" s="1">
        <f>IF(OR(tblDowntime[[#This Row],[Failure Type]]="Sawshop",tblDowntime[[#This Row],[Failure Type]]="Electrical",tblDowntime[[#This Row],[Failure Type]]="Mechanical"),tblDowntime[[#This Row],[Downtime Hours]],"")</f>
        <v/>
      </c>
      <c r="K535" s="10" t="n"/>
      <c r="L535" s="10" t="n"/>
      <c r="M535">
        <f>IF(tblDowntime[[#This Row],[Maintenance Downtime Hours]]="","",tblDowntime[[#This Row],[Equipment ID]])</f>
        <v/>
      </c>
      <c r="N535" s="1">
        <f>IF(tblDowntime[[#This Row],[Failure Type]]="Production",tblDowntime[[#This Row],[Downtime Hours]],"")</f>
        <v/>
      </c>
      <c r="O535">
        <f>IF(tblDowntime[[#This Row],[Production Downtime Hours]]="","",tblDowntime[[#This Row],[Equipment ID]])</f>
        <v/>
      </c>
      <c r="P535" s="10" t="n"/>
    </row>
    <row r="536">
      <c r="B536">
        <f t="array" ref="B536">_xlfn.XLOOKUP(C536,INDIRECT("tblEquipment[Equipment ID]"),INDIRECT("tblEquipment[Production Department]"),"")</f>
        <v/>
      </c>
      <c r="D536">
        <f t="array" ref="D536">_xlfn.XLOOKUP(C536,INDIRECT("tblEquipment[Equipment ID]"),INDIRECT("tblEquipment[Equipment Name]"),"")</f>
        <v/>
      </c>
      <c r="F536" s="16" t="n"/>
      <c r="G536" s="16" t="n"/>
      <c r="H536" s="1">
        <f>IF(OR(F536=0,G536=0),"",(G536-F536)*24)</f>
        <v/>
      </c>
      <c r="I536" s="10" t="n"/>
      <c r="J536" s="1">
        <f>IF(OR(tblDowntime[[#This Row],[Failure Type]]="Sawshop",tblDowntime[[#This Row],[Failure Type]]="Electrical",tblDowntime[[#This Row],[Failure Type]]="Mechanical"),tblDowntime[[#This Row],[Downtime Hours]],"")</f>
        <v/>
      </c>
      <c r="K536" s="10" t="n"/>
      <c r="L536" s="10" t="n"/>
      <c r="M536">
        <f>IF(tblDowntime[[#This Row],[Maintenance Downtime Hours]]="","",tblDowntime[[#This Row],[Equipment ID]])</f>
        <v/>
      </c>
      <c r="N536" s="1">
        <f>IF(tblDowntime[[#This Row],[Failure Type]]="Production",tblDowntime[[#This Row],[Downtime Hours]],"")</f>
        <v/>
      </c>
      <c r="O536">
        <f>IF(tblDowntime[[#This Row],[Production Downtime Hours]]="","",tblDowntime[[#This Row],[Equipment ID]])</f>
        <v/>
      </c>
      <c r="P536" s="10" t="n"/>
    </row>
    <row r="537">
      <c r="B537">
        <f t="array" ref="B537">_xlfn.XLOOKUP(C537,INDIRECT("tblEquipment[Equipment ID]"),INDIRECT("tblEquipment[Production Department]"),"")</f>
        <v/>
      </c>
      <c r="D537">
        <f t="array" ref="D537">_xlfn.XLOOKUP(C537,INDIRECT("tblEquipment[Equipment ID]"),INDIRECT("tblEquipment[Equipment Name]"),"")</f>
        <v/>
      </c>
      <c r="F537" s="16" t="n"/>
      <c r="G537" s="16" t="n"/>
      <c r="H537" s="1">
        <f>IF(OR(F537=0,G537=0),"",(G537-F537)*24)</f>
        <v/>
      </c>
      <c r="I537" s="10" t="n"/>
      <c r="J537" s="1">
        <f>IF(OR(tblDowntime[[#This Row],[Failure Type]]="Sawshop",tblDowntime[[#This Row],[Failure Type]]="Electrical",tblDowntime[[#This Row],[Failure Type]]="Mechanical"),tblDowntime[[#This Row],[Downtime Hours]],"")</f>
        <v/>
      </c>
      <c r="K537" s="10" t="n"/>
      <c r="L537" s="10" t="n"/>
      <c r="M537">
        <f>IF(tblDowntime[[#This Row],[Maintenance Downtime Hours]]="","",tblDowntime[[#This Row],[Equipment ID]])</f>
        <v/>
      </c>
      <c r="N537" s="1">
        <f>IF(tblDowntime[[#This Row],[Failure Type]]="Production",tblDowntime[[#This Row],[Downtime Hours]],"")</f>
        <v/>
      </c>
      <c r="O537">
        <f>IF(tblDowntime[[#This Row],[Production Downtime Hours]]="","",tblDowntime[[#This Row],[Equipment ID]])</f>
        <v/>
      </c>
      <c r="P537" s="10" t="n"/>
    </row>
    <row r="538">
      <c r="B538">
        <f t="array" ref="B538">_xlfn.XLOOKUP(C538,INDIRECT("tblEquipment[Equipment ID]"),INDIRECT("tblEquipment[Production Department]"),"")</f>
        <v/>
      </c>
      <c r="D538">
        <f t="array" ref="D538">_xlfn.XLOOKUP(C538,INDIRECT("tblEquipment[Equipment ID]"),INDIRECT("tblEquipment[Equipment Name]"),"")</f>
        <v/>
      </c>
      <c r="F538" s="16" t="n"/>
      <c r="G538" s="16" t="n"/>
      <c r="H538" s="1">
        <f>IF(OR(F538=0,G538=0),"",(G538-F538)*24)</f>
        <v/>
      </c>
      <c r="I538" s="10" t="n"/>
      <c r="J538" s="1">
        <f>IF(OR(tblDowntime[[#This Row],[Failure Type]]="Sawshop",tblDowntime[[#This Row],[Failure Type]]="Electrical",tblDowntime[[#This Row],[Failure Type]]="Mechanical"),tblDowntime[[#This Row],[Downtime Hours]],"")</f>
        <v/>
      </c>
      <c r="K538" s="10" t="n"/>
      <c r="L538" s="10" t="n"/>
      <c r="M538">
        <f>IF(tblDowntime[[#This Row],[Maintenance Downtime Hours]]="","",tblDowntime[[#This Row],[Equipment ID]])</f>
        <v/>
      </c>
      <c r="N538" s="1">
        <f>IF(tblDowntime[[#This Row],[Failure Type]]="Production",tblDowntime[[#This Row],[Downtime Hours]],"")</f>
        <v/>
      </c>
      <c r="O538">
        <f>IF(tblDowntime[[#This Row],[Production Downtime Hours]]="","",tblDowntime[[#This Row],[Equipment ID]])</f>
        <v/>
      </c>
      <c r="P538" s="10" t="n"/>
    </row>
    <row r="539">
      <c r="B539">
        <f t="array" ref="B539">_xlfn.XLOOKUP(C539,INDIRECT("tblEquipment[Equipment ID]"),INDIRECT("tblEquipment[Production Department]"),"")</f>
        <v/>
      </c>
      <c r="D539">
        <f t="array" ref="D539">_xlfn.XLOOKUP(C539,INDIRECT("tblEquipment[Equipment ID]"),INDIRECT("tblEquipment[Equipment Name]"),"")</f>
        <v/>
      </c>
      <c r="F539" s="16" t="n"/>
      <c r="G539" s="16" t="n"/>
      <c r="H539" s="1">
        <f>IF(OR(F539=0,G539=0),"",(G539-F539)*24)</f>
        <v/>
      </c>
      <c r="I539" s="10" t="n"/>
      <c r="J539" s="1">
        <f>IF(OR(tblDowntime[[#This Row],[Failure Type]]="Sawshop",tblDowntime[[#This Row],[Failure Type]]="Electrical",tblDowntime[[#This Row],[Failure Type]]="Mechanical"),tblDowntime[[#This Row],[Downtime Hours]],"")</f>
        <v/>
      </c>
      <c r="K539" s="10" t="n"/>
      <c r="L539" s="10" t="n"/>
      <c r="M539">
        <f>IF(tblDowntime[[#This Row],[Maintenance Downtime Hours]]="","",tblDowntime[[#This Row],[Equipment ID]])</f>
        <v/>
      </c>
      <c r="N539" s="1">
        <f>IF(tblDowntime[[#This Row],[Failure Type]]="Production",tblDowntime[[#This Row],[Downtime Hours]],"")</f>
        <v/>
      </c>
      <c r="O539">
        <f>IF(tblDowntime[[#This Row],[Production Downtime Hours]]="","",tblDowntime[[#This Row],[Equipment ID]])</f>
        <v/>
      </c>
      <c r="P539" s="10" t="n"/>
    </row>
    <row r="540">
      <c r="B540">
        <f t="array" ref="B540">_xlfn.XLOOKUP(C540,INDIRECT("tblEquipment[Equipment ID]"),INDIRECT("tblEquipment[Production Department]"),"")</f>
        <v/>
      </c>
      <c r="D540">
        <f t="array" ref="D540">_xlfn.XLOOKUP(C540,INDIRECT("tblEquipment[Equipment ID]"),INDIRECT("tblEquipment[Equipment Name]"),"")</f>
        <v/>
      </c>
      <c r="F540" s="16" t="n"/>
      <c r="G540" s="16" t="n"/>
      <c r="H540" s="1">
        <f>IF(OR(F540=0,G540=0),"",(G540-F540)*24)</f>
        <v/>
      </c>
      <c r="I540" s="10" t="n"/>
      <c r="J540" s="1">
        <f>IF(OR(tblDowntime[[#This Row],[Failure Type]]="Sawshop",tblDowntime[[#This Row],[Failure Type]]="Electrical",tblDowntime[[#This Row],[Failure Type]]="Mechanical"),tblDowntime[[#This Row],[Downtime Hours]],"")</f>
        <v/>
      </c>
      <c r="K540" s="10" t="n"/>
      <c r="L540" s="10" t="n"/>
      <c r="M540">
        <f>IF(tblDowntime[[#This Row],[Maintenance Downtime Hours]]="","",tblDowntime[[#This Row],[Equipment ID]])</f>
        <v/>
      </c>
      <c r="N540" s="1">
        <f>IF(tblDowntime[[#This Row],[Failure Type]]="Production",tblDowntime[[#This Row],[Downtime Hours]],"")</f>
        <v/>
      </c>
      <c r="O540">
        <f>IF(tblDowntime[[#This Row],[Production Downtime Hours]]="","",tblDowntime[[#This Row],[Equipment ID]])</f>
        <v/>
      </c>
      <c r="P540" s="10" t="n"/>
    </row>
    <row r="541">
      <c r="B541">
        <f t="array" ref="B541">_xlfn.XLOOKUP(C541,INDIRECT("tblEquipment[Equipment ID]"),INDIRECT("tblEquipment[Production Department]"),"")</f>
        <v/>
      </c>
      <c r="D541">
        <f t="array" ref="D541">_xlfn.XLOOKUP(C541,INDIRECT("tblEquipment[Equipment ID]"),INDIRECT("tblEquipment[Equipment Name]"),"")</f>
        <v/>
      </c>
      <c r="F541" s="16" t="n"/>
      <c r="G541" s="16" t="n"/>
      <c r="H541" s="1">
        <f>IF(OR(F541=0,G541=0),"",(G541-F541)*24)</f>
        <v/>
      </c>
      <c r="I541" s="10" t="n"/>
      <c r="J541" s="1">
        <f>IF(OR(tblDowntime[[#This Row],[Failure Type]]="Sawshop",tblDowntime[[#This Row],[Failure Type]]="Electrical",tblDowntime[[#This Row],[Failure Type]]="Mechanical"),tblDowntime[[#This Row],[Downtime Hours]],"")</f>
        <v/>
      </c>
      <c r="K541" s="10" t="n"/>
      <c r="L541" s="10" t="n"/>
      <c r="M541">
        <f>IF(tblDowntime[[#This Row],[Maintenance Downtime Hours]]="","",tblDowntime[[#This Row],[Equipment ID]])</f>
        <v/>
      </c>
      <c r="N541" s="1">
        <f>IF(tblDowntime[[#This Row],[Failure Type]]="Production",tblDowntime[[#This Row],[Downtime Hours]],"")</f>
        <v/>
      </c>
      <c r="O541">
        <f>IF(tblDowntime[[#This Row],[Production Downtime Hours]]="","",tblDowntime[[#This Row],[Equipment ID]])</f>
        <v/>
      </c>
      <c r="P541" s="10" t="n"/>
    </row>
    <row r="542">
      <c r="B542">
        <f t="array" ref="B542">_xlfn.XLOOKUP(C542,INDIRECT("tblEquipment[Equipment ID]"),INDIRECT("tblEquipment[Production Department]"),"")</f>
        <v/>
      </c>
      <c r="D542">
        <f t="array" ref="D542">_xlfn.XLOOKUP(C542,INDIRECT("tblEquipment[Equipment ID]"),INDIRECT("tblEquipment[Equipment Name]"),"")</f>
        <v/>
      </c>
      <c r="F542" s="16" t="n"/>
      <c r="G542" s="16" t="n"/>
      <c r="H542" s="1">
        <f>IF(OR(F542=0,G542=0),"",(G542-F542)*24)</f>
        <v/>
      </c>
      <c r="I542" s="10" t="n"/>
      <c r="J542" s="1">
        <f>IF(OR(tblDowntime[[#This Row],[Failure Type]]="Sawshop",tblDowntime[[#This Row],[Failure Type]]="Electrical",tblDowntime[[#This Row],[Failure Type]]="Mechanical"),tblDowntime[[#This Row],[Downtime Hours]],"")</f>
        <v/>
      </c>
      <c r="K542" s="10" t="n"/>
      <c r="L542" s="10" t="n"/>
      <c r="M542">
        <f>IF(tblDowntime[[#This Row],[Maintenance Downtime Hours]]="","",tblDowntime[[#This Row],[Equipment ID]])</f>
        <v/>
      </c>
      <c r="N542" s="1">
        <f>IF(tblDowntime[[#This Row],[Failure Type]]="Production",tblDowntime[[#This Row],[Downtime Hours]],"")</f>
        <v/>
      </c>
      <c r="O542">
        <f>IF(tblDowntime[[#This Row],[Production Downtime Hours]]="","",tblDowntime[[#This Row],[Equipment ID]])</f>
        <v/>
      </c>
      <c r="P542" s="10" t="n"/>
    </row>
    <row r="543">
      <c r="B543">
        <f t="array" ref="B543">_xlfn.XLOOKUP(C543,INDIRECT("tblEquipment[Equipment ID]"),INDIRECT("tblEquipment[Production Department]"),"")</f>
        <v/>
      </c>
      <c r="D543">
        <f t="array" ref="D543">_xlfn.XLOOKUP(C543,INDIRECT("tblEquipment[Equipment ID]"),INDIRECT("tblEquipment[Equipment Name]"),"")</f>
        <v/>
      </c>
      <c r="F543" s="16" t="n"/>
      <c r="G543" s="16" t="n"/>
      <c r="H543" s="1">
        <f>IF(OR(F543=0,G543=0),"",(G543-F543)*24)</f>
        <v/>
      </c>
      <c r="I543" s="10" t="n"/>
      <c r="J543" s="1">
        <f>IF(OR(tblDowntime[[#This Row],[Failure Type]]="Sawshop",tblDowntime[[#This Row],[Failure Type]]="Electrical",tblDowntime[[#This Row],[Failure Type]]="Mechanical"),tblDowntime[[#This Row],[Downtime Hours]],"")</f>
        <v/>
      </c>
      <c r="K543" s="10" t="n"/>
      <c r="L543" s="10" t="n"/>
      <c r="M543">
        <f>IF(tblDowntime[[#This Row],[Maintenance Downtime Hours]]="","",tblDowntime[[#This Row],[Equipment ID]])</f>
        <v/>
      </c>
      <c r="N543" s="1">
        <f>IF(tblDowntime[[#This Row],[Failure Type]]="Production",tblDowntime[[#This Row],[Downtime Hours]],"")</f>
        <v/>
      </c>
      <c r="O543">
        <f>IF(tblDowntime[[#This Row],[Production Downtime Hours]]="","",tblDowntime[[#This Row],[Equipment ID]])</f>
        <v/>
      </c>
      <c r="P543" s="10" t="n"/>
    </row>
    <row r="544">
      <c r="B544">
        <f t="array" ref="B544">_xlfn.XLOOKUP(C544,INDIRECT("tblEquipment[Equipment ID]"),INDIRECT("tblEquipment[Production Department]"),"")</f>
        <v/>
      </c>
      <c r="D544">
        <f t="array" ref="D544">_xlfn.XLOOKUP(C544,INDIRECT("tblEquipment[Equipment ID]"),INDIRECT("tblEquipment[Equipment Name]"),"")</f>
        <v/>
      </c>
      <c r="F544" s="16" t="n"/>
      <c r="G544" s="16" t="n"/>
      <c r="H544" s="1">
        <f>IF(OR(F544=0,G544=0),"",(G544-F544)*24)</f>
        <v/>
      </c>
      <c r="I544" s="10" t="n"/>
      <c r="J544" s="1">
        <f>IF(OR(tblDowntime[[#This Row],[Failure Type]]="Sawshop",tblDowntime[[#This Row],[Failure Type]]="Electrical",tblDowntime[[#This Row],[Failure Type]]="Mechanical"),tblDowntime[[#This Row],[Downtime Hours]],"")</f>
        <v/>
      </c>
      <c r="K544" s="10" t="n"/>
      <c r="L544" s="10" t="n"/>
      <c r="M544">
        <f>IF(tblDowntime[[#This Row],[Maintenance Downtime Hours]]="","",tblDowntime[[#This Row],[Equipment ID]])</f>
        <v/>
      </c>
      <c r="N544" s="1">
        <f>IF(tblDowntime[[#This Row],[Failure Type]]="Production",tblDowntime[[#This Row],[Downtime Hours]],"")</f>
        <v/>
      </c>
      <c r="O544">
        <f>IF(tblDowntime[[#This Row],[Production Downtime Hours]]="","",tblDowntime[[#This Row],[Equipment ID]])</f>
        <v/>
      </c>
      <c r="P544" s="10" t="n"/>
    </row>
    <row r="545">
      <c r="B545">
        <f t="array" ref="B545">_xlfn.XLOOKUP(C545,INDIRECT("tblEquipment[Equipment ID]"),INDIRECT("tblEquipment[Production Department]"),"")</f>
        <v/>
      </c>
      <c r="D545">
        <f t="array" ref="D545">_xlfn.XLOOKUP(C545,INDIRECT("tblEquipment[Equipment ID]"),INDIRECT("tblEquipment[Equipment Name]"),"")</f>
        <v/>
      </c>
      <c r="F545" s="16" t="n"/>
      <c r="G545" s="16" t="n"/>
      <c r="H545" s="1">
        <f>IF(OR(F545=0,G545=0),"",(G545-F545)*24)</f>
        <v/>
      </c>
      <c r="I545" s="10" t="n"/>
      <c r="J545" s="1">
        <f>IF(OR(tblDowntime[[#This Row],[Failure Type]]="Sawshop",tblDowntime[[#This Row],[Failure Type]]="Electrical",tblDowntime[[#This Row],[Failure Type]]="Mechanical"),tblDowntime[[#This Row],[Downtime Hours]],"")</f>
        <v/>
      </c>
      <c r="K545" s="10" t="n"/>
      <c r="L545" s="10" t="n"/>
      <c r="M545">
        <f>IF(tblDowntime[[#This Row],[Maintenance Downtime Hours]]="","",tblDowntime[[#This Row],[Equipment ID]])</f>
        <v/>
      </c>
      <c r="N545" s="1">
        <f>IF(tblDowntime[[#This Row],[Failure Type]]="Production",tblDowntime[[#This Row],[Downtime Hours]],"")</f>
        <v/>
      </c>
      <c r="O545">
        <f>IF(tblDowntime[[#This Row],[Production Downtime Hours]]="","",tblDowntime[[#This Row],[Equipment ID]])</f>
        <v/>
      </c>
      <c r="P545" s="10" t="n"/>
    </row>
    <row r="546">
      <c r="B546">
        <f t="array" ref="B546">_xlfn.XLOOKUP(C546,INDIRECT("tblEquipment[Equipment ID]"),INDIRECT("tblEquipment[Production Department]"),"")</f>
        <v/>
      </c>
      <c r="D546">
        <f t="array" ref="D546">_xlfn.XLOOKUP(C546,INDIRECT("tblEquipment[Equipment ID]"),INDIRECT("tblEquipment[Equipment Name]"),"")</f>
        <v/>
      </c>
      <c r="F546" s="16" t="n"/>
      <c r="G546" s="16" t="n"/>
      <c r="H546" s="1">
        <f>IF(OR(F546=0,G546=0),"",(G546-F546)*24)</f>
        <v/>
      </c>
      <c r="I546" s="10" t="n"/>
      <c r="J546" s="1">
        <f>IF(OR(tblDowntime[[#This Row],[Failure Type]]="Sawshop",tblDowntime[[#This Row],[Failure Type]]="Electrical",tblDowntime[[#This Row],[Failure Type]]="Mechanical"),tblDowntime[[#This Row],[Downtime Hours]],"")</f>
        <v/>
      </c>
      <c r="K546" s="10" t="n"/>
      <c r="L546" s="10" t="n"/>
      <c r="M546">
        <f>IF(tblDowntime[[#This Row],[Maintenance Downtime Hours]]="","",tblDowntime[[#This Row],[Equipment ID]])</f>
        <v/>
      </c>
      <c r="N546" s="1">
        <f>IF(tblDowntime[[#This Row],[Failure Type]]="Production",tblDowntime[[#This Row],[Downtime Hours]],"")</f>
        <v/>
      </c>
      <c r="O546">
        <f>IF(tblDowntime[[#This Row],[Production Downtime Hours]]="","",tblDowntime[[#This Row],[Equipment ID]])</f>
        <v/>
      </c>
      <c r="P546" s="10" t="n"/>
    </row>
    <row r="547">
      <c r="B547">
        <f t="array" ref="B547">_xlfn.XLOOKUP(C547,INDIRECT("tblEquipment[Equipment ID]"),INDIRECT("tblEquipment[Production Department]"),"")</f>
        <v/>
      </c>
      <c r="D547">
        <f t="array" ref="D547">_xlfn.XLOOKUP(C547,INDIRECT("tblEquipment[Equipment ID]"),INDIRECT("tblEquipment[Equipment Name]"),"")</f>
        <v/>
      </c>
      <c r="F547" s="16" t="n"/>
      <c r="G547" s="16" t="n"/>
      <c r="H547" s="1">
        <f>IF(OR(F547=0,G547=0),"",(G547-F547)*24)</f>
        <v/>
      </c>
      <c r="I547" s="10" t="n"/>
      <c r="J547" s="1">
        <f>IF(OR(tblDowntime[[#This Row],[Failure Type]]="Sawshop",tblDowntime[[#This Row],[Failure Type]]="Electrical",tblDowntime[[#This Row],[Failure Type]]="Mechanical"),tblDowntime[[#This Row],[Downtime Hours]],"")</f>
        <v/>
      </c>
      <c r="K547" s="10" t="n"/>
      <c r="L547" s="10" t="n"/>
      <c r="M547">
        <f>IF(tblDowntime[[#This Row],[Maintenance Downtime Hours]]="","",tblDowntime[[#This Row],[Equipment ID]])</f>
        <v/>
      </c>
      <c r="N547" s="1">
        <f>IF(tblDowntime[[#This Row],[Failure Type]]="Production",tblDowntime[[#This Row],[Downtime Hours]],"")</f>
        <v/>
      </c>
      <c r="O547">
        <f>IF(tblDowntime[[#This Row],[Production Downtime Hours]]="","",tblDowntime[[#This Row],[Equipment ID]])</f>
        <v/>
      </c>
      <c r="P547" s="10" t="n"/>
    </row>
    <row r="548">
      <c r="B548">
        <f t="array" ref="B548">_xlfn.XLOOKUP(C548,INDIRECT("tblEquipment[Equipment ID]"),INDIRECT("tblEquipment[Production Department]"),"")</f>
        <v/>
      </c>
      <c r="D548">
        <f t="array" ref="D548">_xlfn.XLOOKUP(C548,INDIRECT("tblEquipment[Equipment ID]"),INDIRECT("tblEquipment[Equipment Name]"),"")</f>
        <v/>
      </c>
      <c r="F548" s="16" t="n"/>
      <c r="G548" s="16" t="n"/>
      <c r="H548" s="1">
        <f>IF(OR(F548=0,G548=0),"",(G548-F548)*24)</f>
        <v/>
      </c>
      <c r="I548" s="10" t="n"/>
      <c r="J548" s="1">
        <f>IF(OR(tblDowntime[[#This Row],[Failure Type]]="Sawshop",tblDowntime[[#This Row],[Failure Type]]="Electrical",tblDowntime[[#This Row],[Failure Type]]="Mechanical"),tblDowntime[[#This Row],[Downtime Hours]],"")</f>
        <v/>
      </c>
      <c r="K548" s="10" t="n"/>
      <c r="L548" s="10" t="n"/>
      <c r="M548">
        <f>IF(tblDowntime[[#This Row],[Maintenance Downtime Hours]]="","",tblDowntime[[#This Row],[Equipment ID]])</f>
        <v/>
      </c>
      <c r="N548" s="1">
        <f>IF(tblDowntime[[#This Row],[Failure Type]]="Production",tblDowntime[[#This Row],[Downtime Hours]],"")</f>
        <v/>
      </c>
      <c r="O548">
        <f>IF(tblDowntime[[#This Row],[Production Downtime Hours]]="","",tblDowntime[[#This Row],[Equipment ID]])</f>
        <v/>
      </c>
      <c r="P548" s="10" t="n"/>
    </row>
    <row r="549">
      <c r="B549">
        <f t="array" ref="B549">_xlfn.XLOOKUP(C549,INDIRECT("tblEquipment[Equipment ID]"),INDIRECT("tblEquipment[Production Department]"),"")</f>
        <v/>
      </c>
      <c r="D549">
        <f t="array" ref="D549">_xlfn.XLOOKUP(C549,INDIRECT("tblEquipment[Equipment ID]"),INDIRECT("tblEquipment[Equipment Name]"),"")</f>
        <v/>
      </c>
      <c r="F549" s="16" t="n"/>
      <c r="G549" s="16" t="n"/>
      <c r="H549" s="1">
        <f>IF(OR(F549=0,G549=0),"",(G549-F549)*24)</f>
        <v/>
      </c>
      <c r="I549" s="10" t="n"/>
      <c r="J549" s="1">
        <f>IF(OR(tblDowntime[[#This Row],[Failure Type]]="Sawshop",tblDowntime[[#This Row],[Failure Type]]="Electrical",tblDowntime[[#This Row],[Failure Type]]="Mechanical"),tblDowntime[[#This Row],[Downtime Hours]],"")</f>
        <v/>
      </c>
      <c r="K549" s="10" t="n"/>
      <c r="L549" s="10" t="n"/>
      <c r="M549">
        <f>IF(tblDowntime[[#This Row],[Maintenance Downtime Hours]]="","",tblDowntime[[#This Row],[Equipment ID]])</f>
        <v/>
      </c>
      <c r="N549" s="1">
        <f>IF(tblDowntime[[#This Row],[Failure Type]]="Production",tblDowntime[[#This Row],[Downtime Hours]],"")</f>
        <v/>
      </c>
      <c r="O549">
        <f>IF(tblDowntime[[#This Row],[Production Downtime Hours]]="","",tblDowntime[[#This Row],[Equipment ID]])</f>
        <v/>
      </c>
      <c r="P549" s="10" t="n"/>
    </row>
    <row r="550">
      <c r="B550">
        <f t="array" ref="B550">_xlfn.XLOOKUP(C550,INDIRECT("tblEquipment[Equipment ID]"),INDIRECT("tblEquipment[Production Department]"),"")</f>
        <v/>
      </c>
      <c r="D550">
        <f t="array" ref="D550">_xlfn.XLOOKUP(C550,INDIRECT("tblEquipment[Equipment ID]"),INDIRECT("tblEquipment[Equipment Name]"),"")</f>
        <v/>
      </c>
      <c r="F550" s="16" t="n"/>
      <c r="G550" s="16" t="n"/>
      <c r="H550" s="1">
        <f>IF(OR(F550=0,G550=0),"",(G550-F550)*24)</f>
        <v/>
      </c>
      <c r="I550" s="10" t="n"/>
      <c r="J550" s="1">
        <f>IF(OR(tblDowntime[[#This Row],[Failure Type]]="Sawshop",tblDowntime[[#This Row],[Failure Type]]="Electrical",tblDowntime[[#This Row],[Failure Type]]="Mechanical"),tblDowntime[[#This Row],[Downtime Hours]],"")</f>
        <v/>
      </c>
      <c r="K550" s="10" t="n"/>
      <c r="L550" s="10" t="n"/>
      <c r="M550">
        <f>IF(tblDowntime[[#This Row],[Maintenance Downtime Hours]]="","",tblDowntime[[#This Row],[Equipment ID]])</f>
        <v/>
      </c>
      <c r="N550" s="1">
        <f>IF(tblDowntime[[#This Row],[Failure Type]]="Production",tblDowntime[[#This Row],[Downtime Hours]],"")</f>
        <v/>
      </c>
      <c r="O550">
        <f>IF(tblDowntime[[#This Row],[Production Downtime Hours]]="","",tblDowntime[[#This Row],[Equipment ID]])</f>
        <v/>
      </c>
      <c r="P550" s="10" t="n"/>
    </row>
    <row r="551">
      <c r="B551">
        <f t="array" ref="B551">_xlfn.XLOOKUP(C551,INDIRECT("tblEquipment[Equipment ID]"),INDIRECT("tblEquipment[Production Department]"),"")</f>
        <v/>
      </c>
      <c r="D551">
        <f t="array" ref="D551">_xlfn.XLOOKUP(C551,INDIRECT("tblEquipment[Equipment ID]"),INDIRECT("tblEquipment[Equipment Name]"),"")</f>
        <v/>
      </c>
      <c r="F551" s="16" t="n"/>
      <c r="G551" s="16" t="n"/>
      <c r="H551" s="1">
        <f>IF(OR(F551=0,G551=0),"",(G551-F551)*24)</f>
        <v/>
      </c>
      <c r="I551" s="10" t="n"/>
      <c r="J551" s="1">
        <f>IF(OR(tblDowntime[[#This Row],[Failure Type]]="Sawshop",tblDowntime[[#This Row],[Failure Type]]="Electrical",tblDowntime[[#This Row],[Failure Type]]="Mechanical"),tblDowntime[[#This Row],[Downtime Hours]],"")</f>
        <v/>
      </c>
      <c r="K551" s="10" t="n"/>
      <c r="L551" s="10" t="n"/>
      <c r="M551">
        <f>IF(tblDowntime[[#This Row],[Maintenance Downtime Hours]]="","",tblDowntime[[#This Row],[Equipment ID]])</f>
        <v/>
      </c>
      <c r="N551" s="1">
        <f>IF(tblDowntime[[#This Row],[Failure Type]]="Production",tblDowntime[[#This Row],[Downtime Hours]],"")</f>
        <v/>
      </c>
      <c r="O551">
        <f>IF(tblDowntime[[#This Row],[Production Downtime Hours]]="","",tblDowntime[[#This Row],[Equipment ID]])</f>
        <v/>
      </c>
      <c r="P551" s="10" t="n"/>
    </row>
    <row r="552">
      <c r="B552">
        <f t="array" ref="B552">_xlfn.XLOOKUP(C552,INDIRECT("tblEquipment[Equipment ID]"),INDIRECT("tblEquipment[Production Department]"),"")</f>
        <v/>
      </c>
      <c r="D552">
        <f t="array" ref="D552">_xlfn.XLOOKUP(C552,INDIRECT("tblEquipment[Equipment ID]"),INDIRECT("tblEquipment[Equipment Name]"),"")</f>
        <v/>
      </c>
      <c r="F552" s="16" t="n"/>
      <c r="G552" s="16" t="n"/>
      <c r="H552" s="1">
        <f>IF(OR(F552=0,G552=0),"",(G552-F552)*24)</f>
        <v/>
      </c>
      <c r="I552" s="10" t="n"/>
      <c r="J552" s="1">
        <f>IF(OR(tblDowntime[[#This Row],[Failure Type]]="Sawshop",tblDowntime[[#This Row],[Failure Type]]="Electrical",tblDowntime[[#This Row],[Failure Type]]="Mechanical"),tblDowntime[[#This Row],[Downtime Hours]],"")</f>
        <v/>
      </c>
      <c r="K552" s="10" t="n"/>
      <c r="L552" s="10" t="n"/>
      <c r="M552">
        <f>IF(tblDowntime[[#This Row],[Maintenance Downtime Hours]]="","",tblDowntime[[#This Row],[Equipment ID]])</f>
        <v/>
      </c>
      <c r="N552" s="1">
        <f>IF(tblDowntime[[#This Row],[Failure Type]]="Production",tblDowntime[[#This Row],[Downtime Hours]],"")</f>
        <v/>
      </c>
      <c r="O552">
        <f>IF(tblDowntime[[#This Row],[Production Downtime Hours]]="","",tblDowntime[[#This Row],[Equipment ID]])</f>
        <v/>
      </c>
      <c r="P552" s="10" t="n"/>
    </row>
    <row r="553">
      <c r="B553">
        <f t="array" ref="B553">_xlfn.XLOOKUP(C553,INDIRECT("tblEquipment[Equipment ID]"),INDIRECT("tblEquipment[Production Department]"),"")</f>
        <v/>
      </c>
      <c r="D553">
        <f t="array" ref="D553">_xlfn.XLOOKUP(C553,INDIRECT("tblEquipment[Equipment ID]"),INDIRECT("tblEquipment[Equipment Name]"),"")</f>
        <v/>
      </c>
      <c r="F553" s="16" t="n"/>
      <c r="G553" s="16" t="n"/>
      <c r="H553" s="1">
        <f>IF(OR(F553=0,G553=0),"",(G553-F553)*24)</f>
        <v/>
      </c>
      <c r="I553" s="10" t="n"/>
      <c r="J553" s="1">
        <f>IF(OR(tblDowntime[[#This Row],[Failure Type]]="Sawshop",tblDowntime[[#This Row],[Failure Type]]="Electrical",tblDowntime[[#This Row],[Failure Type]]="Mechanical"),tblDowntime[[#This Row],[Downtime Hours]],"")</f>
        <v/>
      </c>
      <c r="K553" s="10" t="n"/>
      <c r="L553" s="10" t="n"/>
      <c r="M553">
        <f>IF(tblDowntime[[#This Row],[Maintenance Downtime Hours]]="","",tblDowntime[[#This Row],[Equipment ID]])</f>
        <v/>
      </c>
      <c r="N553" s="1">
        <f>IF(tblDowntime[[#This Row],[Failure Type]]="Production",tblDowntime[[#This Row],[Downtime Hours]],"")</f>
        <v/>
      </c>
      <c r="O553">
        <f>IF(tblDowntime[[#This Row],[Production Downtime Hours]]="","",tblDowntime[[#This Row],[Equipment ID]])</f>
        <v/>
      </c>
      <c r="P553" s="10" t="n"/>
    </row>
    <row r="554">
      <c r="B554">
        <f t="array" ref="B554">_xlfn.XLOOKUP(C554,INDIRECT("tblEquipment[Equipment ID]"),INDIRECT("tblEquipment[Production Department]"),"")</f>
        <v/>
      </c>
      <c r="D554">
        <f t="array" ref="D554">_xlfn.XLOOKUP(C554,INDIRECT("tblEquipment[Equipment ID]"),INDIRECT("tblEquipment[Equipment Name]"),"")</f>
        <v/>
      </c>
      <c r="F554" s="16" t="n"/>
      <c r="G554" s="16" t="n"/>
      <c r="H554" s="1">
        <f>IF(OR(F554=0,G554=0),"",(G554-F554)*24)</f>
        <v/>
      </c>
      <c r="I554" s="10" t="n"/>
      <c r="J554" s="1">
        <f>IF(OR(tblDowntime[[#This Row],[Failure Type]]="Sawshop",tblDowntime[[#This Row],[Failure Type]]="Electrical",tblDowntime[[#This Row],[Failure Type]]="Mechanical"),tblDowntime[[#This Row],[Downtime Hours]],"")</f>
        <v/>
      </c>
      <c r="K554" s="10" t="n"/>
      <c r="L554" s="10" t="n"/>
      <c r="M554">
        <f>IF(tblDowntime[[#This Row],[Maintenance Downtime Hours]]="","",tblDowntime[[#This Row],[Equipment ID]])</f>
        <v/>
      </c>
      <c r="N554" s="1">
        <f>IF(tblDowntime[[#This Row],[Failure Type]]="Production",tblDowntime[[#This Row],[Downtime Hours]],"")</f>
        <v/>
      </c>
      <c r="O554">
        <f>IF(tblDowntime[[#This Row],[Production Downtime Hours]]="","",tblDowntime[[#This Row],[Equipment ID]])</f>
        <v/>
      </c>
      <c r="P554" s="10" t="n"/>
    </row>
    <row r="555">
      <c r="B555">
        <f t="array" ref="B555">_xlfn.XLOOKUP(C555,INDIRECT("tblEquipment[Equipment ID]"),INDIRECT("tblEquipment[Production Department]"),"")</f>
        <v/>
      </c>
      <c r="D555">
        <f t="array" ref="D555">_xlfn.XLOOKUP(C555,INDIRECT("tblEquipment[Equipment ID]"),INDIRECT("tblEquipment[Equipment Name]"),"")</f>
        <v/>
      </c>
      <c r="F555" s="16" t="n"/>
      <c r="G555" s="16" t="n"/>
      <c r="H555" s="1">
        <f>IF(OR(F555=0,G555=0),"",(G555-F555)*24)</f>
        <v/>
      </c>
      <c r="I555" s="10" t="n"/>
      <c r="J555" s="1">
        <f>IF(OR(tblDowntime[[#This Row],[Failure Type]]="Sawshop",tblDowntime[[#This Row],[Failure Type]]="Electrical",tblDowntime[[#This Row],[Failure Type]]="Mechanical"),tblDowntime[[#This Row],[Downtime Hours]],"")</f>
        <v/>
      </c>
      <c r="K555" s="10" t="n"/>
      <c r="L555" s="10" t="n"/>
      <c r="M555">
        <f>IF(tblDowntime[[#This Row],[Maintenance Downtime Hours]]="","",tblDowntime[[#This Row],[Equipment ID]])</f>
        <v/>
      </c>
      <c r="N555" s="1">
        <f>IF(tblDowntime[[#This Row],[Failure Type]]="Production",tblDowntime[[#This Row],[Downtime Hours]],"")</f>
        <v/>
      </c>
      <c r="O555">
        <f>IF(tblDowntime[[#This Row],[Production Downtime Hours]]="","",tblDowntime[[#This Row],[Equipment ID]])</f>
        <v/>
      </c>
      <c r="P555" s="10" t="n"/>
    </row>
    <row r="556">
      <c r="B556">
        <f t="array" ref="B556">_xlfn.XLOOKUP(C556,INDIRECT("tblEquipment[Equipment ID]"),INDIRECT("tblEquipment[Production Department]"),"")</f>
        <v/>
      </c>
      <c r="D556">
        <f t="array" ref="D556">_xlfn.XLOOKUP(C556,INDIRECT("tblEquipment[Equipment ID]"),INDIRECT("tblEquipment[Equipment Name]"),"")</f>
        <v/>
      </c>
      <c r="F556" s="16" t="n"/>
      <c r="G556" s="16" t="n"/>
      <c r="H556" s="1">
        <f>IF(OR(F556=0,G556=0),"",(G556-F556)*24)</f>
        <v/>
      </c>
      <c r="I556" s="10" t="n"/>
      <c r="J556" s="1">
        <f>IF(OR(tblDowntime[[#This Row],[Failure Type]]="Sawshop",tblDowntime[[#This Row],[Failure Type]]="Electrical",tblDowntime[[#This Row],[Failure Type]]="Mechanical"),tblDowntime[[#This Row],[Downtime Hours]],"")</f>
        <v/>
      </c>
      <c r="K556" s="10" t="n"/>
      <c r="L556" s="10" t="n"/>
      <c r="M556">
        <f>IF(tblDowntime[[#This Row],[Maintenance Downtime Hours]]="","",tblDowntime[[#This Row],[Equipment ID]])</f>
        <v/>
      </c>
      <c r="N556" s="1">
        <f>IF(tblDowntime[[#This Row],[Failure Type]]="Production",tblDowntime[[#This Row],[Downtime Hours]],"")</f>
        <v/>
      </c>
      <c r="O556">
        <f>IF(tblDowntime[[#This Row],[Production Downtime Hours]]="","",tblDowntime[[#This Row],[Equipment ID]])</f>
        <v/>
      </c>
      <c r="P556" s="10" t="n"/>
    </row>
    <row r="557">
      <c r="B557">
        <f t="array" ref="B557">_xlfn.XLOOKUP(C557,INDIRECT("tblEquipment[Equipment ID]"),INDIRECT("tblEquipment[Production Department]"),"")</f>
        <v/>
      </c>
      <c r="D557">
        <f t="array" ref="D557">_xlfn.XLOOKUP(C557,INDIRECT("tblEquipment[Equipment ID]"),INDIRECT("tblEquipment[Equipment Name]"),"")</f>
        <v/>
      </c>
      <c r="F557" s="16" t="n"/>
      <c r="G557" s="16" t="n"/>
      <c r="H557" s="1">
        <f>IF(OR(F557=0,G557=0),"",(G557-F557)*24)</f>
        <v/>
      </c>
      <c r="I557" s="10" t="n"/>
      <c r="J557" s="1">
        <f>IF(OR(tblDowntime[[#This Row],[Failure Type]]="Sawshop",tblDowntime[[#This Row],[Failure Type]]="Electrical",tblDowntime[[#This Row],[Failure Type]]="Mechanical"),tblDowntime[[#This Row],[Downtime Hours]],"")</f>
        <v/>
      </c>
      <c r="K557" s="10" t="n"/>
      <c r="L557" s="10" t="n"/>
      <c r="M557">
        <f>IF(tblDowntime[[#This Row],[Maintenance Downtime Hours]]="","",tblDowntime[[#This Row],[Equipment ID]])</f>
        <v/>
      </c>
      <c r="N557" s="1">
        <f>IF(tblDowntime[[#This Row],[Failure Type]]="Production",tblDowntime[[#This Row],[Downtime Hours]],"")</f>
        <v/>
      </c>
      <c r="O557">
        <f>IF(tblDowntime[[#This Row],[Production Downtime Hours]]="","",tblDowntime[[#This Row],[Equipment ID]])</f>
        <v/>
      </c>
      <c r="P557" s="10" t="n"/>
    </row>
    <row r="558">
      <c r="B558">
        <f t="array" ref="B558">_xlfn.XLOOKUP(C558,INDIRECT("tblEquipment[Equipment ID]"),INDIRECT("tblEquipment[Production Department]"),"")</f>
        <v/>
      </c>
      <c r="D558">
        <f t="array" ref="D558">_xlfn.XLOOKUP(C558,INDIRECT("tblEquipment[Equipment ID]"),INDIRECT("tblEquipment[Equipment Name]"),"")</f>
        <v/>
      </c>
      <c r="F558" s="16" t="n"/>
      <c r="G558" s="16" t="n"/>
      <c r="H558" s="1">
        <f>IF(OR(F558=0,G558=0),"",(G558-F558)*24)</f>
        <v/>
      </c>
      <c r="I558" s="10" t="n"/>
      <c r="J558" s="1">
        <f>IF(OR(tblDowntime[[#This Row],[Failure Type]]="Sawshop",tblDowntime[[#This Row],[Failure Type]]="Electrical",tblDowntime[[#This Row],[Failure Type]]="Mechanical"),tblDowntime[[#This Row],[Downtime Hours]],"")</f>
        <v/>
      </c>
      <c r="K558" s="10" t="n"/>
      <c r="L558" s="10" t="n"/>
      <c r="M558">
        <f>IF(tblDowntime[[#This Row],[Maintenance Downtime Hours]]="","",tblDowntime[[#This Row],[Equipment ID]])</f>
        <v/>
      </c>
      <c r="N558" s="1">
        <f>IF(tblDowntime[[#This Row],[Failure Type]]="Production",tblDowntime[[#This Row],[Downtime Hours]],"")</f>
        <v/>
      </c>
      <c r="O558">
        <f>IF(tblDowntime[[#This Row],[Production Downtime Hours]]="","",tblDowntime[[#This Row],[Equipment ID]])</f>
        <v/>
      </c>
      <c r="P558" s="10" t="n"/>
    </row>
    <row r="559">
      <c r="B559">
        <f t="array" ref="B559">_xlfn.XLOOKUP(C559,INDIRECT("tblEquipment[Equipment ID]"),INDIRECT("tblEquipment[Production Department]"),"")</f>
        <v/>
      </c>
      <c r="D559">
        <f t="array" ref="D559">_xlfn.XLOOKUP(C559,INDIRECT("tblEquipment[Equipment ID]"),INDIRECT("tblEquipment[Equipment Name]"),"")</f>
        <v/>
      </c>
      <c r="F559" s="16" t="n"/>
      <c r="G559" s="16" t="n"/>
      <c r="H559" s="1">
        <f>IF(OR(F559=0,G559=0),"",(G559-F559)*24)</f>
        <v/>
      </c>
      <c r="I559" s="10" t="n"/>
      <c r="J559" s="1">
        <f>IF(OR(tblDowntime[[#This Row],[Failure Type]]="Sawshop",tblDowntime[[#This Row],[Failure Type]]="Electrical",tblDowntime[[#This Row],[Failure Type]]="Mechanical"),tblDowntime[[#This Row],[Downtime Hours]],"")</f>
        <v/>
      </c>
      <c r="K559" s="10" t="n"/>
      <c r="L559" s="10" t="n"/>
      <c r="M559">
        <f>IF(tblDowntime[[#This Row],[Maintenance Downtime Hours]]="","",tblDowntime[[#This Row],[Equipment ID]])</f>
        <v/>
      </c>
      <c r="N559" s="1">
        <f>IF(tblDowntime[[#This Row],[Failure Type]]="Production",tblDowntime[[#This Row],[Downtime Hours]],"")</f>
        <v/>
      </c>
      <c r="O559">
        <f>IF(tblDowntime[[#This Row],[Production Downtime Hours]]="","",tblDowntime[[#This Row],[Equipment ID]])</f>
        <v/>
      </c>
      <c r="P559" s="10" t="n"/>
    </row>
    <row r="560">
      <c r="B560">
        <f t="array" ref="B560">_xlfn.XLOOKUP(C560,INDIRECT("tblEquipment[Equipment ID]"),INDIRECT("tblEquipment[Production Department]"),"")</f>
        <v/>
      </c>
      <c r="D560">
        <f t="array" ref="D560">_xlfn.XLOOKUP(C560,INDIRECT("tblEquipment[Equipment ID]"),INDIRECT("tblEquipment[Equipment Name]"),"")</f>
        <v/>
      </c>
      <c r="F560" s="16" t="n"/>
      <c r="G560" s="16" t="n"/>
      <c r="H560" s="1">
        <f>IF(OR(F560=0,G560=0),"",(G560-F560)*24)</f>
        <v/>
      </c>
      <c r="I560" s="10" t="n"/>
      <c r="J560" s="1">
        <f>IF(OR(tblDowntime[[#This Row],[Failure Type]]="Sawshop",tblDowntime[[#This Row],[Failure Type]]="Electrical",tblDowntime[[#This Row],[Failure Type]]="Mechanical"),tblDowntime[[#This Row],[Downtime Hours]],"")</f>
        <v/>
      </c>
      <c r="K560" s="10" t="n"/>
      <c r="L560" s="10" t="n"/>
      <c r="M560">
        <f>IF(tblDowntime[[#This Row],[Maintenance Downtime Hours]]="","",tblDowntime[[#This Row],[Equipment ID]])</f>
        <v/>
      </c>
      <c r="N560" s="1">
        <f>IF(tblDowntime[[#This Row],[Failure Type]]="Production",tblDowntime[[#This Row],[Downtime Hours]],"")</f>
        <v/>
      </c>
      <c r="O560">
        <f>IF(tblDowntime[[#This Row],[Production Downtime Hours]]="","",tblDowntime[[#This Row],[Equipment ID]])</f>
        <v/>
      </c>
      <c r="P560" s="10" t="n"/>
    </row>
    <row r="561">
      <c r="B561">
        <f t="array" ref="B561">_xlfn.XLOOKUP(C561,INDIRECT("tblEquipment[Equipment ID]"),INDIRECT("tblEquipment[Production Department]"),"")</f>
        <v/>
      </c>
      <c r="D561">
        <f t="array" ref="D561">_xlfn.XLOOKUP(C561,INDIRECT("tblEquipment[Equipment ID]"),INDIRECT("tblEquipment[Equipment Name]"),"")</f>
        <v/>
      </c>
      <c r="F561" s="16" t="n"/>
      <c r="G561" s="16" t="n"/>
      <c r="H561" s="1">
        <f>IF(OR(F561=0,G561=0),"",(G561-F561)*24)</f>
        <v/>
      </c>
      <c r="I561" s="10" t="n"/>
      <c r="J561" s="1">
        <f>IF(OR(tblDowntime[[#This Row],[Failure Type]]="Sawshop",tblDowntime[[#This Row],[Failure Type]]="Electrical",tblDowntime[[#This Row],[Failure Type]]="Mechanical"),tblDowntime[[#This Row],[Downtime Hours]],"")</f>
        <v/>
      </c>
      <c r="K561" s="10" t="n"/>
      <c r="L561" s="10" t="n"/>
      <c r="M561">
        <f>IF(tblDowntime[[#This Row],[Maintenance Downtime Hours]]="","",tblDowntime[[#This Row],[Equipment ID]])</f>
        <v/>
      </c>
      <c r="N561" s="1">
        <f>IF(tblDowntime[[#This Row],[Failure Type]]="Production",tblDowntime[[#This Row],[Downtime Hours]],"")</f>
        <v/>
      </c>
      <c r="O561">
        <f>IF(tblDowntime[[#This Row],[Production Downtime Hours]]="","",tblDowntime[[#This Row],[Equipment ID]])</f>
        <v/>
      </c>
      <c r="P561" s="10" t="n"/>
    </row>
    <row r="562">
      <c r="B562">
        <f t="array" ref="B562">_xlfn.XLOOKUP(C562,INDIRECT("tblEquipment[Equipment ID]"),INDIRECT("tblEquipment[Production Department]"),"")</f>
        <v/>
      </c>
      <c r="D562">
        <f t="array" ref="D562">_xlfn.XLOOKUP(C562,INDIRECT("tblEquipment[Equipment ID]"),INDIRECT("tblEquipment[Equipment Name]"),"")</f>
        <v/>
      </c>
      <c r="F562" s="16" t="n"/>
      <c r="G562" s="16" t="n"/>
      <c r="H562" s="1">
        <f>IF(OR(F562=0,G562=0),"",(G562-F562)*24)</f>
        <v/>
      </c>
      <c r="I562" s="10" t="n"/>
      <c r="J562" s="1">
        <f>IF(OR(tblDowntime[[#This Row],[Failure Type]]="Sawshop",tblDowntime[[#This Row],[Failure Type]]="Electrical",tblDowntime[[#This Row],[Failure Type]]="Mechanical"),tblDowntime[[#This Row],[Downtime Hours]],"")</f>
        <v/>
      </c>
      <c r="K562" s="10" t="n"/>
      <c r="L562" s="10" t="n"/>
      <c r="M562">
        <f>IF(tblDowntime[[#This Row],[Maintenance Downtime Hours]]="","",tblDowntime[[#This Row],[Equipment ID]])</f>
        <v/>
      </c>
      <c r="N562" s="1">
        <f>IF(tblDowntime[[#This Row],[Failure Type]]="Production",tblDowntime[[#This Row],[Downtime Hours]],"")</f>
        <v/>
      </c>
      <c r="O562">
        <f>IF(tblDowntime[[#This Row],[Production Downtime Hours]]="","",tblDowntime[[#This Row],[Equipment ID]])</f>
        <v/>
      </c>
      <c r="P562" s="10" t="n"/>
    </row>
    <row r="563">
      <c r="B563">
        <f t="array" ref="B563">_xlfn.XLOOKUP(C563,INDIRECT("tblEquipment[Equipment ID]"),INDIRECT("tblEquipment[Production Department]"),"")</f>
        <v/>
      </c>
      <c r="D563">
        <f t="array" ref="D563">_xlfn.XLOOKUP(C563,INDIRECT("tblEquipment[Equipment ID]"),INDIRECT("tblEquipment[Equipment Name]"),"")</f>
        <v/>
      </c>
      <c r="F563" s="16" t="n"/>
      <c r="G563" s="16" t="n"/>
      <c r="H563" s="1">
        <f>IF(OR(F563=0,G563=0),"",(G563-F563)*24)</f>
        <v/>
      </c>
      <c r="I563" s="10" t="n"/>
      <c r="J563" s="1">
        <f>IF(OR(tblDowntime[[#This Row],[Failure Type]]="Sawshop",tblDowntime[[#This Row],[Failure Type]]="Electrical",tblDowntime[[#This Row],[Failure Type]]="Mechanical"),tblDowntime[[#This Row],[Downtime Hours]],"")</f>
        <v/>
      </c>
      <c r="K563" s="10" t="n"/>
      <c r="L563" s="10" t="n"/>
      <c r="M563">
        <f>IF(tblDowntime[[#This Row],[Maintenance Downtime Hours]]="","",tblDowntime[[#This Row],[Equipment ID]])</f>
        <v/>
      </c>
      <c r="N563" s="1">
        <f>IF(tblDowntime[[#This Row],[Failure Type]]="Production",tblDowntime[[#This Row],[Downtime Hours]],"")</f>
        <v/>
      </c>
      <c r="O563">
        <f>IF(tblDowntime[[#This Row],[Production Downtime Hours]]="","",tblDowntime[[#This Row],[Equipment ID]])</f>
        <v/>
      </c>
      <c r="P563" s="10" t="n"/>
    </row>
    <row r="564">
      <c r="B564">
        <f t="array" ref="B564">_xlfn.XLOOKUP(C564,INDIRECT("tblEquipment[Equipment ID]"),INDIRECT("tblEquipment[Production Department]"),"")</f>
        <v/>
      </c>
      <c r="D564">
        <f t="array" ref="D564">_xlfn.XLOOKUP(C564,INDIRECT("tblEquipment[Equipment ID]"),INDIRECT("tblEquipment[Equipment Name]"),"")</f>
        <v/>
      </c>
      <c r="F564" s="16" t="n"/>
      <c r="G564" s="16" t="n"/>
      <c r="H564" s="1">
        <f>IF(OR(F564=0,G564=0),"",(G564-F564)*24)</f>
        <v/>
      </c>
      <c r="I564" s="10" t="n"/>
      <c r="J564" s="1">
        <f>IF(OR(tblDowntime[[#This Row],[Failure Type]]="Sawshop",tblDowntime[[#This Row],[Failure Type]]="Electrical",tblDowntime[[#This Row],[Failure Type]]="Mechanical"),tblDowntime[[#This Row],[Downtime Hours]],"")</f>
        <v/>
      </c>
      <c r="K564" s="10" t="n"/>
      <c r="L564" s="10" t="n"/>
      <c r="M564">
        <f>IF(tblDowntime[[#This Row],[Maintenance Downtime Hours]]="","",tblDowntime[[#This Row],[Equipment ID]])</f>
        <v/>
      </c>
      <c r="N564" s="1">
        <f>IF(tblDowntime[[#This Row],[Failure Type]]="Production",tblDowntime[[#This Row],[Downtime Hours]],"")</f>
        <v/>
      </c>
      <c r="O564">
        <f>IF(tblDowntime[[#This Row],[Production Downtime Hours]]="","",tblDowntime[[#This Row],[Equipment ID]])</f>
        <v/>
      </c>
      <c r="P564" s="10" t="n"/>
    </row>
    <row r="565">
      <c r="B565">
        <f t="array" ref="B565">_xlfn.XLOOKUP(C565,INDIRECT("tblEquipment[Equipment ID]"),INDIRECT("tblEquipment[Production Department]"),"")</f>
        <v/>
      </c>
      <c r="D565">
        <f t="array" ref="D565">_xlfn.XLOOKUP(C565,INDIRECT("tblEquipment[Equipment ID]"),INDIRECT("tblEquipment[Equipment Name]"),"")</f>
        <v/>
      </c>
      <c r="F565" s="16" t="n"/>
      <c r="G565" s="16" t="n"/>
      <c r="H565" s="1">
        <f>IF(OR(F565=0,G565=0),"",(G565-F565)*24)</f>
        <v/>
      </c>
      <c r="I565" s="10" t="n"/>
      <c r="J565" s="1">
        <f>IF(OR(tblDowntime[[#This Row],[Failure Type]]="Sawshop",tblDowntime[[#This Row],[Failure Type]]="Electrical",tblDowntime[[#This Row],[Failure Type]]="Mechanical"),tblDowntime[[#This Row],[Downtime Hours]],"")</f>
        <v/>
      </c>
      <c r="K565" s="10" t="n"/>
      <c r="L565" s="10" t="n"/>
      <c r="M565">
        <f>IF(tblDowntime[[#This Row],[Maintenance Downtime Hours]]="","",tblDowntime[[#This Row],[Equipment ID]])</f>
        <v/>
      </c>
      <c r="N565" s="1">
        <f>IF(tblDowntime[[#This Row],[Failure Type]]="Production",tblDowntime[[#This Row],[Downtime Hours]],"")</f>
        <v/>
      </c>
      <c r="O565">
        <f>IF(tblDowntime[[#This Row],[Production Downtime Hours]]="","",tblDowntime[[#This Row],[Equipment ID]])</f>
        <v/>
      </c>
      <c r="P565" s="10" t="n"/>
    </row>
    <row r="566">
      <c r="B566">
        <f t="array" ref="B566">_xlfn.XLOOKUP(C566,INDIRECT("tblEquipment[Equipment ID]"),INDIRECT("tblEquipment[Production Department]"),"")</f>
        <v/>
      </c>
      <c r="D566">
        <f t="array" ref="D566">_xlfn.XLOOKUP(C566,INDIRECT("tblEquipment[Equipment ID]"),INDIRECT("tblEquipment[Equipment Name]"),"")</f>
        <v/>
      </c>
      <c r="F566" s="16" t="n"/>
      <c r="G566" s="16" t="n"/>
      <c r="H566" s="1">
        <f>IF(OR(F566=0,G566=0),"",(G566-F566)*24)</f>
        <v/>
      </c>
      <c r="I566" s="10" t="n"/>
      <c r="J566" s="1">
        <f>IF(OR(tblDowntime[[#This Row],[Failure Type]]="Sawshop",tblDowntime[[#This Row],[Failure Type]]="Electrical",tblDowntime[[#This Row],[Failure Type]]="Mechanical"),tblDowntime[[#This Row],[Downtime Hours]],"")</f>
        <v/>
      </c>
      <c r="K566" s="10" t="n"/>
      <c r="L566" s="10" t="n"/>
      <c r="M566">
        <f>IF(tblDowntime[[#This Row],[Maintenance Downtime Hours]]="","",tblDowntime[[#This Row],[Equipment ID]])</f>
        <v/>
      </c>
      <c r="N566" s="1">
        <f>IF(tblDowntime[[#This Row],[Failure Type]]="Production",tblDowntime[[#This Row],[Downtime Hours]],"")</f>
        <v/>
      </c>
      <c r="O566">
        <f>IF(tblDowntime[[#This Row],[Production Downtime Hours]]="","",tblDowntime[[#This Row],[Equipment ID]])</f>
        <v/>
      </c>
      <c r="P566" s="10" t="n"/>
    </row>
    <row r="567">
      <c r="B567">
        <f t="array" ref="B567">_xlfn.XLOOKUP(C567,INDIRECT("tblEquipment[Equipment ID]"),INDIRECT("tblEquipment[Production Department]"),"")</f>
        <v/>
      </c>
      <c r="D567">
        <f t="array" ref="D567">_xlfn.XLOOKUP(C567,INDIRECT("tblEquipment[Equipment ID]"),INDIRECT("tblEquipment[Equipment Name]"),"")</f>
        <v/>
      </c>
      <c r="F567" s="16" t="n"/>
      <c r="G567" s="16" t="n"/>
      <c r="H567" s="1">
        <f>IF(OR(F567=0,G567=0),"",(G567-F567)*24)</f>
        <v/>
      </c>
      <c r="I567" s="10" t="n"/>
      <c r="J567" s="1">
        <f>IF(OR(tblDowntime[[#This Row],[Failure Type]]="Sawshop",tblDowntime[[#This Row],[Failure Type]]="Electrical",tblDowntime[[#This Row],[Failure Type]]="Mechanical"),tblDowntime[[#This Row],[Downtime Hours]],"")</f>
        <v/>
      </c>
      <c r="K567" s="10" t="n"/>
      <c r="L567" s="10" t="n"/>
      <c r="M567">
        <f>IF(tblDowntime[[#This Row],[Maintenance Downtime Hours]]="","",tblDowntime[[#This Row],[Equipment ID]])</f>
        <v/>
      </c>
      <c r="N567" s="1">
        <f>IF(tblDowntime[[#This Row],[Failure Type]]="Production",tblDowntime[[#This Row],[Downtime Hours]],"")</f>
        <v/>
      </c>
      <c r="O567">
        <f>IF(tblDowntime[[#This Row],[Production Downtime Hours]]="","",tblDowntime[[#This Row],[Equipment ID]])</f>
        <v/>
      </c>
      <c r="P567" s="10" t="n"/>
    </row>
    <row r="568">
      <c r="B568">
        <f t="array" ref="B568">_xlfn.XLOOKUP(C568,INDIRECT("tblEquipment[Equipment ID]"),INDIRECT("tblEquipment[Production Department]"),"")</f>
        <v/>
      </c>
      <c r="D568">
        <f t="array" ref="D568">_xlfn.XLOOKUP(C568,INDIRECT("tblEquipment[Equipment ID]"),INDIRECT("tblEquipment[Equipment Name]"),"")</f>
        <v/>
      </c>
      <c r="F568" s="16" t="n"/>
      <c r="G568" s="16" t="n"/>
      <c r="H568" s="1">
        <f>IF(OR(F568=0,G568=0),"",(G568-F568)*24)</f>
        <v/>
      </c>
      <c r="I568" s="10" t="n"/>
      <c r="J568" s="1">
        <f>IF(OR(tblDowntime[[#This Row],[Failure Type]]="Sawshop",tblDowntime[[#This Row],[Failure Type]]="Electrical",tblDowntime[[#This Row],[Failure Type]]="Mechanical"),tblDowntime[[#This Row],[Downtime Hours]],"")</f>
        <v/>
      </c>
      <c r="K568" s="10" t="n"/>
      <c r="L568" s="10" t="n"/>
      <c r="M568">
        <f>IF(tblDowntime[[#This Row],[Maintenance Downtime Hours]]="","",tblDowntime[[#This Row],[Equipment ID]])</f>
        <v/>
      </c>
      <c r="N568" s="1">
        <f>IF(tblDowntime[[#This Row],[Failure Type]]="Production",tblDowntime[[#This Row],[Downtime Hours]],"")</f>
        <v/>
      </c>
      <c r="O568">
        <f>IF(tblDowntime[[#This Row],[Production Downtime Hours]]="","",tblDowntime[[#This Row],[Equipment ID]])</f>
        <v/>
      </c>
      <c r="P568" s="10" t="n"/>
    </row>
    <row r="569">
      <c r="B569">
        <f t="array" ref="B569">_xlfn.XLOOKUP(C569,INDIRECT("tblEquipment[Equipment ID]"),INDIRECT("tblEquipment[Production Department]"),"")</f>
        <v/>
      </c>
      <c r="D569">
        <f t="array" ref="D569">_xlfn.XLOOKUP(C569,INDIRECT("tblEquipment[Equipment ID]"),INDIRECT("tblEquipment[Equipment Name]"),"")</f>
        <v/>
      </c>
      <c r="F569" s="16" t="n"/>
      <c r="G569" s="16" t="n"/>
      <c r="H569" s="1">
        <f>IF(OR(F569=0,G569=0),"",(G569-F569)*24)</f>
        <v/>
      </c>
      <c r="I569" s="10" t="n"/>
      <c r="J569" s="1">
        <f>IF(OR(tblDowntime[[#This Row],[Failure Type]]="Sawshop",tblDowntime[[#This Row],[Failure Type]]="Electrical",tblDowntime[[#This Row],[Failure Type]]="Mechanical"),tblDowntime[[#This Row],[Downtime Hours]],"")</f>
        <v/>
      </c>
      <c r="K569" s="10" t="n"/>
      <c r="L569" s="10" t="n"/>
      <c r="M569">
        <f>IF(tblDowntime[[#This Row],[Maintenance Downtime Hours]]="","",tblDowntime[[#This Row],[Equipment ID]])</f>
        <v/>
      </c>
      <c r="N569" s="1">
        <f>IF(tblDowntime[[#This Row],[Failure Type]]="Production",tblDowntime[[#This Row],[Downtime Hours]],"")</f>
        <v/>
      </c>
      <c r="O569">
        <f>IF(tblDowntime[[#This Row],[Production Downtime Hours]]="","",tblDowntime[[#This Row],[Equipment ID]])</f>
        <v/>
      </c>
      <c r="P569" s="10" t="n"/>
    </row>
    <row r="570">
      <c r="B570">
        <f t="array" ref="B570">_xlfn.XLOOKUP(C570,INDIRECT("tblEquipment[Equipment ID]"),INDIRECT("tblEquipment[Production Department]"),"")</f>
        <v/>
      </c>
      <c r="D570">
        <f t="array" ref="D570">_xlfn.XLOOKUP(C570,INDIRECT("tblEquipment[Equipment ID]"),INDIRECT("tblEquipment[Equipment Name]"),"")</f>
        <v/>
      </c>
      <c r="F570" s="16" t="n"/>
      <c r="G570" s="16" t="n"/>
      <c r="H570" s="1">
        <f>IF(OR(F570=0,G570=0),"",(G570-F570)*24)</f>
        <v/>
      </c>
      <c r="I570" s="10" t="n"/>
      <c r="J570" s="1">
        <f>IF(OR(tblDowntime[[#This Row],[Failure Type]]="Sawshop",tblDowntime[[#This Row],[Failure Type]]="Electrical",tblDowntime[[#This Row],[Failure Type]]="Mechanical"),tblDowntime[[#This Row],[Downtime Hours]],"")</f>
        <v/>
      </c>
      <c r="K570" s="10" t="n"/>
      <c r="L570" s="10" t="n"/>
      <c r="M570">
        <f>IF(tblDowntime[[#This Row],[Maintenance Downtime Hours]]="","",tblDowntime[[#This Row],[Equipment ID]])</f>
        <v/>
      </c>
      <c r="N570" s="1">
        <f>IF(tblDowntime[[#This Row],[Failure Type]]="Production",tblDowntime[[#This Row],[Downtime Hours]],"")</f>
        <v/>
      </c>
      <c r="O570">
        <f>IF(tblDowntime[[#This Row],[Production Downtime Hours]]="","",tblDowntime[[#This Row],[Equipment ID]])</f>
        <v/>
      </c>
      <c r="P570" s="10" t="n"/>
    </row>
    <row r="571">
      <c r="B571">
        <f t="array" ref="B571">_xlfn.XLOOKUP(C571,INDIRECT("tblEquipment[Equipment ID]"),INDIRECT("tblEquipment[Production Department]"),"")</f>
        <v/>
      </c>
      <c r="D571">
        <f t="array" ref="D571">_xlfn.XLOOKUP(C571,INDIRECT("tblEquipment[Equipment ID]"),INDIRECT("tblEquipment[Equipment Name]"),"")</f>
        <v/>
      </c>
      <c r="F571" s="16" t="n"/>
      <c r="G571" s="16" t="n"/>
      <c r="H571" s="1">
        <f>IF(OR(F571=0,G571=0),"",(G571-F571)*24)</f>
        <v/>
      </c>
      <c r="I571" s="10" t="n"/>
      <c r="J571" s="1">
        <f>IF(OR(tblDowntime[[#This Row],[Failure Type]]="Sawshop",tblDowntime[[#This Row],[Failure Type]]="Electrical",tblDowntime[[#This Row],[Failure Type]]="Mechanical"),tblDowntime[[#This Row],[Downtime Hours]],"")</f>
        <v/>
      </c>
      <c r="K571" s="10" t="n"/>
      <c r="L571" s="10" t="n"/>
      <c r="M571">
        <f>IF(tblDowntime[[#This Row],[Maintenance Downtime Hours]]="","",tblDowntime[[#This Row],[Equipment ID]])</f>
        <v/>
      </c>
      <c r="N571" s="1">
        <f>IF(tblDowntime[[#This Row],[Failure Type]]="Production",tblDowntime[[#This Row],[Downtime Hours]],"")</f>
        <v/>
      </c>
      <c r="O571">
        <f>IF(tblDowntime[[#This Row],[Production Downtime Hours]]="","",tblDowntime[[#This Row],[Equipment ID]])</f>
        <v/>
      </c>
      <c r="P571" s="10" t="n"/>
    </row>
    <row r="572">
      <c r="B572">
        <f t="array" ref="B572">_xlfn.XLOOKUP(C572,INDIRECT("tblEquipment[Equipment ID]"),INDIRECT("tblEquipment[Production Department]"),"")</f>
        <v/>
      </c>
      <c r="D572">
        <f t="array" ref="D572">_xlfn.XLOOKUP(C572,INDIRECT("tblEquipment[Equipment ID]"),INDIRECT("tblEquipment[Equipment Name]"),"")</f>
        <v/>
      </c>
      <c r="F572" s="16" t="n"/>
      <c r="G572" s="16" t="n"/>
      <c r="H572" s="1">
        <f>IF(OR(F572=0,G572=0),"",(G572-F572)*24)</f>
        <v/>
      </c>
      <c r="I572" s="10" t="n"/>
      <c r="J572" s="1">
        <f>IF(OR(tblDowntime[[#This Row],[Failure Type]]="Sawshop",tblDowntime[[#This Row],[Failure Type]]="Electrical",tblDowntime[[#This Row],[Failure Type]]="Mechanical"),tblDowntime[[#This Row],[Downtime Hours]],"")</f>
        <v/>
      </c>
      <c r="K572" s="10" t="n"/>
      <c r="L572" s="10" t="n"/>
      <c r="M572">
        <f>IF(tblDowntime[[#This Row],[Maintenance Downtime Hours]]="","",tblDowntime[[#This Row],[Equipment ID]])</f>
        <v/>
      </c>
      <c r="N572" s="1">
        <f>IF(tblDowntime[[#This Row],[Failure Type]]="Production",tblDowntime[[#This Row],[Downtime Hours]],"")</f>
        <v/>
      </c>
      <c r="O572">
        <f>IF(tblDowntime[[#This Row],[Production Downtime Hours]]="","",tblDowntime[[#This Row],[Equipment ID]])</f>
        <v/>
      </c>
      <c r="P572" s="10" t="n"/>
    </row>
    <row r="573">
      <c r="B573">
        <f t="array" ref="B573">_xlfn.XLOOKUP(C573,INDIRECT("tblEquipment[Equipment ID]"),INDIRECT("tblEquipment[Production Department]"),"")</f>
        <v/>
      </c>
      <c r="D573">
        <f t="array" ref="D573">_xlfn.XLOOKUP(C573,INDIRECT("tblEquipment[Equipment ID]"),INDIRECT("tblEquipment[Equipment Name]"),"")</f>
        <v/>
      </c>
      <c r="F573" s="16" t="n"/>
      <c r="G573" s="16" t="n"/>
      <c r="H573" s="1">
        <f>IF(OR(F573=0,G573=0),"",(G573-F573)*24)</f>
        <v/>
      </c>
      <c r="I573" s="10" t="n"/>
      <c r="J573" s="1">
        <f>IF(OR(tblDowntime[[#This Row],[Failure Type]]="Sawshop",tblDowntime[[#This Row],[Failure Type]]="Electrical",tblDowntime[[#This Row],[Failure Type]]="Mechanical"),tblDowntime[[#This Row],[Downtime Hours]],"")</f>
        <v/>
      </c>
      <c r="K573" s="10" t="n"/>
      <c r="L573" s="10" t="n"/>
      <c r="M573">
        <f>IF(tblDowntime[[#This Row],[Maintenance Downtime Hours]]="","",tblDowntime[[#This Row],[Equipment ID]])</f>
        <v/>
      </c>
      <c r="N573" s="1">
        <f>IF(tblDowntime[[#This Row],[Failure Type]]="Production",tblDowntime[[#This Row],[Downtime Hours]],"")</f>
        <v/>
      </c>
      <c r="O573">
        <f>IF(tblDowntime[[#This Row],[Production Downtime Hours]]="","",tblDowntime[[#This Row],[Equipment ID]])</f>
        <v/>
      </c>
      <c r="P573" s="10" t="n"/>
    </row>
    <row r="574">
      <c r="B574">
        <f t="array" ref="B574">_xlfn.XLOOKUP(C574,INDIRECT("tblEquipment[Equipment ID]"),INDIRECT("tblEquipment[Production Department]"),"")</f>
        <v/>
      </c>
      <c r="D574">
        <f t="array" ref="D574">_xlfn.XLOOKUP(C574,INDIRECT("tblEquipment[Equipment ID]"),INDIRECT("tblEquipment[Equipment Name]"),"")</f>
        <v/>
      </c>
      <c r="F574" s="16" t="n"/>
      <c r="G574" s="16" t="n"/>
      <c r="H574" s="1">
        <f>IF(OR(F574=0,G574=0),"",(G574-F574)*24)</f>
        <v/>
      </c>
      <c r="I574" s="10" t="n"/>
      <c r="J574" s="1">
        <f>IF(OR(tblDowntime[[#This Row],[Failure Type]]="Sawshop",tblDowntime[[#This Row],[Failure Type]]="Electrical",tblDowntime[[#This Row],[Failure Type]]="Mechanical"),tblDowntime[[#This Row],[Downtime Hours]],"")</f>
        <v/>
      </c>
      <c r="K574" s="10" t="n"/>
      <c r="L574" s="10" t="n"/>
      <c r="M574">
        <f>IF(tblDowntime[[#This Row],[Maintenance Downtime Hours]]="","",tblDowntime[[#This Row],[Equipment ID]])</f>
        <v/>
      </c>
      <c r="N574" s="1">
        <f>IF(tblDowntime[[#This Row],[Failure Type]]="Production",tblDowntime[[#This Row],[Downtime Hours]],"")</f>
        <v/>
      </c>
      <c r="O574">
        <f>IF(tblDowntime[[#This Row],[Production Downtime Hours]]="","",tblDowntime[[#This Row],[Equipment ID]])</f>
        <v/>
      </c>
      <c r="P574" s="10" t="n"/>
    </row>
    <row r="575">
      <c r="B575">
        <f t="array" ref="B575">_xlfn.XLOOKUP(C575,INDIRECT("tblEquipment[Equipment ID]"),INDIRECT("tblEquipment[Production Department]"),"")</f>
        <v/>
      </c>
      <c r="D575">
        <f t="array" ref="D575">_xlfn.XLOOKUP(C575,INDIRECT("tblEquipment[Equipment ID]"),INDIRECT("tblEquipment[Equipment Name]"),"")</f>
        <v/>
      </c>
      <c r="F575" s="16" t="n"/>
      <c r="G575" s="16" t="n"/>
      <c r="H575" s="1">
        <f>IF(OR(F575=0,G575=0),"",(G575-F575)*24)</f>
        <v/>
      </c>
      <c r="I575" s="10" t="n"/>
      <c r="J575" s="1">
        <f>IF(OR(tblDowntime[[#This Row],[Failure Type]]="Sawshop",tblDowntime[[#This Row],[Failure Type]]="Electrical",tblDowntime[[#This Row],[Failure Type]]="Mechanical"),tblDowntime[[#This Row],[Downtime Hours]],"")</f>
        <v/>
      </c>
      <c r="K575" s="10" t="n"/>
      <c r="L575" s="10" t="n"/>
      <c r="M575">
        <f>IF(tblDowntime[[#This Row],[Maintenance Downtime Hours]]="","",tblDowntime[[#This Row],[Equipment ID]])</f>
        <v/>
      </c>
      <c r="N575" s="1">
        <f>IF(tblDowntime[[#This Row],[Failure Type]]="Production",tblDowntime[[#This Row],[Downtime Hours]],"")</f>
        <v/>
      </c>
      <c r="O575">
        <f>IF(tblDowntime[[#This Row],[Production Downtime Hours]]="","",tblDowntime[[#This Row],[Equipment ID]])</f>
        <v/>
      </c>
      <c r="P575" s="10" t="n"/>
    </row>
    <row r="576">
      <c r="B576">
        <f t="array" ref="B576">_xlfn.XLOOKUP(C576,INDIRECT("tblEquipment[Equipment ID]"),INDIRECT("tblEquipment[Production Department]"),"")</f>
        <v/>
      </c>
      <c r="D576">
        <f t="array" ref="D576">_xlfn.XLOOKUP(C576,INDIRECT("tblEquipment[Equipment ID]"),INDIRECT("tblEquipment[Equipment Name]"),"")</f>
        <v/>
      </c>
      <c r="F576" s="16" t="n"/>
      <c r="G576" s="16" t="n"/>
      <c r="H576" s="1">
        <f>IF(OR(F576=0,G576=0),"",(G576-F576)*24)</f>
        <v/>
      </c>
      <c r="I576" s="10" t="n"/>
      <c r="J576" s="1">
        <f>IF(OR(tblDowntime[[#This Row],[Failure Type]]="Sawshop",tblDowntime[[#This Row],[Failure Type]]="Electrical",tblDowntime[[#This Row],[Failure Type]]="Mechanical"),tblDowntime[[#This Row],[Downtime Hours]],"")</f>
        <v/>
      </c>
      <c r="K576" s="10" t="n"/>
      <c r="L576" s="10" t="n"/>
      <c r="M576">
        <f>IF(tblDowntime[[#This Row],[Maintenance Downtime Hours]]="","",tblDowntime[[#This Row],[Equipment ID]])</f>
        <v/>
      </c>
      <c r="N576" s="1">
        <f>IF(tblDowntime[[#This Row],[Failure Type]]="Production",tblDowntime[[#This Row],[Downtime Hours]],"")</f>
        <v/>
      </c>
      <c r="O576">
        <f>IF(tblDowntime[[#This Row],[Production Downtime Hours]]="","",tblDowntime[[#This Row],[Equipment ID]])</f>
        <v/>
      </c>
      <c r="P576" s="10" t="n"/>
    </row>
    <row r="577">
      <c r="B577">
        <f t="array" ref="B577">_xlfn.XLOOKUP(C577,INDIRECT("tblEquipment[Equipment ID]"),INDIRECT("tblEquipment[Production Department]"),"")</f>
        <v/>
      </c>
      <c r="D577">
        <f t="array" ref="D577">_xlfn.XLOOKUP(C577,INDIRECT("tblEquipment[Equipment ID]"),INDIRECT("tblEquipment[Equipment Name]"),"")</f>
        <v/>
      </c>
      <c r="F577" s="16" t="n"/>
      <c r="G577" s="16" t="n"/>
      <c r="H577" s="1">
        <f>IF(OR(F577=0,G577=0),"",(G577-F577)*24)</f>
        <v/>
      </c>
      <c r="I577" s="10" t="n"/>
      <c r="J577" s="1">
        <f>IF(OR(tblDowntime[[#This Row],[Failure Type]]="Sawshop",tblDowntime[[#This Row],[Failure Type]]="Electrical",tblDowntime[[#This Row],[Failure Type]]="Mechanical"),tblDowntime[[#This Row],[Downtime Hours]],"")</f>
        <v/>
      </c>
      <c r="K577" s="10" t="n"/>
      <c r="L577" s="10" t="n"/>
      <c r="M577">
        <f>IF(tblDowntime[[#This Row],[Maintenance Downtime Hours]]="","",tblDowntime[[#This Row],[Equipment ID]])</f>
        <v/>
      </c>
      <c r="N577" s="1">
        <f>IF(tblDowntime[[#This Row],[Failure Type]]="Production",tblDowntime[[#This Row],[Downtime Hours]],"")</f>
        <v/>
      </c>
      <c r="O577">
        <f>IF(tblDowntime[[#This Row],[Production Downtime Hours]]="","",tblDowntime[[#This Row],[Equipment ID]])</f>
        <v/>
      </c>
      <c r="P577" s="10" t="n"/>
    </row>
    <row r="578">
      <c r="B578">
        <f t="array" ref="B578">_xlfn.XLOOKUP(C578,INDIRECT("tblEquipment[Equipment ID]"),INDIRECT("tblEquipment[Production Department]"),"")</f>
        <v/>
      </c>
      <c r="D578">
        <f t="array" ref="D578">_xlfn.XLOOKUP(C578,INDIRECT("tblEquipment[Equipment ID]"),INDIRECT("tblEquipment[Equipment Name]"),"")</f>
        <v/>
      </c>
      <c r="F578" s="16" t="n"/>
      <c r="G578" s="16" t="n"/>
      <c r="H578" s="1">
        <f>IF(OR(F578=0,G578=0),"",(G578-F578)*24)</f>
        <v/>
      </c>
      <c r="I578" s="10" t="n"/>
      <c r="J578" s="1">
        <f>IF(OR(tblDowntime[[#This Row],[Failure Type]]="Sawshop",tblDowntime[[#This Row],[Failure Type]]="Electrical",tblDowntime[[#This Row],[Failure Type]]="Mechanical"),tblDowntime[[#This Row],[Downtime Hours]],"")</f>
        <v/>
      </c>
      <c r="K578" s="10" t="n"/>
      <c r="L578" s="10" t="n"/>
      <c r="M578">
        <f>IF(tblDowntime[[#This Row],[Maintenance Downtime Hours]]="","",tblDowntime[[#This Row],[Equipment ID]])</f>
        <v/>
      </c>
      <c r="N578" s="1">
        <f>IF(tblDowntime[[#This Row],[Failure Type]]="Production",tblDowntime[[#This Row],[Downtime Hours]],"")</f>
        <v/>
      </c>
      <c r="O578">
        <f>IF(tblDowntime[[#This Row],[Production Downtime Hours]]="","",tblDowntime[[#This Row],[Equipment ID]])</f>
        <v/>
      </c>
      <c r="P578" s="10" t="n"/>
    </row>
    <row r="579">
      <c r="B579">
        <f t="array" ref="B579">_xlfn.XLOOKUP(C579,INDIRECT("tblEquipment[Equipment ID]"),INDIRECT("tblEquipment[Production Department]"),"")</f>
        <v/>
      </c>
      <c r="D579">
        <f t="array" ref="D579">_xlfn.XLOOKUP(C579,INDIRECT("tblEquipment[Equipment ID]"),INDIRECT("tblEquipment[Equipment Name]"),"")</f>
        <v/>
      </c>
      <c r="F579" s="16" t="n"/>
      <c r="G579" s="16" t="n"/>
      <c r="H579" s="1">
        <f>IF(OR(F579=0,G579=0),"",(G579-F579)*24)</f>
        <v/>
      </c>
      <c r="I579" s="10" t="n"/>
      <c r="J579" s="1">
        <f>IF(OR(tblDowntime[[#This Row],[Failure Type]]="Sawshop",tblDowntime[[#This Row],[Failure Type]]="Electrical",tblDowntime[[#This Row],[Failure Type]]="Mechanical"),tblDowntime[[#This Row],[Downtime Hours]],"")</f>
        <v/>
      </c>
      <c r="K579" s="10" t="n"/>
      <c r="L579" s="10" t="n"/>
      <c r="M579">
        <f>IF(tblDowntime[[#This Row],[Maintenance Downtime Hours]]="","",tblDowntime[[#This Row],[Equipment ID]])</f>
        <v/>
      </c>
      <c r="N579" s="1">
        <f>IF(tblDowntime[[#This Row],[Failure Type]]="Production",tblDowntime[[#This Row],[Downtime Hours]],"")</f>
        <v/>
      </c>
      <c r="O579">
        <f>IF(tblDowntime[[#This Row],[Production Downtime Hours]]="","",tblDowntime[[#This Row],[Equipment ID]])</f>
        <v/>
      </c>
      <c r="P579" s="10" t="n"/>
    </row>
    <row r="580">
      <c r="B580">
        <f t="array" ref="B580">_xlfn.XLOOKUP(C580,INDIRECT("tblEquipment[Equipment ID]"),INDIRECT("tblEquipment[Production Department]"),"")</f>
        <v/>
      </c>
      <c r="D580">
        <f t="array" ref="D580">_xlfn.XLOOKUP(C580,INDIRECT("tblEquipment[Equipment ID]"),INDIRECT("tblEquipment[Equipment Name]"),"")</f>
        <v/>
      </c>
      <c r="F580" s="16" t="n"/>
      <c r="G580" s="16" t="n"/>
      <c r="H580" s="1">
        <f>IF(OR(F580=0,G580=0),"",(G580-F580)*24)</f>
        <v/>
      </c>
      <c r="I580" s="10" t="n"/>
      <c r="J580" s="1">
        <f>IF(OR(tblDowntime[[#This Row],[Failure Type]]="Sawshop",tblDowntime[[#This Row],[Failure Type]]="Electrical",tblDowntime[[#This Row],[Failure Type]]="Mechanical"),tblDowntime[[#This Row],[Downtime Hours]],"")</f>
        <v/>
      </c>
      <c r="K580" s="10" t="n"/>
      <c r="L580" s="10" t="n"/>
      <c r="M580">
        <f>IF(tblDowntime[[#This Row],[Maintenance Downtime Hours]]="","",tblDowntime[[#This Row],[Equipment ID]])</f>
        <v/>
      </c>
      <c r="N580" s="1">
        <f>IF(tblDowntime[[#This Row],[Failure Type]]="Production",tblDowntime[[#This Row],[Downtime Hours]],"")</f>
        <v/>
      </c>
      <c r="O580">
        <f>IF(tblDowntime[[#This Row],[Production Downtime Hours]]="","",tblDowntime[[#This Row],[Equipment ID]])</f>
        <v/>
      </c>
      <c r="P580" s="10" t="n"/>
    </row>
    <row r="581">
      <c r="B581">
        <f t="array" ref="B581">_xlfn.XLOOKUP(C581,INDIRECT("tblEquipment[Equipment ID]"),INDIRECT("tblEquipment[Production Department]"),"")</f>
        <v/>
      </c>
      <c r="D581">
        <f t="array" ref="D581">_xlfn.XLOOKUP(C581,INDIRECT("tblEquipment[Equipment ID]"),INDIRECT("tblEquipment[Equipment Name]"),"")</f>
        <v/>
      </c>
      <c r="F581" s="16" t="n"/>
      <c r="G581" s="16" t="n"/>
      <c r="H581" s="1">
        <f>IF(OR(F581=0,G581=0),"",(G581-F581)*24)</f>
        <v/>
      </c>
      <c r="I581" s="10" t="n"/>
      <c r="J581" s="1">
        <f>IF(OR(tblDowntime[[#This Row],[Failure Type]]="Sawshop",tblDowntime[[#This Row],[Failure Type]]="Electrical",tblDowntime[[#This Row],[Failure Type]]="Mechanical"),tblDowntime[[#This Row],[Downtime Hours]],"")</f>
        <v/>
      </c>
      <c r="K581" s="10" t="n"/>
      <c r="L581" s="10" t="n"/>
      <c r="M581">
        <f>IF(tblDowntime[[#This Row],[Maintenance Downtime Hours]]="","",tblDowntime[[#This Row],[Equipment ID]])</f>
        <v/>
      </c>
      <c r="N581" s="1">
        <f>IF(tblDowntime[[#This Row],[Failure Type]]="Production",tblDowntime[[#This Row],[Downtime Hours]],"")</f>
        <v/>
      </c>
      <c r="O581">
        <f>IF(tblDowntime[[#This Row],[Production Downtime Hours]]="","",tblDowntime[[#This Row],[Equipment ID]])</f>
        <v/>
      </c>
      <c r="P581" s="10" t="n"/>
    </row>
    <row r="582">
      <c r="B582">
        <f t="array" ref="B582">_xlfn.XLOOKUP(C582,INDIRECT("tblEquipment[Equipment ID]"),INDIRECT("tblEquipment[Production Department]"),"")</f>
        <v/>
      </c>
      <c r="D582">
        <f t="array" ref="D582">_xlfn.XLOOKUP(C582,INDIRECT("tblEquipment[Equipment ID]"),INDIRECT("tblEquipment[Equipment Name]"),"")</f>
        <v/>
      </c>
      <c r="F582" s="16" t="n"/>
      <c r="G582" s="16" t="n"/>
      <c r="H582" s="1">
        <f>IF(OR(F582=0,G582=0),"",(G582-F582)*24)</f>
        <v/>
      </c>
      <c r="I582" s="10" t="n"/>
      <c r="J582" s="1">
        <f>IF(OR(tblDowntime[[#This Row],[Failure Type]]="Sawshop",tblDowntime[[#This Row],[Failure Type]]="Electrical",tblDowntime[[#This Row],[Failure Type]]="Mechanical"),tblDowntime[[#This Row],[Downtime Hours]],"")</f>
        <v/>
      </c>
      <c r="K582" s="10" t="n"/>
      <c r="L582" s="10" t="n"/>
      <c r="M582">
        <f>IF(tblDowntime[[#This Row],[Maintenance Downtime Hours]]="","",tblDowntime[[#This Row],[Equipment ID]])</f>
        <v/>
      </c>
      <c r="N582" s="1">
        <f>IF(tblDowntime[[#This Row],[Failure Type]]="Production",tblDowntime[[#This Row],[Downtime Hours]],"")</f>
        <v/>
      </c>
      <c r="O582">
        <f>IF(tblDowntime[[#This Row],[Production Downtime Hours]]="","",tblDowntime[[#This Row],[Equipment ID]])</f>
        <v/>
      </c>
      <c r="P582" s="10" t="n"/>
    </row>
    <row r="583">
      <c r="B583">
        <f t="array" ref="B583">_xlfn.XLOOKUP(C583,INDIRECT("tblEquipment[Equipment ID]"),INDIRECT("tblEquipment[Production Department]"),"")</f>
        <v/>
      </c>
      <c r="D583">
        <f t="array" ref="D583">_xlfn.XLOOKUP(C583,INDIRECT("tblEquipment[Equipment ID]"),INDIRECT("tblEquipment[Equipment Name]"),"")</f>
        <v/>
      </c>
      <c r="F583" s="16" t="n"/>
      <c r="G583" s="16" t="n"/>
      <c r="H583" s="1">
        <f>IF(OR(F583=0,G583=0),"",(G583-F583)*24)</f>
        <v/>
      </c>
      <c r="I583" s="10" t="n"/>
      <c r="J583" s="1">
        <f>IF(OR(tblDowntime[[#This Row],[Failure Type]]="Sawshop",tblDowntime[[#This Row],[Failure Type]]="Electrical",tblDowntime[[#This Row],[Failure Type]]="Mechanical"),tblDowntime[[#This Row],[Downtime Hours]],"")</f>
        <v/>
      </c>
      <c r="K583" s="10" t="n"/>
      <c r="L583" s="10" t="n"/>
      <c r="M583">
        <f>IF(tblDowntime[[#This Row],[Maintenance Downtime Hours]]="","",tblDowntime[[#This Row],[Equipment ID]])</f>
        <v/>
      </c>
      <c r="N583" s="1">
        <f>IF(tblDowntime[[#This Row],[Failure Type]]="Production",tblDowntime[[#This Row],[Downtime Hours]],"")</f>
        <v/>
      </c>
      <c r="O583">
        <f>IF(tblDowntime[[#This Row],[Production Downtime Hours]]="","",tblDowntime[[#This Row],[Equipment ID]])</f>
        <v/>
      </c>
      <c r="P583" s="10" t="n"/>
    </row>
    <row r="584">
      <c r="B584">
        <f t="array" ref="B584">_xlfn.XLOOKUP(C584,INDIRECT("tblEquipment[Equipment ID]"),INDIRECT("tblEquipment[Production Department]"),"")</f>
        <v/>
      </c>
      <c r="D584">
        <f t="array" ref="D584">_xlfn.XLOOKUP(C584,INDIRECT("tblEquipment[Equipment ID]"),INDIRECT("tblEquipment[Equipment Name]"),"")</f>
        <v/>
      </c>
      <c r="F584" s="16" t="n"/>
      <c r="G584" s="16" t="n"/>
      <c r="H584" s="1">
        <f>IF(OR(F584=0,G584=0),"",(G584-F584)*24)</f>
        <v/>
      </c>
      <c r="I584" s="10" t="n"/>
      <c r="J584" s="1">
        <f>IF(OR(tblDowntime[[#This Row],[Failure Type]]="Sawshop",tblDowntime[[#This Row],[Failure Type]]="Electrical",tblDowntime[[#This Row],[Failure Type]]="Mechanical"),tblDowntime[[#This Row],[Downtime Hours]],"")</f>
        <v/>
      </c>
      <c r="K584" s="10" t="n"/>
      <c r="L584" s="10" t="n"/>
      <c r="M584">
        <f>IF(tblDowntime[[#This Row],[Maintenance Downtime Hours]]="","",tblDowntime[[#This Row],[Equipment ID]])</f>
        <v/>
      </c>
      <c r="N584" s="1">
        <f>IF(tblDowntime[[#This Row],[Failure Type]]="Production",tblDowntime[[#This Row],[Downtime Hours]],"")</f>
        <v/>
      </c>
      <c r="O584">
        <f>IF(tblDowntime[[#This Row],[Production Downtime Hours]]="","",tblDowntime[[#This Row],[Equipment ID]])</f>
        <v/>
      </c>
      <c r="P584" s="10" t="n"/>
    </row>
    <row r="585">
      <c r="B585">
        <f t="array" ref="B585">_xlfn.XLOOKUP(C585,INDIRECT("tblEquipment[Equipment ID]"),INDIRECT("tblEquipment[Production Department]"),"")</f>
        <v/>
      </c>
      <c r="D585">
        <f t="array" ref="D585">_xlfn.XLOOKUP(C585,INDIRECT("tblEquipment[Equipment ID]"),INDIRECT("tblEquipment[Equipment Name]"),"")</f>
        <v/>
      </c>
      <c r="F585" s="16" t="n"/>
      <c r="G585" s="16" t="n"/>
      <c r="H585" s="1">
        <f>IF(OR(F585=0,G585=0),"",(G585-F585)*24)</f>
        <v/>
      </c>
      <c r="I585" s="10" t="n"/>
      <c r="J585" s="1">
        <f>IF(OR(tblDowntime[[#This Row],[Failure Type]]="Sawshop",tblDowntime[[#This Row],[Failure Type]]="Electrical",tblDowntime[[#This Row],[Failure Type]]="Mechanical"),tblDowntime[[#This Row],[Downtime Hours]],"")</f>
        <v/>
      </c>
      <c r="K585" s="10" t="n"/>
      <c r="L585" s="10" t="n"/>
      <c r="M585">
        <f>IF(tblDowntime[[#This Row],[Maintenance Downtime Hours]]="","",tblDowntime[[#This Row],[Equipment ID]])</f>
        <v/>
      </c>
      <c r="N585" s="1">
        <f>IF(tblDowntime[[#This Row],[Failure Type]]="Production",tblDowntime[[#This Row],[Downtime Hours]],"")</f>
        <v/>
      </c>
      <c r="O585">
        <f>IF(tblDowntime[[#This Row],[Production Downtime Hours]]="","",tblDowntime[[#This Row],[Equipment ID]])</f>
        <v/>
      </c>
      <c r="P585" s="10" t="n"/>
    </row>
    <row r="586">
      <c r="B586">
        <f t="array" ref="B586">_xlfn.XLOOKUP(C586,INDIRECT("tblEquipment[Equipment ID]"),INDIRECT("tblEquipment[Production Department]"),"")</f>
        <v/>
      </c>
      <c r="D586">
        <f t="array" ref="D586">_xlfn.XLOOKUP(C586,INDIRECT("tblEquipment[Equipment ID]"),INDIRECT("tblEquipment[Equipment Name]"),"")</f>
        <v/>
      </c>
      <c r="F586" s="16" t="n"/>
      <c r="G586" s="16" t="n"/>
      <c r="H586" s="1">
        <f>IF(OR(F586=0,G586=0),"",(G586-F586)*24)</f>
        <v/>
      </c>
      <c r="I586" s="10" t="n"/>
      <c r="J586" s="1">
        <f>IF(OR(tblDowntime[[#This Row],[Failure Type]]="Sawshop",tblDowntime[[#This Row],[Failure Type]]="Electrical",tblDowntime[[#This Row],[Failure Type]]="Mechanical"),tblDowntime[[#This Row],[Downtime Hours]],"")</f>
        <v/>
      </c>
      <c r="K586" s="10" t="n"/>
      <c r="L586" s="10" t="n"/>
      <c r="M586">
        <f>IF(tblDowntime[[#This Row],[Maintenance Downtime Hours]]="","",tblDowntime[[#This Row],[Equipment ID]])</f>
        <v/>
      </c>
      <c r="N586" s="1">
        <f>IF(tblDowntime[[#This Row],[Failure Type]]="Production",tblDowntime[[#This Row],[Downtime Hours]],"")</f>
        <v/>
      </c>
      <c r="O586">
        <f>IF(tblDowntime[[#This Row],[Production Downtime Hours]]="","",tblDowntime[[#This Row],[Equipment ID]])</f>
        <v/>
      </c>
      <c r="P586" s="10" t="n"/>
    </row>
    <row r="587">
      <c r="B587">
        <f t="array" ref="B587">_xlfn.XLOOKUP(C587,INDIRECT("tblEquipment[Equipment ID]"),INDIRECT("tblEquipment[Production Department]"),"")</f>
        <v/>
      </c>
      <c r="D587">
        <f t="array" ref="D587">_xlfn.XLOOKUP(C587,INDIRECT("tblEquipment[Equipment ID]"),INDIRECT("tblEquipment[Equipment Name]"),"")</f>
        <v/>
      </c>
      <c r="F587" s="16" t="n"/>
      <c r="G587" s="16" t="n"/>
      <c r="H587" s="1">
        <f>IF(OR(F587=0,G587=0),"",(G587-F587)*24)</f>
        <v/>
      </c>
      <c r="I587" s="10" t="n"/>
      <c r="J587" s="1">
        <f>IF(OR(tblDowntime[[#This Row],[Failure Type]]="Sawshop",tblDowntime[[#This Row],[Failure Type]]="Electrical",tblDowntime[[#This Row],[Failure Type]]="Mechanical"),tblDowntime[[#This Row],[Downtime Hours]],"")</f>
        <v/>
      </c>
      <c r="K587" s="10" t="n"/>
      <c r="L587" s="10" t="n"/>
      <c r="M587">
        <f>IF(tblDowntime[[#This Row],[Maintenance Downtime Hours]]="","",tblDowntime[[#This Row],[Equipment ID]])</f>
        <v/>
      </c>
      <c r="N587" s="1">
        <f>IF(tblDowntime[[#This Row],[Failure Type]]="Production",tblDowntime[[#This Row],[Downtime Hours]],"")</f>
        <v/>
      </c>
      <c r="O587">
        <f>IF(tblDowntime[[#This Row],[Production Downtime Hours]]="","",tblDowntime[[#This Row],[Equipment ID]])</f>
        <v/>
      </c>
      <c r="P587" s="10" t="n"/>
    </row>
    <row r="588">
      <c r="B588">
        <f t="array" ref="B588">_xlfn.XLOOKUP(C588,INDIRECT("tblEquipment[Equipment ID]"),INDIRECT("tblEquipment[Production Department]"),"")</f>
        <v/>
      </c>
      <c r="D588">
        <f t="array" ref="D588">_xlfn.XLOOKUP(C588,INDIRECT("tblEquipment[Equipment ID]"),INDIRECT("tblEquipment[Equipment Name]"),"")</f>
        <v/>
      </c>
      <c r="F588" s="16" t="n"/>
      <c r="G588" s="16" t="n"/>
      <c r="H588" s="1">
        <f>IF(OR(F588=0,G588=0),"",(G588-F588)*24)</f>
        <v/>
      </c>
      <c r="I588" s="10" t="n"/>
      <c r="J588" s="1">
        <f>IF(OR(tblDowntime[[#This Row],[Failure Type]]="Sawshop",tblDowntime[[#This Row],[Failure Type]]="Electrical",tblDowntime[[#This Row],[Failure Type]]="Mechanical"),tblDowntime[[#This Row],[Downtime Hours]],"")</f>
        <v/>
      </c>
      <c r="K588" s="10" t="n"/>
      <c r="L588" s="10" t="n"/>
      <c r="M588">
        <f>IF(tblDowntime[[#This Row],[Maintenance Downtime Hours]]="","",tblDowntime[[#This Row],[Equipment ID]])</f>
        <v/>
      </c>
      <c r="N588" s="1">
        <f>IF(tblDowntime[[#This Row],[Failure Type]]="Production",tblDowntime[[#This Row],[Downtime Hours]],"")</f>
        <v/>
      </c>
      <c r="O588">
        <f>IF(tblDowntime[[#This Row],[Production Downtime Hours]]="","",tblDowntime[[#This Row],[Equipment ID]])</f>
        <v/>
      </c>
      <c r="P588" s="10" t="n"/>
    </row>
    <row r="589">
      <c r="B589">
        <f t="array" ref="B589">_xlfn.XLOOKUP(C589,INDIRECT("tblEquipment[Equipment ID]"),INDIRECT("tblEquipment[Production Department]"),"")</f>
        <v/>
      </c>
      <c r="D589">
        <f t="array" ref="D589">_xlfn.XLOOKUP(C589,INDIRECT("tblEquipment[Equipment ID]"),INDIRECT("tblEquipment[Equipment Name]"),"")</f>
        <v/>
      </c>
      <c r="F589" s="16" t="n"/>
      <c r="G589" s="16" t="n"/>
      <c r="H589" s="1">
        <f>IF(OR(F589=0,G589=0),"",(G589-F589)*24)</f>
        <v/>
      </c>
      <c r="I589" s="10" t="n"/>
      <c r="J589" s="1">
        <f>IF(OR(tblDowntime[[#This Row],[Failure Type]]="Sawshop",tblDowntime[[#This Row],[Failure Type]]="Electrical",tblDowntime[[#This Row],[Failure Type]]="Mechanical"),tblDowntime[[#This Row],[Downtime Hours]],"")</f>
        <v/>
      </c>
      <c r="K589" s="10" t="n"/>
      <c r="L589" s="10" t="n"/>
      <c r="M589">
        <f>IF(tblDowntime[[#This Row],[Maintenance Downtime Hours]]="","",tblDowntime[[#This Row],[Equipment ID]])</f>
        <v/>
      </c>
      <c r="N589" s="1">
        <f>IF(tblDowntime[[#This Row],[Failure Type]]="Production",tblDowntime[[#This Row],[Downtime Hours]],"")</f>
        <v/>
      </c>
      <c r="O589">
        <f>IF(tblDowntime[[#This Row],[Production Downtime Hours]]="","",tblDowntime[[#This Row],[Equipment ID]])</f>
        <v/>
      </c>
      <c r="P589" s="10" t="n"/>
    </row>
    <row r="590">
      <c r="B590">
        <f t="array" ref="B590">_xlfn.XLOOKUP(C590,INDIRECT("tblEquipment[Equipment ID]"),INDIRECT("tblEquipment[Production Department]"),"")</f>
        <v/>
      </c>
      <c r="D590">
        <f t="array" ref="D590">_xlfn.XLOOKUP(C590,INDIRECT("tblEquipment[Equipment ID]"),INDIRECT("tblEquipment[Equipment Name]"),"")</f>
        <v/>
      </c>
      <c r="F590" s="16" t="n"/>
      <c r="G590" s="16" t="n"/>
      <c r="H590" s="1">
        <f>IF(OR(F590=0,G590=0),"",(G590-F590)*24)</f>
        <v/>
      </c>
      <c r="I590" s="10" t="n"/>
      <c r="J590" s="1">
        <f>IF(OR(tblDowntime[[#This Row],[Failure Type]]="Sawshop",tblDowntime[[#This Row],[Failure Type]]="Electrical",tblDowntime[[#This Row],[Failure Type]]="Mechanical"),tblDowntime[[#This Row],[Downtime Hours]],"")</f>
        <v/>
      </c>
      <c r="K590" s="10" t="n"/>
      <c r="L590" s="10" t="n"/>
      <c r="M590">
        <f>IF(tblDowntime[[#This Row],[Maintenance Downtime Hours]]="","",tblDowntime[[#This Row],[Equipment ID]])</f>
        <v/>
      </c>
      <c r="N590" s="1">
        <f>IF(tblDowntime[[#This Row],[Failure Type]]="Production",tblDowntime[[#This Row],[Downtime Hours]],"")</f>
        <v/>
      </c>
      <c r="O590">
        <f>IF(tblDowntime[[#This Row],[Production Downtime Hours]]="","",tblDowntime[[#This Row],[Equipment ID]])</f>
        <v/>
      </c>
      <c r="P590" s="10" t="n"/>
    </row>
    <row r="591">
      <c r="B591">
        <f t="array" ref="B591">_xlfn.XLOOKUP(C591,INDIRECT("tblEquipment[Equipment ID]"),INDIRECT("tblEquipment[Production Department]"),"")</f>
        <v/>
      </c>
      <c r="D591">
        <f t="array" ref="D591">_xlfn.XLOOKUP(C591,INDIRECT("tblEquipment[Equipment ID]"),INDIRECT("tblEquipment[Equipment Name]"),"")</f>
        <v/>
      </c>
      <c r="F591" s="16" t="n"/>
      <c r="G591" s="16" t="n"/>
      <c r="H591" s="1">
        <f>IF(OR(F591=0,G591=0),"",(G591-F591)*24)</f>
        <v/>
      </c>
      <c r="I591" s="10" t="n"/>
      <c r="J591" s="1">
        <f>IF(OR(tblDowntime[[#This Row],[Failure Type]]="Sawshop",tblDowntime[[#This Row],[Failure Type]]="Electrical",tblDowntime[[#This Row],[Failure Type]]="Mechanical"),tblDowntime[[#This Row],[Downtime Hours]],"")</f>
        <v/>
      </c>
      <c r="K591" s="10" t="n"/>
      <c r="L591" s="10" t="n"/>
      <c r="M591">
        <f>IF(tblDowntime[[#This Row],[Maintenance Downtime Hours]]="","",tblDowntime[[#This Row],[Equipment ID]])</f>
        <v/>
      </c>
      <c r="N591" s="1">
        <f>IF(tblDowntime[[#This Row],[Failure Type]]="Production",tblDowntime[[#This Row],[Downtime Hours]],"")</f>
        <v/>
      </c>
      <c r="O591">
        <f>IF(tblDowntime[[#This Row],[Production Downtime Hours]]="","",tblDowntime[[#This Row],[Equipment ID]])</f>
        <v/>
      </c>
      <c r="P591" s="10" t="n"/>
    </row>
    <row r="592">
      <c r="B592">
        <f t="array" ref="B592">_xlfn.XLOOKUP(C592,INDIRECT("tblEquipment[Equipment ID]"),INDIRECT("tblEquipment[Production Department]"),"")</f>
        <v/>
      </c>
      <c r="D592">
        <f t="array" ref="D592">_xlfn.XLOOKUP(C592,INDIRECT("tblEquipment[Equipment ID]"),INDIRECT("tblEquipment[Equipment Name]"),"")</f>
        <v/>
      </c>
      <c r="F592" s="16" t="n"/>
      <c r="G592" s="16" t="n"/>
      <c r="H592" s="1">
        <f>IF(OR(F592=0,G592=0),"",(G592-F592)*24)</f>
        <v/>
      </c>
      <c r="I592" s="10" t="n"/>
      <c r="J592" s="1">
        <f>IF(OR(tblDowntime[[#This Row],[Failure Type]]="Sawshop",tblDowntime[[#This Row],[Failure Type]]="Electrical",tblDowntime[[#This Row],[Failure Type]]="Mechanical"),tblDowntime[[#This Row],[Downtime Hours]],"")</f>
        <v/>
      </c>
      <c r="K592" s="10" t="n"/>
      <c r="L592" s="10" t="n"/>
      <c r="M592">
        <f>IF(tblDowntime[[#This Row],[Maintenance Downtime Hours]]="","",tblDowntime[[#This Row],[Equipment ID]])</f>
        <v/>
      </c>
      <c r="N592" s="1">
        <f>IF(tblDowntime[[#This Row],[Failure Type]]="Production",tblDowntime[[#This Row],[Downtime Hours]],"")</f>
        <v/>
      </c>
      <c r="O592">
        <f>IF(tblDowntime[[#This Row],[Production Downtime Hours]]="","",tblDowntime[[#This Row],[Equipment ID]])</f>
        <v/>
      </c>
      <c r="P592" s="10" t="n"/>
    </row>
    <row r="593">
      <c r="B593">
        <f t="array" ref="B593">_xlfn.XLOOKUP(C593,INDIRECT("tblEquipment[Equipment ID]"),INDIRECT("tblEquipment[Production Department]"),"")</f>
        <v/>
      </c>
      <c r="D593">
        <f t="array" ref="D593">_xlfn.XLOOKUP(C593,INDIRECT("tblEquipment[Equipment ID]"),INDIRECT("tblEquipment[Equipment Name]"),"")</f>
        <v/>
      </c>
      <c r="F593" s="16" t="n"/>
      <c r="G593" s="16" t="n"/>
      <c r="H593" s="1">
        <f>IF(OR(F593=0,G593=0),"",(G593-F593)*24)</f>
        <v/>
      </c>
      <c r="I593" s="10" t="n"/>
      <c r="J593" s="1">
        <f>IF(OR(tblDowntime[[#This Row],[Failure Type]]="Sawshop",tblDowntime[[#This Row],[Failure Type]]="Electrical",tblDowntime[[#This Row],[Failure Type]]="Mechanical"),tblDowntime[[#This Row],[Downtime Hours]],"")</f>
        <v/>
      </c>
      <c r="K593" s="10" t="n"/>
      <c r="L593" s="10" t="n"/>
      <c r="M593">
        <f>IF(tblDowntime[[#This Row],[Maintenance Downtime Hours]]="","",tblDowntime[[#This Row],[Equipment ID]])</f>
        <v/>
      </c>
      <c r="N593" s="1">
        <f>IF(tblDowntime[[#This Row],[Failure Type]]="Production",tblDowntime[[#This Row],[Downtime Hours]],"")</f>
        <v/>
      </c>
      <c r="O593">
        <f>IF(tblDowntime[[#This Row],[Production Downtime Hours]]="","",tblDowntime[[#This Row],[Equipment ID]])</f>
        <v/>
      </c>
      <c r="P593" s="10" t="n"/>
    </row>
    <row r="594">
      <c r="B594">
        <f t="array" ref="B594">_xlfn.XLOOKUP(C594,INDIRECT("tblEquipment[Equipment ID]"),INDIRECT("tblEquipment[Production Department]"),"")</f>
        <v/>
      </c>
      <c r="D594">
        <f t="array" ref="D594">_xlfn.XLOOKUP(C594,INDIRECT("tblEquipment[Equipment ID]"),INDIRECT("tblEquipment[Equipment Name]"),"")</f>
        <v/>
      </c>
      <c r="F594" s="16" t="n"/>
      <c r="G594" s="16" t="n"/>
      <c r="H594" s="1">
        <f>IF(OR(F594=0,G594=0),"",(G594-F594)*24)</f>
        <v/>
      </c>
      <c r="I594" s="10" t="n"/>
      <c r="J594" s="1">
        <f>IF(OR(tblDowntime[[#This Row],[Failure Type]]="Sawshop",tblDowntime[[#This Row],[Failure Type]]="Electrical",tblDowntime[[#This Row],[Failure Type]]="Mechanical"),tblDowntime[[#This Row],[Downtime Hours]],"")</f>
        <v/>
      </c>
      <c r="K594" s="10" t="n"/>
      <c r="L594" s="10" t="n"/>
      <c r="M594">
        <f>IF(tblDowntime[[#This Row],[Maintenance Downtime Hours]]="","",tblDowntime[[#This Row],[Equipment ID]])</f>
        <v/>
      </c>
      <c r="N594" s="1">
        <f>IF(tblDowntime[[#This Row],[Failure Type]]="Production",tblDowntime[[#This Row],[Downtime Hours]],"")</f>
        <v/>
      </c>
      <c r="O594">
        <f>IF(tblDowntime[[#This Row],[Production Downtime Hours]]="","",tblDowntime[[#This Row],[Equipment ID]])</f>
        <v/>
      </c>
      <c r="P594" s="10" t="n"/>
    </row>
    <row r="595">
      <c r="B595">
        <f t="array" ref="B595">_xlfn.XLOOKUP(C595,INDIRECT("tblEquipment[Equipment ID]"),INDIRECT("tblEquipment[Production Department]"),"")</f>
        <v/>
      </c>
      <c r="D595">
        <f t="array" ref="D595">_xlfn.XLOOKUP(C595,INDIRECT("tblEquipment[Equipment ID]"),INDIRECT("tblEquipment[Equipment Name]"),"")</f>
        <v/>
      </c>
      <c r="F595" s="16" t="n"/>
      <c r="G595" s="16" t="n"/>
      <c r="H595" s="1">
        <f>IF(OR(F595=0,G595=0),"",(G595-F595)*24)</f>
        <v/>
      </c>
      <c r="I595" s="10" t="n"/>
      <c r="J595" s="1">
        <f>IF(OR(tblDowntime[[#This Row],[Failure Type]]="Sawshop",tblDowntime[[#This Row],[Failure Type]]="Electrical",tblDowntime[[#This Row],[Failure Type]]="Mechanical"),tblDowntime[[#This Row],[Downtime Hours]],"")</f>
        <v/>
      </c>
      <c r="K595" s="10" t="n"/>
      <c r="L595" s="10" t="n"/>
      <c r="M595">
        <f>IF(tblDowntime[[#This Row],[Maintenance Downtime Hours]]="","",tblDowntime[[#This Row],[Equipment ID]])</f>
        <v/>
      </c>
      <c r="N595" s="1">
        <f>IF(tblDowntime[[#This Row],[Failure Type]]="Production",tblDowntime[[#This Row],[Downtime Hours]],"")</f>
        <v/>
      </c>
      <c r="O595">
        <f>IF(tblDowntime[[#This Row],[Production Downtime Hours]]="","",tblDowntime[[#This Row],[Equipment ID]])</f>
        <v/>
      </c>
      <c r="P595" s="10" t="n"/>
    </row>
    <row r="596">
      <c r="B596">
        <f t="array" ref="B596">_xlfn.XLOOKUP(C596,INDIRECT("tblEquipment[Equipment ID]"),INDIRECT("tblEquipment[Production Department]"),"")</f>
        <v/>
      </c>
      <c r="D596">
        <f t="array" ref="D596">_xlfn.XLOOKUP(C596,INDIRECT("tblEquipment[Equipment ID]"),INDIRECT("tblEquipment[Equipment Name]"),"")</f>
        <v/>
      </c>
      <c r="F596" s="16" t="n"/>
      <c r="G596" s="16" t="n"/>
      <c r="H596" s="1">
        <f>IF(OR(F596=0,G596=0),"",(G596-F596)*24)</f>
        <v/>
      </c>
      <c r="I596" s="10" t="n"/>
      <c r="J596" s="1">
        <f>IF(OR(tblDowntime[[#This Row],[Failure Type]]="Sawshop",tblDowntime[[#This Row],[Failure Type]]="Electrical",tblDowntime[[#This Row],[Failure Type]]="Mechanical"),tblDowntime[[#This Row],[Downtime Hours]],"")</f>
        <v/>
      </c>
      <c r="K596" s="10" t="n"/>
      <c r="L596" s="10" t="n"/>
      <c r="M596">
        <f>IF(tblDowntime[[#This Row],[Maintenance Downtime Hours]]="","",tblDowntime[[#This Row],[Equipment ID]])</f>
        <v/>
      </c>
      <c r="N596" s="1">
        <f>IF(tblDowntime[[#This Row],[Failure Type]]="Production",tblDowntime[[#This Row],[Downtime Hours]],"")</f>
        <v/>
      </c>
      <c r="O596">
        <f>IF(tblDowntime[[#This Row],[Production Downtime Hours]]="","",tblDowntime[[#This Row],[Equipment ID]])</f>
        <v/>
      </c>
      <c r="P596" s="10" t="n"/>
    </row>
    <row r="597">
      <c r="B597">
        <f t="array" ref="B597">_xlfn.XLOOKUP(C597,INDIRECT("tblEquipment[Equipment ID]"),INDIRECT("tblEquipment[Production Department]"),"")</f>
        <v/>
      </c>
      <c r="D597">
        <f t="array" ref="D597">_xlfn.XLOOKUP(C597,INDIRECT("tblEquipment[Equipment ID]"),INDIRECT("tblEquipment[Equipment Name]"),"")</f>
        <v/>
      </c>
      <c r="F597" s="16" t="n"/>
      <c r="G597" s="16" t="n"/>
      <c r="H597" s="1">
        <f>IF(OR(F597=0,G597=0),"",(G597-F597)*24)</f>
        <v/>
      </c>
      <c r="I597" s="10" t="n"/>
      <c r="J597" s="1">
        <f>IF(OR(tblDowntime[[#This Row],[Failure Type]]="Sawshop",tblDowntime[[#This Row],[Failure Type]]="Electrical",tblDowntime[[#This Row],[Failure Type]]="Mechanical"),tblDowntime[[#This Row],[Downtime Hours]],"")</f>
        <v/>
      </c>
      <c r="K597" s="10" t="n"/>
      <c r="L597" s="10" t="n"/>
      <c r="M597">
        <f>IF(tblDowntime[[#This Row],[Maintenance Downtime Hours]]="","",tblDowntime[[#This Row],[Equipment ID]])</f>
        <v/>
      </c>
      <c r="N597" s="1">
        <f>IF(tblDowntime[[#This Row],[Failure Type]]="Production",tblDowntime[[#This Row],[Downtime Hours]],"")</f>
        <v/>
      </c>
      <c r="O597">
        <f>IF(tblDowntime[[#This Row],[Production Downtime Hours]]="","",tblDowntime[[#This Row],[Equipment ID]])</f>
        <v/>
      </c>
      <c r="P597" s="10" t="n"/>
    </row>
    <row r="598">
      <c r="B598">
        <f t="array" ref="B598">_xlfn.XLOOKUP(C598,INDIRECT("tblEquipment[Equipment ID]"),INDIRECT("tblEquipment[Production Department]"),"")</f>
        <v/>
      </c>
      <c r="D598">
        <f t="array" ref="D598">_xlfn.XLOOKUP(C598,INDIRECT("tblEquipment[Equipment ID]"),INDIRECT("tblEquipment[Equipment Name]"),"")</f>
        <v/>
      </c>
      <c r="F598" s="16" t="n"/>
      <c r="G598" s="16" t="n"/>
      <c r="H598" s="1">
        <f>IF(OR(F598=0,G598=0),"",(G598-F598)*24)</f>
        <v/>
      </c>
      <c r="I598" s="10" t="n"/>
      <c r="J598" s="1">
        <f>IF(OR(tblDowntime[[#This Row],[Failure Type]]="Sawshop",tblDowntime[[#This Row],[Failure Type]]="Electrical",tblDowntime[[#This Row],[Failure Type]]="Mechanical"),tblDowntime[[#This Row],[Downtime Hours]],"")</f>
        <v/>
      </c>
      <c r="K598" s="10" t="n"/>
      <c r="L598" s="10" t="n"/>
      <c r="M598">
        <f>IF(tblDowntime[[#This Row],[Maintenance Downtime Hours]]="","",tblDowntime[[#This Row],[Equipment ID]])</f>
        <v/>
      </c>
      <c r="N598" s="1">
        <f>IF(tblDowntime[[#This Row],[Failure Type]]="Production",tblDowntime[[#This Row],[Downtime Hours]],"")</f>
        <v/>
      </c>
      <c r="O598">
        <f>IF(tblDowntime[[#This Row],[Production Downtime Hours]]="","",tblDowntime[[#This Row],[Equipment ID]])</f>
        <v/>
      </c>
      <c r="P598" s="10" t="n"/>
    </row>
    <row r="599">
      <c r="B599">
        <f t="array" ref="B599">_xlfn.XLOOKUP(C599,INDIRECT("tblEquipment[Equipment ID]"),INDIRECT("tblEquipment[Production Department]"),"")</f>
        <v/>
      </c>
      <c r="D599">
        <f t="array" ref="D599">_xlfn.XLOOKUP(C599,INDIRECT("tblEquipment[Equipment ID]"),INDIRECT("tblEquipment[Equipment Name]"),"")</f>
        <v/>
      </c>
      <c r="F599" s="16" t="n"/>
      <c r="G599" s="16" t="n"/>
      <c r="H599" s="1">
        <f>IF(OR(F599=0,G599=0),"",(G599-F599)*24)</f>
        <v/>
      </c>
      <c r="I599" s="10" t="n"/>
      <c r="J599" s="1">
        <f>IF(OR(tblDowntime[[#This Row],[Failure Type]]="Sawshop",tblDowntime[[#This Row],[Failure Type]]="Electrical",tblDowntime[[#This Row],[Failure Type]]="Mechanical"),tblDowntime[[#This Row],[Downtime Hours]],"")</f>
        <v/>
      </c>
      <c r="K599" s="10" t="n"/>
      <c r="L599" s="10" t="n"/>
      <c r="M599">
        <f>IF(tblDowntime[[#This Row],[Maintenance Downtime Hours]]="","",tblDowntime[[#This Row],[Equipment ID]])</f>
        <v/>
      </c>
      <c r="N599" s="1">
        <f>IF(tblDowntime[[#This Row],[Failure Type]]="Production",tblDowntime[[#This Row],[Downtime Hours]],"")</f>
        <v/>
      </c>
      <c r="O599">
        <f>IF(tblDowntime[[#This Row],[Production Downtime Hours]]="","",tblDowntime[[#This Row],[Equipment ID]])</f>
        <v/>
      </c>
      <c r="P599" s="10" t="n"/>
    </row>
    <row r="600">
      <c r="B600">
        <f t="array" ref="B600">_xlfn.XLOOKUP(C600,INDIRECT("tblEquipment[Equipment ID]"),INDIRECT("tblEquipment[Production Department]"),"")</f>
        <v/>
      </c>
      <c r="D600">
        <f t="array" ref="D600">_xlfn.XLOOKUP(C600,INDIRECT("tblEquipment[Equipment ID]"),INDIRECT("tblEquipment[Equipment Name]"),"")</f>
        <v/>
      </c>
      <c r="F600" s="16" t="n"/>
      <c r="G600" s="16" t="n"/>
      <c r="H600" s="1">
        <f>IF(OR(F600=0,G600=0),"",(G600-F600)*24)</f>
        <v/>
      </c>
      <c r="I600" s="10" t="n"/>
      <c r="J600" s="1">
        <f>IF(OR(tblDowntime[[#This Row],[Failure Type]]="Sawshop",tblDowntime[[#This Row],[Failure Type]]="Electrical",tblDowntime[[#This Row],[Failure Type]]="Mechanical"),tblDowntime[[#This Row],[Downtime Hours]],"")</f>
        <v/>
      </c>
      <c r="K600" s="10" t="n"/>
      <c r="L600" s="10" t="n"/>
      <c r="M600">
        <f>IF(tblDowntime[[#This Row],[Maintenance Downtime Hours]]="","",tblDowntime[[#This Row],[Equipment ID]])</f>
        <v/>
      </c>
      <c r="N600" s="1">
        <f>IF(tblDowntime[[#This Row],[Failure Type]]="Production",tblDowntime[[#This Row],[Downtime Hours]],"")</f>
        <v/>
      </c>
      <c r="O600">
        <f>IF(tblDowntime[[#This Row],[Production Downtime Hours]]="","",tblDowntime[[#This Row],[Equipment ID]])</f>
        <v/>
      </c>
      <c r="P600" s="10" t="n"/>
    </row>
    <row r="601">
      <c r="B601">
        <f t="array" ref="B601">_xlfn.XLOOKUP(C601,INDIRECT("tblEquipment[Equipment ID]"),INDIRECT("tblEquipment[Production Department]"),"")</f>
        <v/>
      </c>
      <c r="D601">
        <f t="array" ref="D601">_xlfn.XLOOKUP(C601,INDIRECT("tblEquipment[Equipment ID]"),INDIRECT("tblEquipment[Equipment Name]"),"")</f>
        <v/>
      </c>
      <c r="F601" s="16" t="n"/>
      <c r="G601" s="16" t="n"/>
      <c r="H601" s="1">
        <f>IF(OR(F601=0,G601=0),"",(G601-F601)*24)</f>
        <v/>
      </c>
      <c r="I601" s="10" t="n"/>
      <c r="J601" s="1">
        <f>IF(OR(tblDowntime[[#This Row],[Failure Type]]="Sawshop",tblDowntime[[#This Row],[Failure Type]]="Electrical",tblDowntime[[#This Row],[Failure Type]]="Mechanical"),tblDowntime[[#This Row],[Downtime Hours]],"")</f>
        <v/>
      </c>
      <c r="K601" s="10" t="n"/>
      <c r="L601" s="10" t="n"/>
      <c r="M601">
        <f>IF(tblDowntime[[#This Row],[Maintenance Downtime Hours]]="","",tblDowntime[[#This Row],[Equipment ID]])</f>
        <v/>
      </c>
      <c r="N601" s="1">
        <f>IF(tblDowntime[[#This Row],[Failure Type]]="Production",tblDowntime[[#This Row],[Downtime Hours]],"")</f>
        <v/>
      </c>
      <c r="O601">
        <f>IF(tblDowntime[[#This Row],[Production Downtime Hours]]="","",tblDowntime[[#This Row],[Equipment ID]])</f>
        <v/>
      </c>
      <c r="P601" s="10" t="n"/>
    </row>
    <row r="602">
      <c r="B602">
        <f t="array" ref="B602">_xlfn.XLOOKUP(C602,INDIRECT("tblEquipment[Equipment ID]"),INDIRECT("tblEquipment[Production Department]"),"")</f>
        <v/>
      </c>
      <c r="D602">
        <f t="array" ref="D602">_xlfn.XLOOKUP(C602,INDIRECT("tblEquipment[Equipment ID]"),INDIRECT("tblEquipment[Equipment Name]"),"")</f>
        <v/>
      </c>
      <c r="F602" s="16" t="n"/>
      <c r="G602" s="16" t="n"/>
      <c r="H602" s="1">
        <f>IF(OR(F602=0,G602=0),"",(G602-F602)*24)</f>
        <v/>
      </c>
      <c r="I602" s="10" t="n"/>
      <c r="J602" s="1">
        <f>IF(OR(tblDowntime[[#This Row],[Failure Type]]="Sawshop",tblDowntime[[#This Row],[Failure Type]]="Electrical",tblDowntime[[#This Row],[Failure Type]]="Mechanical"),tblDowntime[[#This Row],[Downtime Hours]],"")</f>
        <v/>
      </c>
      <c r="K602" s="10" t="n"/>
      <c r="L602" s="10" t="n"/>
      <c r="M602">
        <f>IF(tblDowntime[[#This Row],[Maintenance Downtime Hours]]="","",tblDowntime[[#This Row],[Equipment ID]])</f>
        <v/>
      </c>
      <c r="N602" s="1">
        <f>IF(tblDowntime[[#This Row],[Failure Type]]="Production",tblDowntime[[#This Row],[Downtime Hours]],"")</f>
        <v/>
      </c>
      <c r="O602">
        <f>IF(tblDowntime[[#This Row],[Production Downtime Hours]]="","",tblDowntime[[#This Row],[Equipment ID]])</f>
        <v/>
      </c>
      <c r="P602" s="10" t="n"/>
    </row>
    <row r="603">
      <c r="B603">
        <f t="array" ref="B603">_xlfn.XLOOKUP(C603,INDIRECT("tblEquipment[Equipment ID]"),INDIRECT("tblEquipment[Production Department]"),"")</f>
        <v/>
      </c>
      <c r="D603">
        <f t="array" ref="D603">_xlfn.XLOOKUP(C603,INDIRECT("tblEquipment[Equipment ID]"),INDIRECT("tblEquipment[Equipment Name]"),"")</f>
        <v/>
      </c>
      <c r="F603" s="16" t="n"/>
      <c r="G603" s="16" t="n"/>
      <c r="H603" s="1">
        <f>IF(OR(F603=0,G603=0),"",(G603-F603)*24)</f>
        <v/>
      </c>
      <c r="I603" s="10" t="n"/>
      <c r="J603" s="1">
        <f>IF(OR(tblDowntime[[#This Row],[Failure Type]]="Sawshop",tblDowntime[[#This Row],[Failure Type]]="Electrical",tblDowntime[[#This Row],[Failure Type]]="Mechanical"),tblDowntime[[#This Row],[Downtime Hours]],"")</f>
        <v/>
      </c>
      <c r="K603" s="10" t="n"/>
      <c r="L603" s="10" t="n"/>
      <c r="M603">
        <f>IF(tblDowntime[[#This Row],[Maintenance Downtime Hours]]="","",tblDowntime[[#This Row],[Equipment ID]])</f>
        <v/>
      </c>
      <c r="N603" s="1">
        <f>IF(tblDowntime[[#This Row],[Failure Type]]="Production",tblDowntime[[#This Row],[Downtime Hours]],"")</f>
        <v/>
      </c>
      <c r="O603">
        <f>IF(tblDowntime[[#This Row],[Production Downtime Hours]]="","",tblDowntime[[#This Row],[Equipment ID]])</f>
        <v/>
      </c>
      <c r="P603" s="10" t="n"/>
    </row>
    <row r="604">
      <c r="B604">
        <f t="array" ref="B604">_xlfn.XLOOKUP(C604,INDIRECT("tblEquipment[Equipment ID]"),INDIRECT("tblEquipment[Production Department]"),"")</f>
        <v/>
      </c>
      <c r="D604">
        <f t="array" ref="D604">_xlfn.XLOOKUP(C604,INDIRECT("tblEquipment[Equipment ID]"),INDIRECT("tblEquipment[Equipment Name]"),"")</f>
        <v/>
      </c>
      <c r="F604" s="16" t="n"/>
      <c r="G604" s="16" t="n"/>
      <c r="H604" s="1">
        <f>IF(OR(F604=0,G604=0),"",(G604-F604)*24)</f>
        <v/>
      </c>
      <c r="I604" s="10" t="n"/>
      <c r="J604" s="1">
        <f>IF(OR(tblDowntime[[#This Row],[Failure Type]]="Sawshop",tblDowntime[[#This Row],[Failure Type]]="Electrical",tblDowntime[[#This Row],[Failure Type]]="Mechanical"),tblDowntime[[#This Row],[Downtime Hours]],"")</f>
        <v/>
      </c>
      <c r="K604" s="10" t="n"/>
      <c r="L604" s="10" t="n"/>
      <c r="M604">
        <f>IF(tblDowntime[[#This Row],[Maintenance Downtime Hours]]="","",tblDowntime[[#This Row],[Equipment ID]])</f>
        <v/>
      </c>
      <c r="N604" s="1">
        <f>IF(tblDowntime[[#This Row],[Failure Type]]="Production",tblDowntime[[#This Row],[Downtime Hours]],"")</f>
        <v/>
      </c>
      <c r="O604">
        <f>IF(tblDowntime[[#This Row],[Production Downtime Hours]]="","",tblDowntime[[#This Row],[Equipment ID]])</f>
        <v/>
      </c>
      <c r="P604" s="10" t="n"/>
    </row>
    <row r="605">
      <c r="B605">
        <f t="array" ref="B605">_xlfn.XLOOKUP(C605,INDIRECT("tblEquipment[Equipment ID]"),INDIRECT("tblEquipment[Production Department]"),"")</f>
        <v/>
      </c>
      <c r="D605">
        <f t="array" ref="D605">_xlfn.XLOOKUP(C605,INDIRECT("tblEquipment[Equipment ID]"),INDIRECT("tblEquipment[Equipment Name]"),"")</f>
        <v/>
      </c>
      <c r="F605" s="16" t="n"/>
      <c r="G605" s="16" t="n"/>
      <c r="H605" s="1">
        <f>IF(OR(F605=0,G605=0),"",(G605-F605)*24)</f>
        <v/>
      </c>
      <c r="I605" s="10" t="n"/>
      <c r="J605" s="1">
        <f>IF(OR(tblDowntime[[#This Row],[Failure Type]]="Sawshop",tblDowntime[[#This Row],[Failure Type]]="Electrical",tblDowntime[[#This Row],[Failure Type]]="Mechanical"),tblDowntime[[#This Row],[Downtime Hours]],"")</f>
        <v/>
      </c>
      <c r="K605" s="10" t="n"/>
      <c r="L605" s="10" t="n"/>
      <c r="M605">
        <f>IF(tblDowntime[[#This Row],[Maintenance Downtime Hours]]="","",tblDowntime[[#This Row],[Equipment ID]])</f>
        <v/>
      </c>
      <c r="N605" s="1">
        <f>IF(tblDowntime[[#This Row],[Failure Type]]="Production",tblDowntime[[#This Row],[Downtime Hours]],"")</f>
        <v/>
      </c>
      <c r="O605">
        <f>IF(tblDowntime[[#This Row],[Production Downtime Hours]]="","",tblDowntime[[#This Row],[Equipment ID]])</f>
        <v/>
      </c>
      <c r="P605" s="10" t="n"/>
    </row>
    <row r="606">
      <c r="B606">
        <f t="array" ref="B606">_xlfn.XLOOKUP(C606,INDIRECT("tblEquipment[Equipment ID]"),INDIRECT("tblEquipment[Production Department]"),"")</f>
        <v/>
      </c>
      <c r="D606">
        <f t="array" ref="D606">_xlfn.XLOOKUP(C606,INDIRECT("tblEquipment[Equipment ID]"),INDIRECT("tblEquipment[Equipment Name]"),"")</f>
        <v/>
      </c>
      <c r="F606" s="16" t="n"/>
      <c r="G606" s="16" t="n"/>
      <c r="H606" s="1">
        <f>IF(OR(F606=0,G606=0),"",(G606-F606)*24)</f>
        <v/>
      </c>
      <c r="I606" s="10" t="n"/>
      <c r="J606" s="1">
        <f>IF(OR(tblDowntime[[#This Row],[Failure Type]]="Sawshop",tblDowntime[[#This Row],[Failure Type]]="Electrical",tblDowntime[[#This Row],[Failure Type]]="Mechanical"),tblDowntime[[#This Row],[Downtime Hours]],"")</f>
        <v/>
      </c>
      <c r="K606" s="10" t="n"/>
      <c r="L606" s="10" t="n"/>
      <c r="M606">
        <f>IF(tblDowntime[[#This Row],[Maintenance Downtime Hours]]="","",tblDowntime[[#This Row],[Equipment ID]])</f>
        <v/>
      </c>
      <c r="N606" s="1">
        <f>IF(tblDowntime[[#This Row],[Failure Type]]="Production",tblDowntime[[#This Row],[Downtime Hours]],"")</f>
        <v/>
      </c>
      <c r="O606">
        <f>IF(tblDowntime[[#This Row],[Production Downtime Hours]]="","",tblDowntime[[#This Row],[Equipment ID]])</f>
        <v/>
      </c>
      <c r="P606" s="10" t="n"/>
    </row>
    <row r="607">
      <c r="B607">
        <f t="array" ref="B607">_xlfn.XLOOKUP(C607,INDIRECT("tblEquipment[Equipment ID]"),INDIRECT("tblEquipment[Production Department]"),"")</f>
        <v/>
      </c>
      <c r="D607">
        <f t="array" ref="D607">_xlfn.XLOOKUP(C607,INDIRECT("tblEquipment[Equipment ID]"),INDIRECT("tblEquipment[Equipment Name]"),"")</f>
        <v/>
      </c>
      <c r="F607" s="16" t="n"/>
      <c r="G607" s="16" t="n"/>
      <c r="H607" s="1">
        <f>IF(OR(F607=0,G607=0),"",(G607-F607)*24)</f>
        <v/>
      </c>
      <c r="I607" s="10" t="n"/>
      <c r="J607" s="1">
        <f>IF(OR(tblDowntime[[#This Row],[Failure Type]]="Sawshop",tblDowntime[[#This Row],[Failure Type]]="Electrical",tblDowntime[[#This Row],[Failure Type]]="Mechanical"),tblDowntime[[#This Row],[Downtime Hours]],"")</f>
        <v/>
      </c>
      <c r="K607" s="10" t="n"/>
      <c r="L607" s="10" t="n"/>
      <c r="M607">
        <f>IF(tblDowntime[[#This Row],[Maintenance Downtime Hours]]="","",tblDowntime[[#This Row],[Equipment ID]])</f>
        <v/>
      </c>
      <c r="N607" s="1">
        <f>IF(tblDowntime[[#This Row],[Failure Type]]="Production",tblDowntime[[#This Row],[Downtime Hours]],"")</f>
        <v/>
      </c>
      <c r="O607">
        <f>IF(tblDowntime[[#This Row],[Production Downtime Hours]]="","",tblDowntime[[#This Row],[Equipment ID]])</f>
        <v/>
      </c>
      <c r="P607" s="10" t="n"/>
    </row>
    <row r="608">
      <c r="B608">
        <f t="array" ref="B608">_xlfn.XLOOKUP(C608,INDIRECT("tblEquipment[Equipment ID]"),INDIRECT("tblEquipment[Production Department]"),"")</f>
        <v/>
      </c>
      <c r="D608">
        <f t="array" ref="D608">_xlfn.XLOOKUP(C608,INDIRECT("tblEquipment[Equipment ID]"),INDIRECT("tblEquipment[Equipment Name]"),"")</f>
        <v/>
      </c>
      <c r="F608" s="16" t="n"/>
      <c r="G608" s="16" t="n"/>
      <c r="H608" s="1">
        <f>IF(OR(F608=0,G608=0),"",(G608-F608)*24)</f>
        <v/>
      </c>
      <c r="I608" s="10" t="n"/>
      <c r="J608" s="1">
        <f>IF(OR(tblDowntime[[#This Row],[Failure Type]]="Sawshop",tblDowntime[[#This Row],[Failure Type]]="Electrical",tblDowntime[[#This Row],[Failure Type]]="Mechanical"),tblDowntime[[#This Row],[Downtime Hours]],"")</f>
        <v/>
      </c>
      <c r="K608" s="10" t="n"/>
      <c r="L608" s="10" t="n"/>
      <c r="M608">
        <f>IF(tblDowntime[[#This Row],[Maintenance Downtime Hours]]="","",tblDowntime[[#This Row],[Equipment ID]])</f>
        <v/>
      </c>
      <c r="N608" s="1">
        <f>IF(tblDowntime[[#This Row],[Failure Type]]="Production",tblDowntime[[#This Row],[Downtime Hours]],"")</f>
        <v/>
      </c>
      <c r="O608">
        <f>IF(tblDowntime[[#This Row],[Production Downtime Hours]]="","",tblDowntime[[#This Row],[Equipment ID]])</f>
        <v/>
      </c>
      <c r="P608" s="10" t="n"/>
    </row>
    <row r="609">
      <c r="B609">
        <f t="array" ref="B609">_xlfn.XLOOKUP(C609,INDIRECT("tblEquipment[Equipment ID]"),INDIRECT("tblEquipment[Production Department]"),"")</f>
        <v/>
      </c>
      <c r="D609">
        <f t="array" ref="D609">_xlfn.XLOOKUP(C609,INDIRECT("tblEquipment[Equipment ID]"),INDIRECT("tblEquipment[Equipment Name]"),"")</f>
        <v/>
      </c>
      <c r="F609" s="16" t="n"/>
      <c r="G609" s="16" t="n"/>
      <c r="H609" s="1">
        <f>IF(OR(F609=0,G609=0),"",(G609-F609)*24)</f>
        <v/>
      </c>
      <c r="I609" s="10" t="n"/>
      <c r="J609" s="1">
        <f>IF(OR(tblDowntime[[#This Row],[Failure Type]]="Sawshop",tblDowntime[[#This Row],[Failure Type]]="Electrical",tblDowntime[[#This Row],[Failure Type]]="Mechanical"),tblDowntime[[#This Row],[Downtime Hours]],"")</f>
        <v/>
      </c>
      <c r="K609" s="10" t="n"/>
      <c r="L609" s="10" t="n"/>
      <c r="M609">
        <f>IF(tblDowntime[[#This Row],[Maintenance Downtime Hours]]="","",tblDowntime[[#This Row],[Equipment ID]])</f>
        <v/>
      </c>
      <c r="N609" s="1">
        <f>IF(tblDowntime[[#This Row],[Failure Type]]="Production",tblDowntime[[#This Row],[Downtime Hours]],"")</f>
        <v/>
      </c>
      <c r="O609">
        <f>IF(tblDowntime[[#This Row],[Production Downtime Hours]]="","",tblDowntime[[#This Row],[Equipment ID]])</f>
        <v/>
      </c>
      <c r="P609" s="10" t="n"/>
    </row>
    <row r="610">
      <c r="B610">
        <f t="array" ref="B610">_xlfn.XLOOKUP(C610,INDIRECT("tblEquipment[Equipment ID]"),INDIRECT("tblEquipment[Production Department]"),"")</f>
        <v/>
      </c>
      <c r="D610">
        <f t="array" ref="D610">_xlfn.XLOOKUP(C610,INDIRECT("tblEquipment[Equipment ID]"),INDIRECT("tblEquipment[Equipment Name]"),"")</f>
        <v/>
      </c>
      <c r="F610" s="16" t="n"/>
      <c r="G610" s="16" t="n"/>
      <c r="H610" s="1">
        <f>IF(OR(F610=0,G610=0),"",(G610-F610)*24)</f>
        <v/>
      </c>
      <c r="I610" s="10" t="n"/>
      <c r="J610" s="1">
        <f>IF(OR(tblDowntime[[#This Row],[Failure Type]]="Sawshop",tblDowntime[[#This Row],[Failure Type]]="Electrical",tblDowntime[[#This Row],[Failure Type]]="Mechanical"),tblDowntime[[#This Row],[Downtime Hours]],"")</f>
        <v/>
      </c>
      <c r="K610" s="10" t="n"/>
      <c r="L610" s="10" t="n"/>
      <c r="M610">
        <f>IF(tblDowntime[[#This Row],[Maintenance Downtime Hours]]="","",tblDowntime[[#This Row],[Equipment ID]])</f>
        <v/>
      </c>
      <c r="N610" s="1">
        <f>IF(tblDowntime[[#This Row],[Failure Type]]="Production",tblDowntime[[#This Row],[Downtime Hours]],"")</f>
        <v/>
      </c>
      <c r="O610">
        <f>IF(tblDowntime[[#This Row],[Production Downtime Hours]]="","",tblDowntime[[#This Row],[Equipment ID]])</f>
        <v/>
      </c>
      <c r="P610" s="10" t="n"/>
    </row>
    <row r="611">
      <c r="B611">
        <f t="array" ref="B611">_xlfn.XLOOKUP(C611,INDIRECT("tblEquipment[Equipment ID]"),INDIRECT("tblEquipment[Production Department]"),"")</f>
        <v/>
      </c>
      <c r="D611">
        <f t="array" ref="D611">_xlfn.XLOOKUP(C611,INDIRECT("tblEquipment[Equipment ID]"),INDIRECT("tblEquipment[Equipment Name]"),"")</f>
        <v/>
      </c>
      <c r="F611" s="16" t="n"/>
      <c r="G611" s="16" t="n"/>
      <c r="H611" s="1">
        <f>IF(OR(F611=0,G611=0),"",(G611-F611)*24)</f>
        <v/>
      </c>
      <c r="I611" s="10" t="n"/>
      <c r="J611" s="1">
        <f>IF(OR(tblDowntime[[#This Row],[Failure Type]]="Sawshop",tblDowntime[[#This Row],[Failure Type]]="Electrical",tblDowntime[[#This Row],[Failure Type]]="Mechanical"),tblDowntime[[#This Row],[Downtime Hours]],"")</f>
        <v/>
      </c>
      <c r="K611" s="10" t="n"/>
      <c r="L611" s="10" t="n"/>
      <c r="M611">
        <f>IF(tblDowntime[[#This Row],[Maintenance Downtime Hours]]="","",tblDowntime[[#This Row],[Equipment ID]])</f>
        <v/>
      </c>
      <c r="N611" s="1">
        <f>IF(tblDowntime[[#This Row],[Failure Type]]="Production",tblDowntime[[#This Row],[Downtime Hours]],"")</f>
        <v/>
      </c>
      <c r="O611">
        <f>IF(tblDowntime[[#This Row],[Production Downtime Hours]]="","",tblDowntime[[#This Row],[Equipment ID]])</f>
        <v/>
      </c>
      <c r="P611" s="10" t="n"/>
    </row>
    <row r="612">
      <c r="B612">
        <f t="array" ref="B612">_xlfn.XLOOKUP(C612,INDIRECT("tblEquipment[Equipment ID]"),INDIRECT("tblEquipment[Production Department]"),"")</f>
        <v/>
      </c>
      <c r="D612">
        <f t="array" ref="D612">_xlfn.XLOOKUP(C612,INDIRECT("tblEquipment[Equipment ID]"),INDIRECT("tblEquipment[Equipment Name]"),"")</f>
        <v/>
      </c>
      <c r="F612" s="16" t="n"/>
      <c r="G612" s="16" t="n"/>
      <c r="H612" s="1">
        <f>IF(OR(F612=0,G612=0),"",(G612-F612)*24)</f>
        <v/>
      </c>
      <c r="I612" s="10" t="n"/>
      <c r="J612" s="1">
        <f>IF(OR(tblDowntime[[#This Row],[Failure Type]]="Sawshop",tblDowntime[[#This Row],[Failure Type]]="Electrical",tblDowntime[[#This Row],[Failure Type]]="Mechanical"),tblDowntime[[#This Row],[Downtime Hours]],"")</f>
        <v/>
      </c>
      <c r="K612" s="10" t="n"/>
      <c r="L612" s="10" t="n"/>
      <c r="M612">
        <f>IF(tblDowntime[[#This Row],[Maintenance Downtime Hours]]="","",tblDowntime[[#This Row],[Equipment ID]])</f>
        <v/>
      </c>
      <c r="N612" s="1">
        <f>IF(tblDowntime[[#This Row],[Failure Type]]="Production",tblDowntime[[#This Row],[Downtime Hours]],"")</f>
        <v/>
      </c>
      <c r="O612">
        <f>IF(tblDowntime[[#This Row],[Production Downtime Hours]]="","",tblDowntime[[#This Row],[Equipment ID]])</f>
        <v/>
      </c>
      <c r="P612" s="10" t="n"/>
    </row>
    <row r="613">
      <c r="B613">
        <f t="array" ref="B613">_xlfn.XLOOKUP(C613,INDIRECT("tblEquipment[Equipment ID]"),INDIRECT("tblEquipment[Production Department]"),"")</f>
        <v/>
      </c>
      <c r="D613">
        <f t="array" ref="D613">_xlfn.XLOOKUP(C613,INDIRECT("tblEquipment[Equipment ID]"),INDIRECT("tblEquipment[Equipment Name]"),"")</f>
        <v/>
      </c>
      <c r="F613" s="16" t="n"/>
      <c r="G613" s="16" t="n"/>
      <c r="H613" s="1">
        <f>IF(OR(F613=0,G613=0),"",(G613-F613)*24)</f>
        <v/>
      </c>
      <c r="I613" s="10" t="n"/>
      <c r="J613" s="1">
        <f>IF(OR(tblDowntime[[#This Row],[Failure Type]]="Sawshop",tblDowntime[[#This Row],[Failure Type]]="Electrical",tblDowntime[[#This Row],[Failure Type]]="Mechanical"),tblDowntime[[#This Row],[Downtime Hours]],"")</f>
        <v/>
      </c>
      <c r="K613" s="10" t="n"/>
      <c r="L613" s="10" t="n"/>
      <c r="M613">
        <f>IF(tblDowntime[[#This Row],[Maintenance Downtime Hours]]="","",tblDowntime[[#This Row],[Equipment ID]])</f>
        <v/>
      </c>
      <c r="N613" s="1">
        <f>IF(tblDowntime[[#This Row],[Failure Type]]="Production",tblDowntime[[#This Row],[Downtime Hours]],"")</f>
        <v/>
      </c>
      <c r="O613">
        <f>IF(tblDowntime[[#This Row],[Production Downtime Hours]]="","",tblDowntime[[#This Row],[Equipment ID]])</f>
        <v/>
      </c>
      <c r="P613" s="10" t="n"/>
    </row>
    <row r="614">
      <c r="B614">
        <f t="array" ref="B614">_xlfn.XLOOKUP(C614,INDIRECT("tblEquipment[Equipment ID]"),INDIRECT("tblEquipment[Production Department]"),"")</f>
        <v/>
      </c>
      <c r="D614">
        <f t="array" ref="D614">_xlfn.XLOOKUP(C614,INDIRECT("tblEquipment[Equipment ID]"),INDIRECT("tblEquipment[Equipment Name]"),"")</f>
        <v/>
      </c>
      <c r="F614" s="16" t="n"/>
      <c r="G614" s="16" t="n"/>
      <c r="H614" s="1">
        <f>IF(OR(F614=0,G614=0),"",(G614-F614)*24)</f>
        <v/>
      </c>
      <c r="I614" s="10" t="n"/>
      <c r="J614" s="1">
        <f>IF(OR(tblDowntime[[#This Row],[Failure Type]]="Sawshop",tblDowntime[[#This Row],[Failure Type]]="Electrical",tblDowntime[[#This Row],[Failure Type]]="Mechanical"),tblDowntime[[#This Row],[Downtime Hours]],"")</f>
        <v/>
      </c>
      <c r="K614" s="10" t="n"/>
      <c r="L614" s="10" t="n"/>
      <c r="M614">
        <f>IF(tblDowntime[[#This Row],[Maintenance Downtime Hours]]="","",tblDowntime[[#This Row],[Equipment ID]])</f>
        <v/>
      </c>
      <c r="N614" s="1">
        <f>IF(tblDowntime[[#This Row],[Failure Type]]="Production",tblDowntime[[#This Row],[Downtime Hours]],"")</f>
        <v/>
      </c>
      <c r="O614">
        <f>IF(tblDowntime[[#This Row],[Production Downtime Hours]]="","",tblDowntime[[#This Row],[Equipment ID]])</f>
        <v/>
      </c>
      <c r="P614" s="10" t="n"/>
    </row>
    <row r="615">
      <c r="B615">
        <f t="array" ref="B615">_xlfn.XLOOKUP(C615,INDIRECT("tblEquipment[Equipment ID]"),INDIRECT("tblEquipment[Production Department]"),"")</f>
        <v/>
      </c>
      <c r="D615">
        <f t="array" ref="D615">_xlfn.XLOOKUP(C615,INDIRECT("tblEquipment[Equipment ID]"),INDIRECT("tblEquipment[Equipment Name]"),"")</f>
        <v/>
      </c>
      <c r="F615" s="16" t="n"/>
      <c r="G615" s="16" t="n"/>
      <c r="H615" s="1">
        <f>IF(OR(F615=0,G615=0),"",(G615-F615)*24)</f>
        <v/>
      </c>
      <c r="I615" s="10" t="n"/>
      <c r="J615" s="1">
        <f>IF(OR(tblDowntime[[#This Row],[Failure Type]]="Sawshop",tblDowntime[[#This Row],[Failure Type]]="Electrical",tblDowntime[[#This Row],[Failure Type]]="Mechanical"),tblDowntime[[#This Row],[Downtime Hours]],"")</f>
        <v/>
      </c>
      <c r="K615" s="10" t="n"/>
      <c r="L615" s="10" t="n"/>
      <c r="M615">
        <f>IF(tblDowntime[[#This Row],[Maintenance Downtime Hours]]="","",tblDowntime[[#This Row],[Equipment ID]])</f>
        <v/>
      </c>
      <c r="N615" s="1">
        <f>IF(tblDowntime[[#This Row],[Failure Type]]="Production",tblDowntime[[#This Row],[Downtime Hours]],"")</f>
        <v/>
      </c>
      <c r="O615">
        <f>IF(tblDowntime[[#This Row],[Production Downtime Hours]]="","",tblDowntime[[#This Row],[Equipment ID]])</f>
        <v/>
      </c>
      <c r="P615" s="10" t="n"/>
    </row>
    <row r="616">
      <c r="B616">
        <f t="array" ref="B616">_xlfn.XLOOKUP(C616,INDIRECT("tblEquipment[Equipment ID]"),INDIRECT("tblEquipment[Production Department]"),"")</f>
        <v/>
      </c>
      <c r="D616">
        <f t="array" ref="D616">_xlfn.XLOOKUP(C616,INDIRECT("tblEquipment[Equipment ID]"),INDIRECT("tblEquipment[Equipment Name]"),"")</f>
        <v/>
      </c>
      <c r="F616" s="16" t="n"/>
      <c r="G616" s="16" t="n"/>
      <c r="H616" s="1">
        <f>IF(OR(F616=0,G616=0),"",(G616-F616)*24)</f>
        <v/>
      </c>
      <c r="I616" s="10" t="n"/>
      <c r="J616" s="1">
        <f>IF(OR(tblDowntime[[#This Row],[Failure Type]]="Sawshop",tblDowntime[[#This Row],[Failure Type]]="Electrical",tblDowntime[[#This Row],[Failure Type]]="Mechanical"),tblDowntime[[#This Row],[Downtime Hours]],"")</f>
        <v/>
      </c>
      <c r="K616" s="10" t="n"/>
      <c r="L616" s="10" t="n"/>
      <c r="M616">
        <f>IF(tblDowntime[[#This Row],[Maintenance Downtime Hours]]="","",tblDowntime[[#This Row],[Equipment ID]])</f>
        <v/>
      </c>
      <c r="N616" s="1">
        <f>IF(tblDowntime[[#This Row],[Failure Type]]="Production",tblDowntime[[#This Row],[Downtime Hours]],"")</f>
        <v/>
      </c>
      <c r="O616">
        <f>IF(tblDowntime[[#This Row],[Production Downtime Hours]]="","",tblDowntime[[#This Row],[Equipment ID]])</f>
        <v/>
      </c>
      <c r="P616" s="10" t="n"/>
    </row>
    <row r="617">
      <c r="B617">
        <f t="array" ref="B617">_xlfn.XLOOKUP(C617,INDIRECT("tblEquipment[Equipment ID]"),INDIRECT("tblEquipment[Production Department]"),"")</f>
        <v/>
      </c>
      <c r="D617">
        <f t="array" ref="D617">_xlfn.XLOOKUP(C617,INDIRECT("tblEquipment[Equipment ID]"),INDIRECT("tblEquipment[Equipment Name]"),"")</f>
        <v/>
      </c>
      <c r="F617" s="16" t="n"/>
      <c r="G617" s="16" t="n"/>
      <c r="H617" s="1">
        <f>IF(OR(F617=0,G617=0),"",(G617-F617)*24)</f>
        <v/>
      </c>
      <c r="I617" s="10" t="n"/>
      <c r="J617" s="1">
        <f>IF(OR(tblDowntime[[#This Row],[Failure Type]]="Sawshop",tblDowntime[[#This Row],[Failure Type]]="Electrical",tblDowntime[[#This Row],[Failure Type]]="Mechanical"),tblDowntime[[#This Row],[Downtime Hours]],"")</f>
        <v/>
      </c>
      <c r="K617" s="10" t="n"/>
      <c r="L617" s="10" t="n"/>
      <c r="M617">
        <f>IF(tblDowntime[[#This Row],[Maintenance Downtime Hours]]="","",tblDowntime[[#This Row],[Equipment ID]])</f>
        <v/>
      </c>
      <c r="N617" s="1">
        <f>IF(tblDowntime[[#This Row],[Failure Type]]="Production",tblDowntime[[#This Row],[Downtime Hours]],"")</f>
        <v/>
      </c>
      <c r="O617">
        <f>IF(tblDowntime[[#This Row],[Production Downtime Hours]]="","",tblDowntime[[#This Row],[Equipment ID]])</f>
        <v/>
      </c>
      <c r="P617" s="10" t="n"/>
    </row>
    <row r="618">
      <c r="B618">
        <f t="array" ref="B618">_xlfn.XLOOKUP(C618,INDIRECT("tblEquipment[Equipment ID]"),INDIRECT("tblEquipment[Production Department]"),"")</f>
        <v/>
      </c>
      <c r="D618">
        <f t="array" ref="D618">_xlfn.XLOOKUP(C618,INDIRECT("tblEquipment[Equipment ID]"),INDIRECT("tblEquipment[Equipment Name]"),"")</f>
        <v/>
      </c>
      <c r="F618" s="16" t="n"/>
      <c r="G618" s="16" t="n"/>
      <c r="H618" s="1">
        <f>IF(OR(F618=0,G618=0),"",(G618-F618)*24)</f>
        <v/>
      </c>
      <c r="I618" s="10" t="n"/>
      <c r="J618" s="1">
        <f>IF(OR(tblDowntime[[#This Row],[Failure Type]]="Sawshop",tblDowntime[[#This Row],[Failure Type]]="Electrical",tblDowntime[[#This Row],[Failure Type]]="Mechanical"),tblDowntime[[#This Row],[Downtime Hours]],"")</f>
        <v/>
      </c>
      <c r="K618" s="10" t="n"/>
      <c r="L618" s="10" t="n"/>
      <c r="M618">
        <f>IF(tblDowntime[[#This Row],[Maintenance Downtime Hours]]="","",tblDowntime[[#This Row],[Equipment ID]])</f>
        <v/>
      </c>
      <c r="N618" s="1">
        <f>IF(tblDowntime[[#This Row],[Failure Type]]="Production",tblDowntime[[#This Row],[Downtime Hours]],"")</f>
        <v/>
      </c>
      <c r="O618">
        <f>IF(tblDowntime[[#This Row],[Production Downtime Hours]]="","",tblDowntime[[#This Row],[Equipment ID]])</f>
        <v/>
      </c>
      <c r="P618" s="10" t="n"/>
    </row>
    <row r="619">
      <c r="B619">
        <f t="array" ref="B619">_xlfn.XLOOKUP(C619,INDIRECT("tblEquipment[Equipment ID]"),INDIRECT("tblEquipment[Production Department]"),"")</f>
        <v/>
      </c>
      <c r="D619">
        <f t="array" ref="D619">_xlfn.XLOOKUP(C619,INDIRECT("tblEquipment[Equipment ID]"),INDIRECT("tblEquipment[Equipment Name]"),"")</f>
        <v/>
      </c>
      <c r="F619" s="16" t="n"/>
      <c r="G619" s="16" t="n"/>
      <c r="H619" s="1">
        <f>IF(OR(F619=0,G619=0),"",(G619-F619)*24)</f>
        <v/>
      </c>
      <c r="I619" s="10" t="n"/>
      <c r="J619" s="1">
        <f>IF(OR(tblDowntime[[#This Row],[Failure Type]]="Sawshop",tblDowntime[[#This Row],[Failure Type]]="Electrical",tblDowntime[[#This Row],[Failure Type]]="Mechanical"),tblDowntime[[#This Row],[Downtime Hours]],"")</f>
        <v/>
      </c>
      <c r="K619" s="10" t="n"/>
      <c r="L619" s="10" t="n"/>
      <c r="M619">
        <f>IF(tblDowntime[[#This Row],[Maintenance Downtime Hours]]="","",tblDowntime[[#This Row],[Equipment ID]])</f>
        <v/>
      </c>
      <c r="N619" s="1">
        <f>IF(tblDowntime[[#This Row],[Failure Type]]="Production",tblDowntime[[#This Row],[Downtime Hours]],"")</f>
        <v/>
      </c>
      <c r="O619">
        <f>IF(tblDowntime[[#This Row],[Production Downtime Hours]]="","",tblDowntime[[#This Row],[Equipment ID]])</f>
        <v/>
      </c>
      <c r="P619" s="10" t="n"/>
    </row>
    <row r="620">
      <c r="B620">
        <f t="array" ref="B620">_xlfn.XLOOKUP(C620,INDIRECT("tblEquipment[Equipment ID]"),INDIRECT("tblEquipment[Production Department]"),"")</f>
        <v/>
      </c>
      <c r="D620">
        <f t="array" ref="D620">_xlfn.XLOOKUP(C620,INDIRECT("tblEquipment[Equipment ID]"),INDIRECT("tblEquipment[Equipment Name]"),"")</f>
        <v/>
      </c>
      <c r="F620" s="16" t="n"/>
      <c r="G620" s="16" t="n"/>
      <c r="H620" s="1">
        <f>IF(OR(F620=0,G620=0),"",(G620-F620)*24)</f>
        <v/>
      </c>
      <c r="I620" s="10" t="n"/>
      <c r="J620" s="1">
        <f>IF(OR(tblDowntime[[#This Row],[Failure Type]]="Sawshop",tblDowntime[[#This Row],[Failure Type]]="Electrical",tblDowntime[[#This Row],[Failure Type]]="Mechanical"),tblDowntime[[#This Row],[Downtime Hours]],"")</f>
        <v/>
      </c>
      <c r="K620" s="10" t="n"/>
      <c r="L620" s="10" t="n"/>
      <c r="M620">
        <f>IF(tblDowntime[[#This Row],[Maintenance Downtime Hours]]="","",tblDowntime[[#This Row],[Equipment ID]])</f>
        <v/>
      </c>
      <c r="N620" s="1">
        <f>IF(tblDowntime[[#This Row],[Failure Type]]="Production",tblDowntime[[#This Row],[Downtime Hours]],"")</f>
        <v/>
      </c>
      <c r="O620">
        <f>IF(tblDowntime[[#This Row],[Production Downtime Hours]]="","",tblDowntime[[#This Row],[Equipment ID]])</f>
        <v/>
      </c>
      <c r="P620" s="10" t="n"/>
    </row>
    <row r="621">
      <c r="B621">
        <f t="array" ref="B621">_xlfn.XLOOKUP(C621,INDIRECT("tblEquipment[Equipment ID]"),INDIRECT("tblEquipment[Production Department]"),"")</f>
        <v/>
      </c>
      <c r="D621">
        <f t="array" ref="D621">_xlfn.XLOOKUP(C621,INDIRECT("tblEquipment[Equipment ID]"),INDIRECT("tblEquipment[Equipment Name]"),"")</f>
        <v/>
      </c>
      <c r="F621" s="16" t="n"/>
      <c r="G621" s="16" t="n"/>
      <c r="H621" s="1">
        <f>IF(OR(F621=0,G621=0),"",(G621-F621)*24)</f>
        <v/>
      </c>
      <c r="I621" s="10" t="n"/>
      <c r="J621" s="1">
        <f>IF(OR(tblDowntime[[#This Row],[Failure Type]]="Sawshop",tblDowntime[[#This Row],[Failure Type]]="Electrical",tblDowntime[[#This Row],[Failure Type]]="Mechanical"),tblDowntime[[#This Row],[Downtime Hours]],"")</f>
        <v/>
      </c>
      <c r="K621" s="10" t="n"/>
      <c r="L621" s="10" t="n"/>
      <c r="M621">
        <f>IF(tblDowntime[[#This Row],[Maintenance Downtime Hours]]="","",tblDowntime[[#This Row],[Equipment ID]])</f>
        <v/>
      </c>
      <c r="N621" s="1">
        <f>IF(tblDowntime[[#This Row],[Failure Type]]="Production",tblDowntime[[#This Row],[Downtime Hours]],"")</f>
        <v/>
      </c>
      <c r="O621">
        <f>IF(tblDowntime[[#This Row],[Production Downtime Hours]]="","",tblDowntime[[#This Row],[Equipment ID]])</f>
        <v/>
      </c>
      <c r="P621" s="10" t="n"/>
    </row>
    <row r="622">
      <c r="B622">
        <f t="array" ref="B622">_xlfn.XLOOKUP(C622,INDIRECT("tblEquipment[Equipment ID]"),INDIRECT("tblEquipment[Production Department]"),"")</f>
        <v/>
      </c>
      <c r="D622">
        <f t="array" ref="D622">_xlfn.XLOOKUP(C622,INDIRECT("tblEquipment[Equipment ID]"),INDIRECT("tblEquipment[Equipment Name]"),"")</f>
        <v/>
      </c>
      <c r="F622" s="16" t="n"/>
      <c r="G622" s="16" t="n"/>
      <c r="H622" s="1">
        <f>IF(OR(F622=0,G622=0),"",(G622-F622)*24)</f>
        <v/>
      </c>
      <c r="I622" s="10" t="n"/>
      <c r="J622" s="1">
        <f>IF(OR(tblDowntime[[#This Row],[Failure Type]]="Sawshop",tblDowntime[[#This Row],[Failure Type]]="Electrical",tblDowntime[[#This Row],[Failure Type]]="Mechanical"),tblDowntime[[#This Row],[Downtime Hours]],"")</f>
        <v/>
      </c>
      <c r="K622" s="10" t="n"/>
      <c r="L622" s="10" t="n"/>
      <c r="M622">
        <f>IF(tblDowntime[[#This Row],[Maintenance Downtime Hours]]="","",tblDowntime[[#This Row],[Equipment ID]])</f>
        <v/>
      </c>
      <c r="N622" s="1">
        <f>IF(tblDowntime[[#This Row],[Failure Type]]="Production",tblDowntime[[#This Row],[Downtime Hours]],"")</f>
        <v/>
      </c>
      <c r="O622">
        <f>IF(tblDowntime[[#This Row],[Production Downtime Hours]]="","",tblDowntime[[#This Row],[Equipment ID]])</f>
        <v/>
      </c>
      <c r="P622" s="10" t="n"/>
    </row>
    <row r="623">
      <c r="B623">
        <f t="array" ref="B623">_xlfn.XLOOKUP(C623,INDIRECT("tblEquipment[Equipment ID]"),INDIRECT("tblEquipment[Production Department]"),"")</f>
        <v/>
      </c>
      <c r="D623">
        <f t="array" ref="D623">_xlfn.XLOOKUP(C623,INDIRECT("tblEquipment[Equipment ID]"),INDIRECT("tblEquipment[Equipment Name]"),"")</f>
        <v/>
      </c>
      <c r="F623" s="16" t="n"/>
      <c r="G623" s="16" t="n"/>
      <c r="H623" s="1">
        <f>IF(OR(F623=0,G623=0),"",(G623-F623)*24)</f>
        <v/>
      </c>
      <c r="I623" s="10" t="n"/>
      <c r="J623" s="1">
        <f>IF(OR(tblDowntime[[#This Row],[Failure Type]]="Sawshop",tblDowntime[[#This Row],[Failure Type]]="Electrical",tblDowntime[[#This Row],[Failure Type]]="Mechanical"),tblDowntime[[#This Row],[Downtime Hours]],"")</f>
        <v/>
      </c>
      <c r="K623" s="10" t="n"/>
      <c r="L623" s="10" t="n"/>
      <c r="M623">
        <f>IF(tblDowntime[[#This Row],[Maintenance Downtime Hours]]="","",tblDowntime[[#This Row],[Equipment ID]])</f>
        <v/>
      </c>
      <c r="N623" s="1">
        <f>IF(tblDowntime[[#This Row],[Failure Type]]="Production",tblDowntime[[#This Row],[Downtime Hours]],"")</f>
        <v/>
      </c>
      <c r="O623">
        <f>IF(tblDowntime[[#This Row],[Production Downtime Hours]]="","",tblDowntime[[#This Row],[Equipment ID]])</f>
        <v/>
      </c>
      <c r="P623" s="10" t="n"/>
    </row>
    <row r="624">
      <c r="B624">
        <f t="array" ref="B624">_xlfn.XLOOKUP(C624,INDIRECT("tblEquipment[Equipment ID]"),INDIRECT("tblEquipment[Production Department]"),"")</f>
        <v/>
      </c>
      <c r="D624">
        <f t="array" ref="D624">_xlfn.XLOOKUP(C624,INDIRECT("tblEquipment[Equipment ID]"),INDIRECT("tblEquipment[Equipment Name]"),"")</f>
        <v/>
      </c>
      <c r="F624" s="16" t="n"/>
      <c r="G624" s="16" t="n"/>
      <c r="H624" s="1">
        <f>IF(OR(F624=0,G624=0),"",(G624-F624)*24)</f>
        <v/>
      </c>
      <c r="I624" s="10" t="n"/>
      <c r="J624" s="1">
        <f>IF(OR(tblDowntime[[#This Row],[Failure Type]]="Sawshop",tblDowntime[[#This Row],[Failure Type]]="Electrical",tblDowntime[[#This Row],[Failure Type]]="Mechanical"),tblDowntime[[#This Row],[Downtime Hours]],"")</f>
        <v/>
      </c>
      <c r="K624" s="10" t="n"/>
      <c r="L624" s="10" t="n"/>
      <c r="M624">
        <f>IF(tblDowntime[[#This Row],[Maintenance Downtime Hours]]="","",tblDowntime[[#This Row],[Equipment ID]])</f>
        <v/>
      </c>
      <c r="N624" s="1">
        <f>IF(tblDowntime[[#This Row],[Failure Type]]="Production",tblDowntime[[#This Row],[Downtime Hours]],"")</f>
        <v/>
      </c>
      <c r="O624">
        <f>IF(tblDowntime[[#This Row],[Production Downtime Hours]]="","",tblDowntime[[#This Row],[Equipment ID]])</f>
        <v/>
      </c>
      <c r="P624" s="10" t="n"/>
    </row>
    <row r="625">
      <c r="B625">
        <f t="array" ref="B625">_xlfn.XLOOKUP(C625,INDIRECT("tblEquipment[Equipment ID]"),INDIRECT("tblEquipment[Production Department]"),"")</f>
        <v/>
      </c>
      <c r="D625">
        <f t="array" ref="D625">_xlfn.XLOOKUP(C625,INDIRECT("tblEquipment[Equipment ID]"),INDIRECT("tblEquipment[Equipment Name]"),"")</f>
        <v/>
      </c>
      <c r="F625" s="16" t="n"/>
      <c r="G625" s="16" t="n"/>
      <c r="H625" s="1">
        <f>IF(OR(F625=0,G625=0),"",(G625-F625)*24)</f>
        <v/>
      </c>
      <c r="I625" s="10" t="n"/>
      <c r="J625" s="1">
        <f>IF(OR(tblDowntime[[#This Row],[Failure Type]]="Sawshop",tblDowntime[[#This Row],[Failure Type]]="Electrical",tblDowntime[[#This Row],[Failure Type]]="Mechanical"),tblDowntime[[#This Row],[Downtime Hours]],"")</f>
        <v/>
      </c>
      <c r="K625" s="10" t="n"/>
      <c r="L625" s="10" t="n"/>
      <c r="M625">
        <f>IF(tblDowntime[[#This Row],[Maintenance Downtime Hours]]="","",tblDowntime[[#This Row],[Equipment ID]])</f>
        <v/>
      </c>
      <c r="N625" s="1">
        <f>IF(tblDowntime[[#This Row],[Failure Type]]="Production",tblDowntime[[#This Row],[Downtime Hours]],"")</f>
        <v/>
      </c>
      <c r="O625">
        <f>IF(tblDowntime[[#This Row],[Production Downtime Hours]]="","",tblDowntime[[#This Row],[Equipment ID]])</f>
        <v/>
      </c>
      <c r="P625" s="10" t="n"/>
    </row>
    <row r="626">
      <c r="B626">
        <f t="array" ref="B626">_xlfn.XLOOKUP(C626,INDIRECT("tblEquipment[Equipment ID]"),INDIRECT("tblEquipment[Production Department]"),"")</f>
        <v/>
      </c>
      <c r="D626">
        <f t="array" ref="D626">_xlfn.XLOOKUP(C626,INDIRECT("tblEquipment[Equipment ID]"),INDIRECT("tblEquipment[Equipment Name]"),"")</f>
        <v/>
      </c>
      <c r="F626" s="16" t="n"/>
      <c r="G626" s="16" t="n"/>
      <c r="H626" s="1">
        <f>IF(OR(F626=0,G626=0),"",(G626-F626)*24)</f>
        <v/>
      </c>
      <c r="I626" s="10" t="n"/>
      <c r="J626" s="1">
        <f>IF(OR(tblDowntime[[#This Row],[Failure Type]]="Sawshop",tblDowntime[[#This Row],[Failure Type]]="Electrical",tblDowntime[[#This Row],[Failure Type]]="Mechanical"),tblDowntime[[#This Row],[Downtime Hours]],"")</f>
        <v/>
      </c>
      <c r="K626" s="10" t="n"/>
      <c r="L626" s="10" t="n"/>
      <c r="M626">
        <f>IF(tblDowntime[[#This Row],[Maintenance Downtime Hours]]="","",tblDowntime[[#This Row],[Equipment ID]])</f>
        <v/>
      </c>
      <c r="N626" s="1">
        <f>IF(tblDowntime[[#This Row],[Failure Type]]="Production",tblDowntime[[#This Row],[Downtime Hours]],"")</f>
        <v/>
      </c>
      <c r="O626">
        <f>IF(tblDowntime[[#This Row],[Production Downtime Hours]]="","",tblDowntime[[#This Row],[Equipment ID]])</f>
        <v/>
      </c>
      <c r="P626" s="10" t="n"/>
    </row>
    <row r="627">
      <c r="B627">
        <f t="array" ref="B627">_xlfn.XLOOKUP(C627,INDIRECT("tblEquipment[Equipment ID]"),INDIRECT("tblEquipment[Production Department]"),"")</f>
        <v/>
      </c>
      <c r="D627">
        <f t="array" ref="D627">_xlfn.XLOOKUP(C627,INDIRECT("tblEquipment[Equipment ID]"),INDIRECT("tblEquipment[Equipment Name]"),"")</f>
        <v/>
      </c>
      <c r="F627" s="16" t="n"/>
      <c r="G627" s="16" t="n"/>
      <c r="H627" s="1">
        <f>IF(OR(F627=0,G627=0),"",(G627-F627)*24)</f>
        <v/>
      </c>
      <c r="I627" s="10" t="n"/>
      <c r="J627" s="1">
        <f>IF(OR(tblDowntime[[#This Row],[Failure Type]]="Sawshop",tblDowntime[[#This Row],[Failure Type]]="Electrical",tblDowntime[[#This Row],[Failure Type]]="Mechanical"),tblDowntime[[#This Row],[Downtime Hours]],"")</f>
        <v/>
      </c>
      <c r="K627" s="10" t="n"/>
      <c r="L627" s="10" t="n"/>
      <c r="M627">
        <f>IF(tblDowntime[[#This Row],[Maintenance Downtime Hours]]="","",tblDowntime[[#This Row],[Equipment ID]])</f>
        <v/>
      </c>
      <c r="N627" s="1">
        <f>IF(tblDowntime[[#This Row],[Failure Type]]="Production",tblDowntime[[#This Row],[Downtime Hours]],"")</f>
        <v/>
      </c>
      <c r="O627">
        <f>IF(tblDowntime[[#This Row],[Production Downtime Hours]]="","",tblDowntime[[#This Row],[Equipment ID]])</f>
        <v/>
      </c>
      <c r="P627" s="10" t="n"/>
    </row>
    <row r="628">
      <c r="B628">
        <f t="array" ref="B628">_xlfn.XLOOKUP(C628,INDIRECT("tblEquipment[Equipment ID]"),INDIRECT("tblEquipment[Production Department]"),"")</f>
        <v/>
      </c>
      <c r="D628">
        <f t="array" ref="D628">_xlfn.XLOOKUP(C628,INDIRECT("tblEquipment[Equipment ID]"),INDIRECT("tblEquipment[Equipment Name]"),"")</f>
        <v/>
      </c>
      <c r="F628" s="16" t="n"/>
      <c r="G628" s="16" t="n"/>
      <c r="H628" s="1">
        <f>IF(OR(F628=0,G628=0),"",(G628-F628)*24)</f>
        <v/>
      </c>
      <c r="I628" s="10" t="n"/>
      <c r="J628" s="1">
        <f>IF(OR(tblDowntime[[#This Row],[Failure Type]]="Sawshop",tblDowntime[[#This Row],[Failure Type]]="Electrical",tblDowntime[[#This Row],[Failure Type]]="Mechanical"),tblDowntime[[#This Row],[Downtime Hours]],"")</f>
        <v/>
      </c>
      <c r="K628" s="10" t="n"/>
      <c r="L628" s="10" t="n"/>
      <c r="M628">
        <f>IF(tblDowntime[[#This Row],[Maintenance Downtime Hours]]="","",tblDowntime[[#This Row],[Equipment ID]])</f>
        <v/>
      </c>
      <c r="N628" s="1">
        <f>IF(tblDowntime[[#This Row],[Failure Type]]="Production",tblDowntime[[#This Row],[Downtime Hours]],"")</f>
        <v/>
      </c>
      <c r="O628">
        <f>IF(tblDowntime[[#This Row],[Production Downtime Hours]]="","",tblDowntime[[#This Row],[Equipment ID]])</f>
        <v/>
      </c>
      <c r="P628" s="10" t="n"/>
    </row>
    <row r="629">
      <c r="B629">
        <f t="array" ref="B629">_xlfn.XLOOKUP(C629,INDIRECT("tblEquipment[Equipment ID]"),INDIRECT("tblEquipment[Production Department]"),"")</f>
        <v/>
      </c>
      <c r="D629">
        <f t="array" ref="D629">_xlfn.XLOOKUP(C629,INDIRECT("tblEquipment[Equipment ID]"),INDIRECT("tblEquipment[Equipment Name]"),"")</f>
        <v/>
      </c>
      <c r="F629" s="16" t="n"/>
      <c r="G629" s="16" t="n"/>
      <c r="H629" s="1">
        <f>IF(OR(F629=0,G629=0),"",(G629-F629)*24)</f>
        <v/>
      </c>
      <c r="I629" s="10" t="n"/>
      <c r="J629" s="1">
        <f>IF(OR(tblDowntime[[#This Row],[Failure Type]]="Sawshop",tblDowntime[[#This Row],[Failure Type]]="Electrical",tblDowntime[[#This Row],[Failure Type]]="Mechanical"),tblDowntime[[#This Row],[Downtime Hours]],"")</f>
        <v/>
      </c>
      <c r="K629" s="10" t="n"/>
      <c r="L629" s="10" t="n"/>
      <c r="M629">
        <f>IF(tblDowntime[[#This Row],[Maintenance Downtime Hours]]="","",tblDowntime[[#This Row],[Equipment ID]])</f>
        <v/>
      </c>
      <c r="N629" s="1">
        <f>IF(tblDowntime[[#This Row],[Failure Type]]="Production",tblDowntime[[#This Row],[Downtime Hours]],"")</f>
        <v/>
      </c>
      <c r="O629">
        <f>IF(tblDowntime[[#This Row],[Production Downtime Hours]]="","",tblDowntime[[#This Row],[Equipment ID]])</f>
        <v/>
      </c>
      <c r="P629" s="10" t="n"/>
    </row>
    <row r="630">
      <c r="B630">
        <f t="array" ref="B630">_xlfn.XLOOKUP(C630,INDIRECT("tblEquipment[Equipment ID]"),INDIRECT("tblEquipment[Production Department]"),"")</f>
        <v/>
      </c>
      <c r="D630">
        <f t="array" ref="D630">_xlfn.XLOOKUP(C630,INDIRECT("tblEquipment[Equipment ID]"),INDIRECT("tblEquipment[Equipment Name]"),"")</f>
        <v/>
      </c>
      <c r="F630" s="16" t="n"/>
      <c r="G630" s="16" t="n"/>
      <c r="H630" s="1">
        <f>IF(OR(F630=0,G630=0),"",(G630-F630)*24)</f>
        <v/>
      </c>
      <c r="I630" s="10" t="n"/>
      <c r="J630" s="1">
        <f>IF(OR(tblDowntime[[#This Row],[Failure Type]]="Sawshop",tblDowntime[[#This Row],[Failure Type]]="Electrical",tblDowntime[[#This Row],[Failure Type]]="Mechanical"),tblDowntime[[#This Row],[Downtime Hours]],"")</f>
        <v/>
      </c>
      <c r="K630" s="10" t="n"/>
      <c r="L630" s="10" t="n"/>
      <c r="M630">
        <f>IF(tblDowntime[[#This Row],[Maintenance Downtime Hours]]="","",tblDowntime[[#This Row],[Equipment ID]])</f>
        <v/>
      </c>
      <c r="N630" s="1">
        <f>IF(tblDowntime[[#This Row],[Failure Type]]="Production",tblDowntime[[#This Row],[Downtime Hours]],"")</f>
        <v/>
      </c>
      <c r="O630">
        <f>IF(tblDowntime[[#This Row],[Production Downtime Hours]]="","",tblDowntime[[#This Row],[Equipment ID]])</f>
        <v/>
      </c>
      <c r="P630" s="10" t="n"/>
    </row>
    <row r="631">
      <c r="B631">
        <f t="array" ref="B631">_xlfn.XLOOKUP(C631,INDIRECT("tblEquipment[Equipment ID]"),INDIRECT("tblEquipment[Production Department]"),"")</f>
        <v/>
      </c>
      <c r="D631">
        <f t="array" ref="D631">_xlfn.XLOOKUP(C631,INDIRECT("tblEquipment[Equipment ID]"),INDIRECT("tblEquipment[Equipment Name]"),"")</f>
        <v/>
      </c>
      <c r="F631" s="16" t="n"/>
      <c r="G631" s="16" t="n"/>
      <c r="H631" s="1">
        <f>IF(OR(F631=0,G631=0),"",(G631-F631)*24)</f>
        <v/>
      </c>
      <c r="I631" s="10" t="n"/>
      <c r="J631" s="1">
        <f>IF(OR(tblDowntime[[#This Row],[Failure Type]]="Sawshop",tblDowntime[[#This Row],[Failure Type]]="Electrical",tblDowntime[[#This Row],[Failure Type]]="Mechanical"),tblDowntime[[#This Row],[Downtime Hours]],"")</f>
        <v/>
      </c>
      <c r="K631" s="10" t="n"/>
      <c r="L631" s="10" t="n"/>
      <c r="M631">
        <f>IF(tblDowntime[[#This Row],[Maintenance Downtime Hours]]="","",tblDowntime[[#This Row],[Equipment ID]])</f>
        <v/>
      </c>
      <c r="N631" s="1">
        <f>IF(tblDowntime[[#This Row],[Failure Type]]="Production",tblDowntime[[#This Row],[Downtime Hours]],"")</f>
        <v/>
      </c>
      <c r="O631">
        <f>IF(tblDowntime[[#This Row],[Production Downtime Hours]]="","",tblDowntime[[#This Row],[Equipment ID]])</f>
        <v/>
      </c>
      <c r="P631" s="10" t="n"/>
    </row>
    <row r="632">
      <c r="B632">
        <f t="array" ref="B632">_xlfn.XLOOKUP(C632,INDIRECT("tblEquipment[Equipment ID]"),INDIRECT("tblEquipment[Production Department]"),"")</f>
        <v/>
      </c>
      <c r="D632">
        <f t="array" ref="D632">_xlfn.XLOOKUP(C632,INDIRECT("tblEquipment[Equipment ID]"),INDIRECT("tblEquipment[Equipment Name]"),"")</f>
        <v/>
      </c>
      <c r="F632" s="16" t="n"/>
      <c r="G632" s="16" t="n"/>
      <c r="H632" s="1">
        <f>IF(OR(F632=0,G632=0),"",(G632-F632)*24)</f>
        <v/>
      </c>
      <c r="I632" s="10" t="n"/>
      <c r="J632" s="1">
        <f>IF(OR(tblDowntime[[#This Row],[Failure Type]]="Sawshop",tblDowntime[[#This Row],[Failure Type]]="Electrical",tblDowntime[[#This Row],[Failure Type]]="Mechanical"),tblDowntime[[#This Row],[Downtime Hours]],"")</f>
        <v/>
      </c>
      <c r="K632" s="10" t="n"/>
      <c r="L632" s="10" t="n"/>
      <c r="M632">
        <f>IF(tblDowntime[[#This Row],[Maintenance Downtime Hours]]="","",tblDowntime[[#This Row],[Equipment ID]])</f>
        <v/>
      </c>
      <c r="N632" s="1">
        <f>IF(tblDowntime[[#This Row],[Failure Type]]="Production",tblDowntime[[#This Row],[Downtime Hours]],"")</f>
        <v/>
      </c>
      <c r="O632">
        <f>IF(tblDowntime[[#This Row],[Production Downtime Hours]]="","",tblDowntime[[#This Row],[Equipment ID]])</f>
        <v/>
      </c>
      <c r="P632" s="10" t="n"/>
    </row>
    <row r="633">
      <c r="B633">
        <f t="array" ref="B633">_xlfn.XLOOKUP(C633,INDIRECT("tblEquipment[Equipment ID]"),INDIRECT("tblEquipment[Production Department]"),"")</f>
        <v/>
      </c>
      <c r="D633">
        <f t="array" ref="D633">_xlfn.XLOOKUP(C633,INDIRECT("tblEquipment[Equipment ID]"),INDIRECT("tblEquipment[Equipment Name]"),"")</f>
        <v/>
      </c>
      <c r="F633" s="16" t="n"/>
      <c r="G633" s="16" t="n"/>
      <c r="H633" s="1">
        <f>IF(OR(F633=0,G633=0),"",(G633-F633)*24)</f>
        <v/>
      </c>
      <c r="I633" s="10" t="n"/>
      <c r="J633" s="1">
        <f>IF(OR(tblDowntime[[#This Row],[Failure Type]]="Sawshop",tblDowntime[[#This Row],[Failure Type]]="Electrical",tblDowntime[[#This Row],[Failure Type]]="Mechanical"),tblDowntime[[#This Row],[Downtime Hours]],"")</f>
        <v/>
      </c>
      <c r="K633" s="10" t="n"/>
      <c r="L633" s="10" t="n"/>
      <c r="M633">
        <f>IF(tblDowntime[[#This Row],[Maintenance Downtime Hours]]="","",tblDowntime[[#This Row],[Equipment ID]])</f>
        <v/>
      </c>
      <c r="N633" s="1">
        <f>IF(tblDowntime[[#This Row],[Failure Type]]="Production",tblDowntime[[#This Row],[Downtime Hours]],"")</f>
        <v/>
      </c>
      <c r="O633">
        <f>IF(tblDowntime[[#This Row],[Production Downtime Hours]]="","",tblDowntime[[#This Row],[Equipment ID]])</f>
        <v/>
      </c>
      <c r="P633" s="10" t="n"/>
    </row>
    <row r="634">
      <c r="B634">
        <f t="array" ref="B634">_xlfn.XLOOKUP(C634,INDIRECT("tblEquipment[Equipment ID]"),INDIRECT("tblEquipment[Production Department]"),"")</f>
        <v/>
      </c>
      <c r="D634">
        <f t="array" ref="D634">_xlfn.XLOOKUP(C634,INDIRECT("tblEquipment[Equipment ID]"),INDIRECT("tblEquipment[Equipment Name]"),"")</f>
        <v/>
      </c>
      <c r="F634" s="16" t="n"/>
      <c r="G634" s="16" t="n"/>
      <c r="H634" s="1">
        <f>IF(OR(F634=0,G634=0),"",(G634-F634)*24)</f>
        <v/>
      </c>
      <c r="I634" s="10" t="n"/>
      <c r="J634" s="1">
        <f>IF(OR(tblDowntime[[#This Row],[Failure Type]]="Sawshop",tblDowntime[[#This Row],[Failure Type]]="Electrical",tblDowntime[[#This Row],[Failure Type]]="Mechanical"),tblDowntime[[#This Row],[Downtime Hours]],"")</f>
        <v/>
      </c>
      <c r="K634" s="10" t="n"/>
      <c r="L634" s="10" t="n"/>
      <c r="M634">
        <f>IF(tblDowntime[[#This Row],[Maintenance Downtime Hours]]="","",tblDowntime[[#This Row],[Equipment ID]])</f>
        <v/>
      </c>
      <c r="N634" s="1">
        <f>IF(tblDowntime[[#This Row],[Failure Type]]="Production",tblDowntime[[#This Row],[Downtime Hours]],"")</f>
        <v/>
      </c>
      <c r="O634">
        <f>IF(tblDowntime[[#This Row],[Production Downtime Hours]]="","",tblDowntime[[#This Row],[Equipment ID]])</f>
        <v/>
      </c>
      <c r="P634" s="10" t="n"/>
    </row>
    <row r="635">
      <c r="B635">
        <f t="array" ref="B635">_xlfn.XLOOKUP(C635,INDIRECT("tblEquipment[Equipment ID]"),INDIRECT("tblEquipment[Production Department]"),"")</f>
        <v/>
      </c>
      <c r="D635">
        <f t="array" ref="D635">_xlfn.XLOOKUP(C635,INDIRECT("tblEquipment[Equipment ID]"),INDIRECT("tblEquipment[Equipment Name]"),"")</f>
        <v/>
      </c>
      <c r="F635" s="16" t="n"/>
      <c r="G635" s="16" t="n"/>
      <c r="H635" s="1">
        <f>IF(OR(F635=0,G635=0),"",(G635-F635)*24)</f>
        <v/>
      </c>
      <c r="I635" s="10" t="n"/>
      <c r="J635" s="1">
        <f>IF(OR(tblDowntime[[#This Row],[Failure Type]]="Sawshop",tblDowntime[[#This Row],[Failure Type]]="Electrical",tblDowntime[[#This Row],[Failure Type]]="Mechanical"),tblDowntime[[#This Row],[Downtime Hours]],"")</f>
        <v/>
      </c>
      <c r="K635" s="10" t="n"/>
      <c r="L635" s="10" t="n"/>
      <c r="M635">
        <f>IF(tblDowntime[[#This Row],[Maintenance Downtime Hours]]="","",tblDowntime[[#This Row],[Equipment ID]])</f>
        <v/>
      </c>
      <c r="N635" s="1">
        <f>IF(tblDowntime[[#This Row],[Failure Type]]="Production",tblDowntime[[#This Row],[Downtime Hours]],"")</f>
        <v/>
      </c>
      <c r="O635">
        <f>IF(tblDowntime[[#This Row],[Production Downtime Hours]]="","",tblDowntime[[#This Row],[Equipment ID]])</f>
        <v/>
      </c>
      <c r="P635" s="10" t="n"/>
    </row>
    <row r="636">
      <c r="B636">
        <f t="array" ref="B636">_xlfn.XLOOKUP(C636,INDIRECT("tblEquipment[Equipment ID]"),INDIRECT("tblEquipment[Production Department]"),"")</f>
        <v/>
      </c>
      <c r="D636">
        <f t="array" ref="D636">_xlfn.XLOOKUP(C636,INDIRECT("tblEquipment[Equipment ID]"),INDIRECT("tblEquipment[Equipment Name]"),"")</f>
        <v/>
      </c>
      <c r="F636" s="16" t="n"/>
      <c r="G636" s="16" t="n"/>
      <c r="H636" s="1">
        <f>IF(OR(F636=0,G636=0),"",(G636-F636)*24)</f>
        <v/>
      </c>
      <c r="I636" s="10" t="n"/>
      <c r="J636" s="1">
        <f>IF(OR(tblDowntime[[#This Row],[Failure Type]]="Sawshop",tblDowntime[[#This Row],[Failure Type]]="Electrical",tblDowntime[[#This Row],[Failure Type]]="Mechanical"),tblDowntime[[#This Row],[Downtime Hours]],"")</f>
        <v/>
      </c>
      <c r="K636" s="10" t="n"/>
      <c r="L636" s="10" t="n"/>
      <c r="M636">
        <f>IF(tblDowntime[[#This Row],[Maintenance Downtime Hours]]="","",tblDowntime[[#This Row],[Equipment ID]])</f>
        <v/>
      </c>
      <c r="N636" s="1">
        <f>IF(tblDowntime[[#This Row],[Failure Type]]="Production",tblDowntime[[#This Row],[Downtime Hours]],"")</f>
        <v/>
      </c>
      <c r="O636">
        <f>IF(tblDowntime[[#This Row],[Production Downtime Hours]]="","",tblDowntime[[#This Row],[Equipment ID]])</f>
        <v/>
      </c>
      <c r="P636" s="10" t="n"/>
    </row>
    <row r="637">
      <c r="B637">
        <f t="array" ref="B637">_xlfn.XLOOKUP(C637,INDIRECT("tblEquipment[Equipment ID]"),INDIRECT("tblEquipment[Production Department]"),"")</f>
        <v/>
      </c>
      <c r="D637">
        <f t="array" ref="D637">_xlfn.XLOOKUP(C637,INDIRECT("tblEquipment[Equipment ID]"),INDIRECT("tblEquipment[Equipment Name]"),"")</f>
        <v/>
      </c>
      <c r="F637" s="16" t="n"/>
      <c r="G637" s="16" t="n"/>
      <c r="H637" s="1">
        <f>IF(OR(F637=0,G637=0),"",(G637-F637)*24)</f>
        <v/>
      </c>
      <c r="I637" s="10" t="n"/>
      <c r="J637" s="1">
        <f>IF(OR(tblDowntime[[#This Row],[Failure Type]]="Sawshop",tblDowntime[[#This Row],[Failure Type]]="Electrical",tblDowntime[[#This Row],[Failure Type]]="Mechanical"),tblDowntime[[#This Row],[Downtime Hours]],"")</f>
        <v/>
      </c>
      <c r="K637" s="10" t="n"/>
      <c r="L637" s="10" t="n"/>
      <c r="M637">
        <f>IF(tblDowntime[[#This Row],[Maintenance Downtime Hours]]="","",tblDowntime[[#This Row],[Equipment ID]])</f>
        <v/>
      </c>
      <c r="N637" s="1">
        <f>IF(tblDowntime[[#This Row],[Failure Type]]="Production",tblDowntime[[#This Row],[Downtime Hours]],"")</f>
        <v/>
      </c>
      <c r="O637">
        <f>IF(tblDowntime[[#This Row],[Production Downtime Hours]]="","",tblDowntime[[#This Row],[Equipment ID]])</f>
        <v/>
      </c>
      <c r="P637" s="10" t="n"/>
    </row>
    <row r="638">
      <c r="B638">
        <f t="array" ref="B638">_xlfn.XLOOKUP(C638,INDIRECT("tblEquipment[Equipment ID]"),INDIRECT("tblEquipment[Production Department]"),"")</f>
        <v/>
      </c>
      <c r="D638">
        <f t="array" ref="D638">_xlfn.XLOOKUP(C638,INDIRECT("tblEquipment[Equipment ID]"),INDIRECT("tblEquipment[Equipment Name]"),"")</f>
        <v/>
      </c>
      <c r="F638" s="16" t="n"/>
      <c r="G638" s="16" t="n"/>
      <c r="H638" s="1">
        <f>IF(OR(F638=0,G638=0),"",(G638-F638)*24)</f>
        <v/>
      </c>
      <c r="I638" s="10" t="n"/>
      <c r="J638" s="1">
        <f>IF(OR(tblDowntime[[#This Row],[Failure Type]]="Sawshop",tblDowntime[[#This Row],[Failure Type]]="Electrical",tblDowntime[[#This Row],[Failure Type]]="Mechanical"),tblDowntime[[#This Row],[Downtime Hours]],"")</f>
        <v/>
      </c>
      <c r="K638" s="10" t="n"/>
      <c r="L638" s="10" t="n"/>
      <c r="M638">
        <f>IF(tblDowntime[[#This Row],[Maintenance Downtime Hours]]="","",tblDowntime[[#This Row],[Equipment ID]])</f>
        <v/>
      </c>
      <c r="N638" s="1">
        <f>IF(tblDowntime[[#This Row],[Failure Type]]="Production",tblDowntime[[#This Row],[Downtime Hours]],"")</f>
        <v/>
      </c>
      <c r="O638">
        <f>IF(tblDowntime[[#This Row],[Production Downtime Hours]]="","",tblDowntime[[#This Row],[Equipment ID]])</f>
        <v/>
      </c>
      <c r="P638" s="10" t="n"/>
    </row>
    <row r="639">
      <c r="B639">
        <f t="array" ref="B639">_xlfn.XLOOKUP(C639,INDIRECT("tblEquipment[Equipment ID]"),INDIRECT("tblEquipment[Production Department]"),"")</f>
        <v/>
      </c>
      <c r="D639">
        <f t="array" ref="D639">_xlfn.XLOOKUP(C639,INDIRECT("tblEquipment[Equipment ID]"),INDIRECT("tblEquipment[Equipment Name]"),"")</f>
        <v/>
      </c>
      <c r="F639" s="16" t="n"/>
      <c r="G639" s="16" t="n"/>
      <c r="H639" s="1">
        <f>IF(OR(F639=0,G639=0),"",(G639-F639)*24)</f>
        <v/>
      </c>
      <c r="I639" s="10" t="n"/>
      <c r="J639" s="1">
        <f>IF(OR(tblDowntime[[#This Row],[Failure Type]]="Sawshop",tblDowntime[[#This Row],[Failure Type]]="Electrical",tblDowntime[[#This Row],[Failure Type]]="Mechanical"),tblDowntime[[#This Row],[Downtime Hours]],"")</f>
        <v/>
      </c>
      <c r="K639" s="10" t="n"/>
      <c r="L639" s="10" t="n"/>
      <c r="M639">
        <f>IF(tblDowntime[[#This Row],[Maintenance Downtime Hours]]="","",tblDowntime[[#This Row],[Equipment ID]])</f>
        <v/>
      </c>
      <c r="N639" s="1">
        <f>IF(tblDowntime[[#This Row],[Failure Type]]="Production",tblDowntime[[#This Row],[Downtime Hours]],"")</f>
        <v/>
      </c>
      <c r="O639">
        <f>IF(tblDowntime[[#This Row],[Production Downtime Hours]]="","",tblDowntime[[#This Row],[Equipment ID]])</f>
        <v/>
      </c>
      <c r="P639" s="10" t="n"/>
    </row>
    <row r="640">
      <c r="B640">
        <f t="array" ref="B640">_xlfn.XLOOKUP(C640,INDIRECT("tblEquipment[Equipment ID]"),INDIRECT("tblEquipment[Production Department]"),"")</f>
        <v/>
      </c>
      <c r="D640">
        <f t="array" ref="D640">_xlfn.XLOOKUP(C640,INDIRECT("tblEquipment[Equipment ID]"),INDIRECT("tblEquipment[Equipment Name]"),"")</f>
        <v/>
      </c>
      <c r="F640" s="16" t="n"/>
      <c r="G640" s="16" t="n"/>
      <c r="H640" s="1">
        <f>IF(OR(F640=0,G640=0),"",(G640-F640)*24)</f>
        <v/>
      </c>
      <c r="I640" s="10" t="n"/>
      <c r="J640" s="1">
        <f>IF(OR(tblDowntime[[#This Row],[Failure Type]]="Sawshop",tblDowntime[[#This Row],[Failure Type]]="Electrical",tblDowntime[[#This Row],[Failure Type]]="Mechanical"),tblDowntime[[#This Row],[Downtime Hours]],"")</f>
        <v/>
      </c>
      <c r="K640" s="10" t="n"/>
      <c r="L640" s="10" t="n"/>
      <c r="M640">
        <f>IF(tblDowntime[[#This Row],[Maintenance Downtime Hours]]="","",tblDowntime[[#This Row],[Equipment ID]])</f>
        <v/>
      </c>
      <c r="N640" s="1">
        <f>IF(tblDowntime[[#This Row],[Failure Type]]="Production",tblDowntime[[#This Row],[Downtime Hours]],"")</f>
        <v/>
      </c>
      <c r="O640">
        <f>IF(tblDowntime[[#This Row],[Production Downtime Hours]]="","",tblDowntime[[#This Row],[Equipment ID]])</f>
        <v/>
      </c>
      <c r="P640" s="10" t="n"/>
    </row>
    <row r="641">
      <c r="B641">
        <f t="array" ref="B641">_xlfn.XLOOKUP(C641,INDIRECT("tblEquipment[Equipment ID]"),INDIRECT("tblEquipment[Production Department]"),"")</f>
        <v/>
      </c>
      <c r="D641">
        <f t="array" ref="D641">_xlfn.XLOOKUP(C641,INDIRECT("tblEquipment[Equipment ID]"),INDIRECT("tblEquipment[Equipment Name]"),"")</f>
        <v/>
      </c>
      <c r="F641" s="16" t="n"/>
      <c r="G641" s="16" t="n"/>
      <c r="H641" s="1">
        <f>IF(OR(F641=0,G641=0),"",(G641-F641)*24)</f>
        <v/>
      </c>
      <c r="I641" s="10" t="n"/>
      <c r="J641" s="1">
        <f>IF(OR(tblDowntime[[#This Row],[Failure Type]]="Sawshop",tblDowntime[[#This Row],[Failure Type]]="Electrical",tblDowntime[[#This Row],[Failure Type]]="Mechanical"),tblDowntime[[#This Row],[Downtime Hours]],"")</f>
        <v/>
      </c>
      <c r="K641" s="10" t="n"/>
      <c r="L641" s="10" t="n"/>
      <c r="M641">
        <f>IF(tblDowntime[[#This Row],[Maintenance Downtime Hours]]="","",tblDowntime[[#This Row],[Equipment ID]])</f>
        <v/>
      </c>
      <c r="N641" s="1">
        <f>IF(tblDowntime[[#This Row],[Failure Type]]="Production",tblDowntime[[#This Row],[Downtime Hours]],"")</f>
        <v/>
      </c>
      <c r="O641">
        <f>IF(tblDowntime[[#This Row],[Production Downtime Hours]]="","",tblDowntime[[#This Row],[Equipment ID]])</f>
        <v/>
      </c>
      <c r="P641" s="10" t="n"/>
    </row>
    <row r="642">
      <c r="B642">
        <f t="array" ref="B642">_xlfn.XLOOKUP(C642,INDIRECT("tblEquipment[Equipment ID]"),INDIRECT("tblEquipment[Production Department]"),"")</f>
        <v/>
      </c>
      <c r="D642">
        <f t="array" ref="D642">_xlfn.XLOOKUP(C642,INDIRECT("tblEquipment[Equipment ID]"),INDIRECT("tblEquipment[Equipment Name]"),"")</f>
        <v/>
      </c>
      <c r="F642" s="16" t="n"/>
      <c r="G642" s="16" t="n"/>
      <c r="H642" s="1">
        <f>IF(OR(F642=0,G642=0),"",(G642-F642)*24)</f>
        <v/>
      </c>
      <c r="I642" s="10" t="n"/>
      <c r="J642" s="1">
        <f>IF(OR(tblDowntime[[#This Row],[Failure Type]]="Sawshop",tblDowntime[[#This Row],[Failure Type]]="Electrical",tblDowntime[[#This Row],[Failure Type]]="Mechanical"),tblDowntime[[#This Row],[Downtime Hours]],"")</f>
        <v/>
      </c>
      <c r="K642" s="10" t="n"/>
      <c r="L642" s="10" t="n"/>
      <c r="M642">
        <f>IF(tblDowntime[[#This Row],[Maintenance Downtime Hours]]="","",tblDowntime[[#This Row],[Equipment ID]])</f>
        <v/>
      </c>
      <c r="N642" s="1">
        <f>IF(tblDowntime[[#This Row],[Failure Type]]="Production",tblDowntime[[#This Row],[Downtime Hours]],"")</f>
        <v/>
      </c>
      <c r="O642">
        <f>IF(tblDowntime[[#This Row],[Production Downtime Hours]]="","",tblDowntime[[#This Row],[Equipment ID]])</f>
        <v/>
      </c>
      <c r="P642" s="10" t="n"/>
    </row>
    <row r="643">
      <c r="B643">
        <f t="array" ref="B643">_xlfn.XLOOKUP(C643,INDIRECT("tblEquipment[Equipment ID]"),INDIRECT("tblEquipment[Production Department]"),"")</f>
        <v/>
      </c>
      <c r="D643">
        <f t="array" ref="D643">_xlfn.XLOOKUP(C643,INDIRECT("tblEquipment[Equipment ID]"),INDIRECT("tblEquipment[Equipment Name]"),"")</f>
        <v/>
      </c>
      <c r="F643" s="16" t="n"/>
      <c r="G643" s="16" t="n"/>
      <c r="H643" s="1">
        <f>IF(OR(F643=0,G643=0),"",(G643-F643)*24)</f>
        <v/>
      </c>
      <c r="I643" s="10" t="n"/>
      <c r="J643" s="1">
        <f>IF(OR(tblDowntime[[#This Row],[Failure Type]]="Sawshop",tblDowntime[[#This Row],[Failure Type]]="Electrical",tblDowntime[[#This Row],[Failure Type]]="Mechanical"),tblDowntime[[#This Row],[Downtime Hours]],"")</f>
        <v/>
      </c>
      <c r="K643" s="10" t="n"/>
      <c r="L643" s="10" t="n"/>
      <c r="M643">
        <f>IF(tblDowntime[[#This Row],[Maintenance Downtime Hours]]="","",tblDowntime[[#This Row],[Equipment ID]])</f>
        <v/>
      </c>
      <c r="N643" s="1">
        <f>IF(tblDowntime[[#This Row],[Failure Type]]="Production",tblDowntime[[#This Row],[Downtime Hours]],"")</f>
        <v/>
      </c>
      <c r="O643">
        <f>IF(tblDowntime[[#This Row],[Production Downtime Hours]]="","",tblDowntime[[#This Row],[Equipment ID]])</f>
        <v/>
      </c>
      <c r="P643" s="10" t="n"/>
    </row>
    <row r="644">
      <c r="B644">
        <f t="array" ref="B644">_xlfn.XLOOKUP(C644,INDIRECT("tblEquipment[Equipment ID]"),INDIRECT("tblEquipment[Production Department]"),"")</f>
        <v/>
      </c>
      <c r="D644">
        <f t="array" ref="D644">_xlfn.XLOOKUP(C644,INDIRECT("tblEquipment[Equipment ID]"),INDIRECT("tblEquipment[Equipment Name]"),"")</f>
        <v/>
      </c>
      <c r="F644" s="16" t="n"/>
      <c r="G644" s="16" t="n"/>
      <c r="H644" s="1">
        <f>IF(OR(F644=0,G644=0),"",(G644-F644)*24)</f>
        <v/>
      </c>
      <c r="I644" s="10" t="n"/>
      <c r="J644" s="1">
        <f>IF(OR(tblDowntime[[#This Row],[Failure Type]]="Sawshop",tblDowntime[[#This Row],[Failure Type]]="Electrical",tblDowntime[[#This Row],[Failure Type]]="Mechanical"),tblDowntime[[#This Row],[Downtime Hours]],"")</f>
        <v/>
      </c>
      <c r="K644" s="10" t="n"/>
      <c r="L644" s="10" t="n"/>
      <c r="M644">
        <f>IF(tblDowntime[[#This Row],[Maintenance Downtime Hours]]="","",tblDowntime[[#This Row],[Equipment ID]])</f>
        <v/>
      </c>
      <c r="N644" s="1">
        <f>IF(tblDowntime[[#This Row],[Failure Type]]="Production",tblDowntime[[#This Row],[Downtime Hours]],"")</f>
        <v/>
      </c>
      <c r="O644">
        <f>IF(tblDowntime[[#This Row],[Production Downtime Hours]]="","",tblDowntime[[#This Row],[Equipment ID]])</f>
        <v/>
      </c>
      <c r="P644" s="10" t="n"/>
    </row>
    <row r="645">
      <c r="B645">
        <f t="array" ref="B645">_xlfn.XLOOKUP(C645,INDIRECT("tblEquipment[Equipment ID]"),INDIRECT("tblEquipment[Production Department]"),"")</f>
        <v/>
      </c>
      <c r="D645">
        <f t="array" ref="D645">_xlfn.XLOOKUP(C645,INDIRECT("tblEquipment[Equipment ID]"),INDIRECT("tblEquipment[Equipment Name]"),"")</f>
        <v/>
      </c>
      <c r="F645" s="16" t="n"/>
      <c r="G645" s="16" t="n"/>
      <c r="H645" s="1">
        <f>IF(OR(F645=0,G645=0),"",(G645-F645)*24)</f>
        <v/>
      </c>
      <c r="I645" s="10" t="n"/>
      <c r="J645" s="1">
        <f>IF(OR(tblDowntime[[#This Row],[Failure Type]]="Sawshop",tblDowntime[[#This Row],[Failure Type]]="Electrical",tblDowntime[[#This Row],[Failure Type]]="Mechanical"),tblDowntime[[#This Row],[Downtime Hours]],"")</f>
        <v/>
      </c>
      <c r="K645" s="10" t="n"/>
      <c r="L645" s="10" t="n"/>
      <c r="M645">
        <f>IF(tblDowntime[[#This Row],[Maintenance Downtime Hours]]="","",tblDowntime[[#This Row],[Equipment ID]])</f>
        <v/>
      </c>
      <c r="N645" s="1">
        <f>IF(tblDowntime[[#This Row],[Failure Type]]="Production",tblDowntime[[#This Row],[Downtime Hours]],"")</f>
        <v/>
      </c>
      <c r="O645">
        <f>IF(tblDowntime[[#This Row],[Production Downtime Hours]]="","",tblDowntime[[#This Row],[Equipment ID]])</f>
        <v/>
      </c>
      <c r="P645" s="10" t="n"/>
    </row>
    <row r="646">
      <c r="B646">
        <f t="array" ref="B646">_xlfn.XLOOKUP(C646,INDIRECT("tblEquipment[Equipment ID]"),INDIRECT("tblEquipment[Production Department]"),"")</f>
        <v/>
      </c>
      <c r="D646">
        <f t="array" ref="D646">_xlfn.XLOOKUP(C646,INDIRECT("tblEquipment[Equipment ID]"),INDIRECT("tblEquipment[Equipment Name]"),"")</f>
        <v/>
      </c>
      <c r="F646" s="16" t="n"/>
      <c r="G646" s="16" t="n"/>
      <c r="H646" s="1">
        <f>IF(OR(F646=0,G646=0),"",(G646-F646)*24)</f>
        <v/>
      </c>
      <c r="I646" s="10" t="n"/>
      <c r="J646" s="1">
        <f>IF(OR(tblDowntime[[#This Row],[Failure Type]]="Sawshop",tblDowntime[[#This Row],[Failure Type]]="Electrical",tblDowntime[[#This Row],[Failure Type]]="Mechanical"),tblDowntime[[#This Row],[Downtime Hours]],"")</f>
        <v/>
      </c>
      <c r="K646" s="10" t="n"/>
      <c r="L646" s="10" t="n"/>
      <c r="M646">
        <f>IF(tblDowntime[[#This Row],[Maintenance Downtime Hours]]="","",tblDowntime[[#This Row],[Equipment ID]])</f>
        <v/>
      </c>
      <c r="N646" s="1">
        <f>IF(tblDowntime[[#This Row],[Failure Type]]="Production",tblDowntime[[#This Row],[Downtime Hours]],"")</f>
        <v/>
      </c>
      <c r="O646">
        <f>IF(tblDowntime[[#This Row],[Production Downtime Hours]]="","",tblDowntime[[#This Row],[Equipment ID]])</f>
        <v/>
      </c>
      <c r="P646" s="10" t="n"/>
    </row>
    <row r="647">
      <c r="B647">
        <f t="array" ref="B647">_xlfn.XLOOKUP(C647,INDIRECT("tblEquipment[Equipment ID]"),INDIRECT("tblEquipment[Production Department]"),"")</f>
        <v/>
      </c>
      <c r="D647">
        <f t="array" ref="D647">_xlfn.XLOOKUP(C647,INDIRECT("tblEquipment[Equipment ID]"),INDIRECT("tblEquipment[Equipment Name]"),"")</f>
        <v/>
      </c>
      <c r="F647" s="16" t="n"/>
      <c r="G647" s="16" t="n"/>
      <c r="H647" s="1">
        <f>IF(OR(F647=0,G647=0),"",(G647-F647)*24)</f>
        <v/>
      </c>
      <c r="I647" s="10" t="n"/>
      <c r="J647" s="1">
        <f>IF(OR(tblDowntime[[#This Row],[Failure Type]]="Sawshop",tblDowntime[[#This Row],[Failure Type]]="Electrical",tblDowntime[[#This Row],[Failure Type]]="Mechanical"),tblDowntime[[#This Row],[Downtime Hours]],"")</f>
        <v/>
      </c>
      <c r="K647" s="10" t="n"/>
      <c r="L647" s="10" t="n"/>
      <c r="M647">
        <f>IF(tblDowntime[[#This Row],[Maintenance Downtime Hours]]="","",tblDowntime[[#This Row],[Equipment ID]])</f>
        <v/>
      </c>
      <c r="N647" s="1">
        <f>IF(tblDowntime[[#This Row],[Failure Type]]="Production",tblDowntime[[#This Row],[Downtime Hours]],"")</f>
        <v/>
      </c>
      <c r="O647">
        <f>IF(tblDowntime[[#This Row],[Production Downtime Hours]]="","",tblDowntime[[#This Row],[Equipment ID]])</f>
        <v/>
      </c>
      <c r="P647" s="10" t="n"/>
    </row>
    <row r="648">
      <c r="B648">
        <f t="array" ref="B648">_xlfn.XLOOKUP(C648,INDIRECT("tblEquipment[Equipment ID]"),INDIRECT("tblEquipment[Production Department]"),"")</f>
        <v/>
      </c>
      <c r="D648">
        <f t="array" ref="D648">_xlfn.XLOOKUP(C648,INDIRECT("tblEquipment[Equipment ID]"),INDIRECT("tblEquipment[Equipment Name]"),"")</f>
        <v/>
      </c>
      <c r="F648" s="16" t="n"/>
      <c r="G648" s="16" t="n"/>
      <c r="H648" s="1">
        <f>IF(OR(F648=0,G648=0),"",(G648-F648)*24)</f>
        <v/>
      </c>
      <c r="I648" s="10" t="n"/>
      <c r="J648" s="1">
        <f>IF(OR(tblDowntime[[#This Row],[Failure Type]]="Sawshop",tblDowntime[[#This Row],[Failure Type]]="Electrical",tblDowntime[[#This Row],[Failure Type]]="Mechanical"),tblDowntime[[#This Row],[Downtime Hours]],"")</f>
        <v/>
      </c>
      <c r="K648" s="10" t="n"/>
      <c r="L648" s="10" t="n"/>
      <c r="M648">
        <f>IF(tblDowntime[[#This Row],[Maintenance Downtime Hours]]="","",tblDowntime[[#This Row],[Equipment ID]])</f>
        <v/>
      </c>
      <c r="N648" s="1">
        <f>IF(tblDowntime[[#This Row],[Failure Type]]="Production",tblDowntime[[#This Row],[Downtime Hours]],"")</f>
        <v/>
      </c>
      <c r="O648">
        <f>IF(tblDowntime[[#This Row],[Production Downtime Hours]]="","",tblDowntime[[#This Row],[Equipment ID]])</f>
        <v/>
      </c>
      <c r="P648" s="10" t="n"/>
    </row>
    <row r="649">
      <c r="B649">
        <f t="array" ref="B649">_xlfn.XLOOKUP(C649,INDIRECT("tblEquipment[Equipment ID]"),INDIRECT("tblEquipment[Production Department]"),"")</f>
        <v/>
      </c>
      <c r="D649">
        <f t="array" ref="D649">_xlfn.XLOOKUP(C649,INDIRECT("tblEquipment[Equipment ID]"),INDIRECT("tblEquipment[Equipment Name]"),"")</f>
        <v/>
      </c>
      <c r="F649" s="16" t="n"/>
      <c r="G649" s="16" t="n"/>
      <c r="H649" s="1">
        <f>IF(OR(F649=0,G649=0),"",(G649-F649)*24)</f>
        <v/>
      </c>
      <c r="I649" s="10" t="n"/>
      <c r="J649" s="1">
        <f>IF(OR(tblDowntime[[#This Row],[Failure Type]]="Sawshop",tblDowntime[[#This Row],[Failure Type]]="Electrical",tblDowntime[[#This Row],[Failure Type]]="Mechanical"),tblDowntime[[#This Row],[Downtime Hours]],"")</f>
        <v/>
      </c>
      <c r="K649" s="10" t="n"/>
      <c r="L649" s="10" t="n"/>
      <c r="M649">
        <f>IF(tblDowntime[[#This Row],[Maintenance Downtime Hours]]="","",tblDowntime[[#This Row],[Equipment ID]])</f>
        <v/>
      </c>
      <c r="N649" s="1">
        <f>IF(tblDowntime[[#This Row],[Failure Type]]="Production",tblDowntime[[#This Row],[Downtime Hours]],"")</f>
        <v/>
      </c>
      <c r="O649">
        <f>IF(tblDowntime[[#This Row],[Production Downtime Hours]]="","",tblDowntime[[#This Row],[Equipment ID]])</f>
        <v/>
      </c>
      <c r="P649" s="10" t="n"/>
    </row>
    <row r="650">
      <c r="B650">
        <f t="array" ref="B650">_xlfn.XLOOKUP(C650,INDIRECT("tblEquipment[Equipment ID]"),INDIRECT("tblEquipment[Production Department]"),"")</f>
        <v/>
      </c>
      <c r="D650">
        <f t="array" ref="D650">_xlfn.XLOOKUP(C650,INDIRECT("tblEquipment[Equipment ID]"),INDIRECT("tblEquipment[Equipment Name]"),"")</f>
        <v/>
      </c>
      <c r="F650" s="16" t="n"/>
      <c r="G650" s="16" t="n"/>
      <c r="H650" s="1">
        <f>IF(OR(F650=0,G650=0),"",(G650-F650)*24)</f>
        <v/>
      </c>
      <c r="I650" s="10" t="n"/>
      <c r="J650" s="1">
        <f>IF(OR(tblDowntime[[#This Row],[Failure Type]]="Sawshop",tblDowntime[[#This Row],[Failure Type]]="Electrical",tblDowntime[[#This Row],[Failure Type]]="Mechanical"),tblDowntime[[#This Row],[Downtime Hours]],"")</f>
        <v/>
      </c>
      <c r="K650" s="10" t="n"/>
      <c r="L650" s="10" t="n"/>
      <c r="M650">
        <f>IF(tblDowntime[[#This Row],[Maintenance Downtime Hours]]="","",tblDowntime[[#This Row],[Equipment ID]])</f>
        <v/>
      </c>
      <c r="N650" s="1">
        <f>IF(tblDowntime[[#This Row],[Failure Type]]="Production",tblDowntime[[#This Row],[Downtime Hours]],"")</f>
        <v/>
      </c>
      <c r="O650">
        <f>IF(tblDowntime[[#This Row],[Production Downtime Hours]]="","",tblDowntime[[#This Row],[Equipment ID]])</f>
        <v/>
      </c>
      <c r="P650" s="10" t="n"/>
    </row>
    <row r="651">
      <c r="B651">
        <f t="array" ref="B651">_xlfn.XLOOKUP(C651,INDIRECT("tblEquipment[Equipment ID]"),INDIRECT("tblEquipment[Production Department]"),"")</f>
        <v/>
      </c>
      <c r="D651">
        <f t="array" ref="D651">_xlfn.XLOOKUP(C651,INDIRECT("tblEquipment[Equipment ID]"),INDIRECT("tblEquipment[Equipment Name]"),"")</f>
        <v/>
      </c>
      <c r="F651" s="16" t="n"/>
      <c r="G651" s="16" t="n"/>
      <c r="H651" s="1">
        <f>IF(OR(F651=0,G651=0),"",(G651-F651)*24)</f>
        <v/>
      </c>
      <c r="I651" s="10" t="n"/>
      <c r="J651" s="1">
        <f>IF(OR(tblDowntime[[#This Row],[Failure Type]]="Sawshop",tblDowntime[[#This Row],[Failure Type]]="Electrical",tblDowntime[[#This Row],[Failure Type]]="Mechanical"),tblDowntime[[#This Row],[Downtime Hours]],"")</f>
        <v/>
      </c>
      <c r="K651" s="10" t="n"/>
      <c r="L651" s="10" t="n"/>
      <c r="M651">
        <f>IF(tblDowntime[[#This Row],[Maintenance Downtime Hours]]="","",tblDowntime[[#This Row],[Equipment ID]])</f>
        <v/>
      </c>
      <c r="N651" s="1">
        <f>IF(tblDowntime[[#This Row],[Failure Type]]="Production",tblDowntime[[#This Row],[Downtime Hours]],"")</f>
        <v/>
      </c>
      <c r="O651">
        <f>IF(tblDowntime[[#This Row],[Production Downtime Hours]]="","",tblDowntime[[#This Row],[Equipment ID]])</f>
        <v/>
      </c>
      <c r="P651" s="10" t="n"/>
    </row>
    <row r="652">
      <c r="B652">
        <f t="array" ref="B652">_xlfn.XLOOKUP(C652,INDIRECT("tblEquipment[Equipment ID]"),INDIRECT("tblEquipment[Production Department]"),"")</f>
        <v/>
      </c>
      <c r="D652">
        <f t="array" ref="D652">_xlfn.XLOOKUP(C652,INDIRECT("tblEquipment[Equipment ID]"),INDIRECT("tblEquipment[Equipment Name]"),"")</f>
        <v/>
      </c>
      <c r="F652" s="16" t="n"/>
      <c r="G652" s="16" t="n"/>
      <c r="H652" s="1">
        <f>IF(OR(F652=0,G652=0),"",(G652-F652)*24)</f>
        <v/>
      </c>
      <c r="I652" s="10" t="n"/>
      <c r="J652" s="1">
        <f>IF(OR(tblDowntime[[#This Row],[Failure Type]]="Sawshop",tblDowntime[[#This Row],[Failure Type]]="Electrical",tblDowntime[[#This Row],[Failure Type]]="Mechanical"),tblDowntime[[#This Row],[Downtime Hours]],"")</f>
        <v/>
      </c>
      <c r="K652" s="10" t="n"/>
      <c r="L652" s="10" t="n"/>
      <c r="M652">
        <f>IF(tblDowntime[[#This Row],[Maintenance Downtime Hours]]="","",tblDowntime[[#This Row],[Equipment ID]])</f>
        <v/>
      </c>
      <c r="N652" s="1">
        <f>IF(tblDowntime[[#This Row],[Failure Type]]="Production",tblDowntime[[#This Row],[Downtime Hours]],"")</f>
        <v/>
      </c>
      <c r="O652">
        <f>IF(tblDowntime[[#This Row],[Production Downtime Hours]]="","",tblDowntime[[#This Row],[Equipment ID]])</f>
        <v/>
      </c>
      <c r="P652" s="10" t="n"/>
    </row>
    <row r="653">
      <c r="B653">
        <f t="array" ref="B653">_xlfn.XLOOKUP(C653,INDIRECT("tblEquipment[Equipment ID]"),INDIRECT("tblEquipment[Production Department]"),"")</f>
        <v/>
      </c>
      <c r="D653">
        <f t="array" ref="D653">_xlfn.XLOOKUP(C653,INDIRECT("tblEquipment[Equipment ID]"),INDIRECT("tblEquipment[Equipment Name]"),"")</f>
        <v/>
      </c>
      <c r="F653" s="16" t="n"/>
      <c r="G653" s="16" t="n"/>
      <c r="H653" s="1">
        <f>IF(OR(F653=0,G653=0),"",(G653-F653)*24)</f>
        <v/>
      </c>
      <c r="I653" s="10" t="n"/>
      <c r="J653" s="1">
        <f>IF(OR(tblDowntime[[#This Row],[Failure Type]]="Sawshop",tblDowntime[[#This Row],[Failure Type]]="Electrical",tblDowntime[[#This Row],[Failure Type]]="Mechanical"),tblDowntime[[#This Row],[Downtime Hours]],"")</f>
        <v/>
      </c>
      <c r="K653" s="10" t="n"/>
      <c r="L653" s="10" t="n"/>
      <c r="M653">
        <f>IF(tblDowntime[[#This Row],[Maintenance Downtime Hours]]="","",tblDowntime[[#This Row],[Equipment ID]])</f>
        <v/>
      </c>
      <c r="N653" s="1">
        <f>IF(tblDowntime[[#This Row],[Failure Type]]="Production",tblDowntime[[#This Row],[Downtime Hours]],"")</f>
        <v/>
      </c>
      <c r="O653">
        <f>IF(tblDowntime[[#This Row],[Production Downtime Hours]]="","",tblDowntime[[#This Row],[Equipment ID]])</f>
        <v/>
      </c>
      <c r="P653" s="10" t="n"/>
    </row>
    <row r="654">
      <c r="B654">
        <f t="array" ref="B654">_xlfn.XLOOKUP(C654,INDIRECT("tblEquipment[Equipment ID]"),INDIRECT("tblEquipment[Production Department]"),"")</f>
        <v/>
      </c>
      <c r="D654">
        <f t="array" ref="D654">_xlfn.XLOOKUP(C654,INDIRECT("tblEquipment[Equipment ID]"),INDIRECT("tblEquipment[Equipment Name]"),"")</f>
        <v/>
      </c>
      <c r="F654" s="16" t="n"/>
      <c r="G654" s="16" t="n"/>
      <c r="H654" s="1">
        <f>IF(OR(F654=0,G654=0),"",(G654-F654)*24)</f>
        <v/>
      </c>
      <c r="I654" s="10" t="n"/>
      <c r="J654" s="1">
        <f>IF(OR(tblDowntime[[#This Row],[Failure Type]]="Sawshop",tblDowntime[[#This Row],[Failure Type]]="Electrical",tblDowntime[[#This Row],[Failure Type]]="Mechanical"),tblDowntime[[#This Row],[Downtime Hours]],"")</f>
        <v/>
      </c>
      <c r="K654" s="10" t="n"/>
      <c r="L654" s="10" t="n"/>
      <c r="M654">
        <f>IF(tblDowntime[[#This Row],[Maintenance Downtime Hours]]="","",tblDowntime[[#This Row],[Equipment ID]])</f>
        <v/>
      </c>
      <c r="N654" s="1">
        <f>IF(tblDowntime[[#This Row],[Failure Type]]="Production",tblDowntime[[#This Row],[Downtime Hours]],"")</f>
        <v/>
      </c>
      <c r="O654">
        <f>IF(tblDowntime[[#This Row],[Production Downtime Hours]]="","",tblDowntime[[#This Row],[Equipment ID]])</f>
        <v/>
      </c>
      <c r="P654" s="10" t="n"/>
    </row>
    <row r="655">
      <c r="B655">
        <f t="array" ref="B655">_xlfn.XLOOKUP(C655,INDIRECT("tblEquipment[Equipment ID]"),INDIRECT("tblEquipment[Production Department]"),"")</f>
        <v/>
      </c>
      <c r="D655">
        <f t="array" ref="D655">_xlfn.XLOOKUP(C655,INDIRECT("tblEquipment[Equipment ID]"),INDIRECT("tblEquipment[Equipment Name]"),"")</f>
        <v/>
      </c>
      <c r="F655" s="16" t="n"/>
      <c r="G655" s="16" t="n"/>
      <c r="H655" s="1">
        <f>IF(OR(F655=0,G655=0),"",(G655-F655)*24)</f>
        <v/>
      </c>
      <c r="I655" s="10" t="n"/>
      <c r="J655" s="1">
        <f>IF(OR(tblDowntime[[#This Row],[Failure Type]]="Sawshop",tblDowntime[[#This Row],[Failure Type]]="Electrical",tblDowntime[[#This Row],[Failure Type]]="Mechanical"),tblDowntime[[#This Row],[Downtime Hours]],"")</f>
        <v/>
      </c>
      <c r="K655" s="10" t="n"/>
      <c r="L655" s="10" t="n"/>
      <c r="M655">
        <f>IF(tblDowntime[[#This Row],[Maintenance Downtime Hours]]="","",tblDowntime[[#This Row],[Equipment ID]])</f>
        <v/>
      </c>
      <c r="N655" s="1">
        <f>IF(tblDowntime[[#This Row],[Failure Type]]="Production",tblDowntime[[#This Row],[Downtime Hours]],"")</f>
        <v/>
      </c>
      <c r="O655">
        <f>IF(tblDowntime[[#This Row],[Production Downtime Hours]]="","",tblDowntime[[#This Row],[Equipment ID]])</f>
        <v/>
      </c>
      <c r="P655" s="10" t="n"/>
    </row>
    <row r="656">
      <c r="B656">
        <f t="array" ref="B656">_xlfn.XLOOKUP(C656,INDIRECT("tblEquipment[Equipment ID]"),INDIRECT("tblEquipment[Production Department]"),"")</f>
        <v/>
      </c>
      <c r="D656">
        <f t="array" ref="D656">_xlfn.XLOOKUP(C656,INDIRECT("tblEquipment[Equipment ID]"),INDIRECT("tblEquipment[Equipment Name]"),"")</f>
        <v/>
      </c>
      <c r="F656" s="16" t="n"/>
      <c r="G656" s="16" t="n"/>
      <c r="H656" s="1">
        <f>IF(OR(F656=0,G656=0),"",(G656-F656)*24)</f>
        <v/>
      </c>
      <c r="I656" s="10" t="n"/>
      <c r="J656" s="1">
        <f>IF(OR(tblDowntime[[#This Row],[Failure Type]]="Sawshop",tblDowntime[[#This Row],[Failure Type]]="Electrical",tblDowntime[[#This Row],[Failure Type]]="Mechanical"),tblDowntime[[#This Row],[Downtime Hours]],"")</f>
        <v/>
      </c>
      <c r="K656" s="10" t="n"/>
      <c r="L656" s="10" t="n"/>
      <c r="M656">
        <f>IF(tblDowntime[[#This Row],[Maintenance Downtime Hours]]="","",tblDowntime[[#This Row],[Equipment ID]])</f>
        <v/>
      </c>
      <c r="N656" s="1">
        <f>IF(tblDowntime[[#This Row],[Failure Type]]="Production",tblDowntime[[#This Row],[Downtime Hours]],"")</f>
        <v/>
      </c>
      <c r="O656">
        <f>IF(tblDowntime[[#This Row],[Production Downtime Hours]]="","",tblDowntime[[#This Row],[Equipment ID]])</f>
        <v/>
      </c>
      <c r="P656" s="10" t="n"/>
    </row>
    <row r="657">
      <c r="B657">
        <f t="array" ref="B657">_xlfn.XLOOKUP(C657,INDIRECT("tblEquipment[Equipment ID]"),INDIRECT("tblEquipment[Production Department]"),"")</f>
        <v/>
      </c>
      <c r="D657">
        <f t="array" ref="D657">_xlfn.XLOOKUP(C657,INDIRECT("tblEquipment[Equipment ID]"),INDIRECT("tblEquipment[Equipment Name]"),"")</f>
        <v/>
      </c>
      <c r="F657" s="16" t="n"/>
      <c r="G657" s="16" t="n"/>
      <c r="H657" s="1">
        <f>IF(OR(F657=0,G657=0),"",(G657-F657)*24)</f>
        <v/>
      </c>
      <c r="I657" s="10" t="n"/>
      <c r="J657" s="1">
        <f>IF(OR(tblDowntime[[#This Row],[Failure Type]]="Sawshop",tblDowntime[[#This Row],[Failure Type]]="Electrical",tblDowntime[[#This Row],[Failure Type]]="Mechanical"),tblDowntime[[#This Row],[Downtime Hours]],"")</f>
        <v/>
      </c>
      <c r="K657" s="10" t="n"/>
      <c r="L657" s="10" t="n"/>
      <c r="M657">
        <f>IF(tblDowntime[[#This Row],[Maintenance Downtime Hours]]="","",tblDowntime[[#This Row],[Equipment ID]])</f>
        <v/>
      </c>
      <c r="N657" s="1">
        <f>IF(tblDowntime[[#This Row],[Failure Type]]="Production",tblDowntime[[#This Row],[Downtime Hours]],"")</f>
        <v/>
      </c>
      <c r="O657">
        <f>IF(tblDowntime[[#This Row],[Production Downtime Hours]]="","",tblDowntime[[#This Row],[Equipment ID]])</f>
        <v/>
      </c>
      <c r="P657" s="10" t="n"/>
    </row>
    <row r="658">
      <c r="B658">
        <f t="array" ref="B658">_xlfn.XLOOKUP(C658,INDIRECT("tblEquipment[Equipment ID]"),INDIRECT("tblEquipment[Production Department]"),"")</f>
        <v/>
      </c>
      <c r="D658">
        <f t="array" ref="D658">_xlfn.XLOOKUP(C658,INDIRECT("tblEquipment[Equipment ID]"),INDIRECT("tblEquipment[Equipment Name]"),"")</f>
        <v/>
      </c>
      <c r="F658" s="16" t="n"/>
      <c r="G658" s="16" t="n"/>
      <c r="H658" s="1">
        <f>IF(OR(F658=0,G658=0),"",(G658-F658)*24)</f>
        <v/>
      </c>
      <c r="I658" s="10" t="n"/>
      <c r="J658" s="1">
        <f>IF(OR(tblDowntime[[#This Row],[Failure Type]]="Sawshop",tblDowntime[[#This Row],[Failure Type]]="Electrical",tblDowntime[[#This Row],[Failure Type]]="Mechanical"),tblDowntime[[#This Row],[Downtime Hours]],"")</f>
        <v/>
      </c>
      <c r="K658" s="10" t="n"/>
      <c r="L658" s="10" t="n"/>
      <c r="M658">
        <f>IF(tblDowntime[[#This Row],[Maintenance Downtime Hours]]="","",tblDowntime[[#This Row],[Equipment ID]])</f>
        <v/>
      </c>
      <c r="N658" s="1">
        <f>IF(tblDowntime[[#This Row],[Failure Type]]="Production",tblDowntime[[#This Row],[Downtime Hours]],"")</f>
        <v/>
      </c>
      <c r="O658">
        <f>IF(tblDowntime[[#This Row],[Production Downtime Hours]]="","",tblDowntime[[#This Row],[Equipment ID]])</f>
        <v/>
      </c>
      <c r="P658" s="10" t="n"/>
    </row>
    <row r="659">
      <c r="B659">
        <f t="array" ref="B659">_xlfn.XLOOKUP(C659,INDIRECT("tblEquipment[Equipment ID]"),INDIRECT("tblEquipment[Production Department]"),"")</f>
        <v/>
      </c>
      <c r="D659">
        <f t="array" ref="D659">_xlfn.XLOOKUP(C659,INDIRECT("tblEquipment[Equipment ID]"),INDIRECT("tblEquipment[Equipment Name]"),"")</f>
        <v/>
      </c>
      <c r="F659" s="16" t="n"/>
      <c r="G659" s="16" t="n"/>
      <c r="H659" s="1">
        <f>IF(OR(F659=0,G659=0),"",(G659-F659)*24)</f>
        <v/>
      </c>
      <c r="I659" s="10" t="n"/>
      <c r="J659" s="1">
        <f>IF(OR(tblDowntime[[#This Row],[Failure Type]]="Sawshop",tblDowntime[[#This Row],[Failure Type]]="Electrical",tblDowntime[[#This Row],[Failure Type]]="Mechanical"),tblDowntime[[#This Row],[Downtime Hours]],"")</f>
        <v/>
      </c>
      <c r="K659" s="10" t="n"/>
      <c r="L659" s="10" t="n"/>
      <c r="M659">
        <f>IF(tblDowntime[[#This Row],[Maintenance Downtime Hours]]="","",tblDowntime[[#This Row],[Equipment ID]])</f>
        <v/>
      </c>
      <c r="N659" s="1">
        <f>IF(tblDowntime[[#This Row],[Failure Type]]="Production",tblDowntime[[#This Row],[Downtime Hours]],"")</f>
        <v/>
      </c>
      <c r="O659">
        <f>IF(tblDowntime[[#This Row],[Production Downtime Hours]]="","",tblDowntime[[#This Row],[Equipment ID]])</f>
        <v/>
      </c>
      <c r="P659" s="10" t="n"/>
    </row>
    <row r="660">
      <c r="B660">
        <f t="array" ref="B660">_xlfn.XLOOKUP(C660,INDIRECT("tblEquipment[Equipment ID]"),INDIRECT("tblEquipment[Production Department]"),"")</f>
        <v/>
      </c>
      <c r="D660">
        <f t="array" ref="D660">_xlfn.XLOOKUP(C660,INDIRECT("tblEquipment[Equipment ID]"),INDIRECT("tblEquipment[Equipment Name]"),"")</f>
        <v/>
      </c>
      <c r="F660" s="16" t="n"/>
      <c r="G660" s="16" t="n"/>
      <c r="H660" s="1">
        <f>IF(OR(F660=0,G660=0),"",(G660-F660)*24)</f>
        <v/>
      </c>
      <c r="I660" s="10" t="n"/>
      <c r="J660" s="1">
        <f>IF(OR(tblDowntime[[#This Row],[Failure Type]]="Sawshop",tblDowntime[[#This Row],[Failure Type]]="Electrical",tblDowntime[[#This Row],[Failure Type]]="Mechanical"),tblDowntime[[#This Row],[Downtime Hours]],"")</f>
        <v/>
      </c>
      <c r="K660" s="10" t="n"/>
      <c r="L660" s="10" t="n"/>
      <c r="M660">
        <f>IF(tblDowntime[[#This Row],[Maintenance Downtime Hours]]="","",tblDowntime[[#This Row],[Equipment ID]])</f>
        <v/>
      </c>
      <c r="N660" s="1">
        <f>IF(tblDowntime[[#This Row],[Failure Type]]="Production",tblDowntime[[#This Row],[Downtime Hours]],"")</f>
        <v/>
      </c>
      <c r="O660">
        <f>IF(tblDowntime[[#This Row],[Production Downtime Hours]]="","",tblDowntime[[#This Row],[Equipment ID]])</f>
        <v/>
      </c>
      <c r="P660" s="10" t="n"/>
    </row>
    <row r="661">
      <c r="B661">
        <f t="array" ref="B661">_xlfn.XLOOKUP(C661,INDIRECT("tblEquipment[Equipment ID]"),INDIRECT("tblEquipment[Production Department]"),"")</f>
        <v/>
      </c>
      <c r="D661">
        <f t="array" ref="D661">_xlfn.XLOOKUP(C661,INDIRECT("tblEquipment[Equipment ID]"),INDIRECT("tblEquipment[Equipment Name]"),"")</f>
        <v/>
      </c>
      <c r="F661" s="16" t="n"/>
      <c r="G661" s="16" t="n"/>
      <c r="H661" s="1">
        <f>IF(OR(F661=0,G661=0),"",(G661-F661)*24)</f>
        <v/>
      </c>
      <c r="I661" s="10" t="n"/>
      <c r="J661" s="1">
        <f>IF(OR(tblDowntime[[#This Row],[Failure Type]]="Sawshop",tblDowntime[[#This Row],[Failure Type]]="Electrical",tblDowntime[[#This Row],[Failure Type]]="Mechanical"),tblDowntime[[#This Row],[Downtime Hours]],"")</f>
        <v/>
      </c>
      <c r="K661" s="10" t="n"/>
      <c r="L661" s="10" t="n"/>
      <c r="M661">
        <f>IF(tblDowntime[[#This Row],[Maintenance Downtime Hours]]="","",tblDowntime[[#This Row],[Equipment ID]])</f>
        <v/>
      </c>
      <c r="N661" s="1">
        <f>IF(tblDowntime[[#This Row],[Failure Type]]="Production",tblDowntime[[#This Row],[Downtime Hours]],"")</f>
        <v/>
      </c>
      <c r="O661">
        <f>IF(tblDowntime[[#This Row],[Production Downtime Hours]]="","",tblDowntime[[#This Row],[Equipment ID]])</f>
        <v/>
      </c>
      <c r="P661" s="10" t="n"/>
    </row>
    <row r="662">
      <c r="B662">
        <f t="array" ref="B662">_xlfn.XLOOKUP(C662,INDIRECT("tblEquipment[Equipment ID]"),INDIRECT("tblEquipment[Production Department]"),"")</f>
        <v/>
      </c>
      <c r="D662">
        <f t="array" ref="D662">_xlfn.XLOOKUP(C662,INDIRECT("tblEquipment[Equipment ID]"),INDIRECT("tblEquipment[Equipment Name]"),"")</f>
        <v/>
      </c>
      <c r="F662" s="16" t="n"/>
      <c r="G662" s="16" t="n"/>
      <c r="H662" s="1">
        <f>IF(OR(F662=0,G662=0),"",(G662-F662)*24)</f>
        <v/>
      </c>
      <c r="I662" s="10" t="n"/>
      <c r="J662" s="1">
        <f>IF(OR(tblDowntime[[#This Row],[Failure Type]]="Sawshop",tblDowntime[[#This Row],[Failure Type]]="Electrical",tblDowntime[[#This Row],[Failure Type]]="Mechanical"),tblDowntime[[#This Row],[Downtime Hours]],"")</f>
        <v/>
      </c>
      <c r="K662" s="10" t="n"/>
      <c r="L662" s="10" t="n"/>
      <c r="M662">
        <f>IF(tblDowntime[[#This Row],[Maintenance Downtime Hours]]="","",tblDowntime[[#This Row],[Equipment ID]])</f>
        <v/>
      </c>
      <c r="N662" s="1">
        <f>IF(tblDowntime[[#This Row],[Failure Type]]="Production",tblDowntime[[#This Row],[Downtime Hours]],"")</f>
        <v/>
      </c>
      <c r="O662">
        <f>IF(tblDowntime[[#This Row],[Production Downtime Hours]]="","",tblDowntime[[#This Row],[Equipment ID]])</f>
        <v/>
      </c>
      <c r="P662" s="10" t="n"/>
    </row>
    <row r="663">
      <c r="B663">
        <f t="array" ref="B663">_xlfn.XLOOKUP(C663,INDIRECT("tblEquipment[Equipment ID]"),INDIRECT("tblEquipment[Production Department]"),"")</f>
        <v/>
      </c>
      <c r="D663">
        <f t="array" ref="D663">_xlfn.XLOOKUP(C663,INDIRECT("tblEquipment[Equipment ID]"),INDIRECT("tblEquipment[Equipment Name]"),"")</f>
        <v/>
      </c>
      <c r="F663" s="16" t="n"/>
      <c r="G663" s="16" t="n"/>
      <c r="H663" s="1">
        <f>IF(OR(F663=0,G663=0),"",(G663-F663)*24)</f>
        <v/>
      </c>
      <c r="I663" s="10" t="n"/>
      <c r="J663" s="1">
        <f>IF(OR(tblDowntime[[#This Row],[Failure Type]]="Sawshop",tblDowntime[[#This Row],[Failure Type]]="Electrical",tblDowntime[[#This Row],[Failure Type]]="Mechanical"),tblDowntime[[#This Row],[Downtime Hours]],"")</f>
        <v/>
      </c>
      <c r="K663" s="10" t="n"/>
      <c r="L663" s="10" t="n"/>
      <c r="M663">
        <f>IF(tblDowntime[[#This Row],[Maintenance Downtime Hours]]="","",tblDowntime[[#This Row],[Equipment ID]])</f>
        <v/>
      </c>
      <c r="N663" s="1">
        <f>IF(tblDowntime[[#This Row],[Failure Type]]="Production",tblDowntime[[#This Row],[Downtime Hours]],"")</f>
        <v/>
      </c>
      <c r="O663">
        <f>IF(tblDowntime[[#This Row],[Production Downtime Hours]]="","",tblDowntime[[#This Row],[Equipment ID]])</f>
        <v/>
      </c>
      <c r="P663" s="10" t="n"/>
    </row>
    <row r="664">
      <c r="B664">
        <f t="array" ref="B664">_xlfn.XLOOKUP(C664,INDIRECT("tblEquipment[Equipment ID]"),INDIRECT("tblEquipment[Production Department]"),"")</f>
        <v/>
      </c>
      <c r="D664">
        <f t="array" ref="D664">_xlfn.XLOOKUP(C664,INDIRECT("tblEquipment[Equipment ID]"),INDIRECT("tblEquipment[Equipment Name]"),"")</f>
        <v/>
      </c>
      <c r="F664" s="16" t="n"/>
      <c r="G664" s="16" t="n"/>
      <c r="H664" s="1">
        <f>IF(OR(F664=0,G664=0),"",(G664-F664)*24)</f>
        <v/>
      </c>
      <c r="I664" s="10" t="n"/>
      <c r="J664" s="1">
        <f>IF(OR(tblDowntime[[#This Row],[Failure Type]]="Sawshop",tblDowntime[[#This Row],[Failure Type]]="Electrical",tblDowntime[[#This Row],[Failure Type]]="Mechanical"),tblDowntime[[#This Row],[Downtime Hours]],"")</f>
        <v/>
      </c>
      <c r="K664" s="10" t="n"/>
      <c r="L664" s="10" t="n"/>
      <c r="M664">
        <f>IF(tblDowntime[[#This Row],[Maintenance Downtime Hours]]="","",tblDowntime[[#This Row],[Equipment ID]])</f>
        <v/>
      </c>
      <c r="N664" s="1">
        <f>IF(tblDowntime[[#This Row],[Failure Type]]="Production",tblDowntime[[#This Row],[Downtime Hours]],"")</f>
        <v/>
      </c>
      <c r="O664">
        <f>IF(tblDowntime[[#This Row],[Production Downtime Hours]]="","",tblDowntime[[#This Row],[Equipment ID]])</f>
        <v/>
      </c>
      <c r="P664" s="10" t="n"/>
    </row>
    <row r="665">
      <c r="B665">
        <f t="array" ref="B665">_xlfn.XLOOKUP(C665,INDIRECT("tblEquipment[Equipment ID]"),INDIRECT("tblEquipment[Production Department]"),"")</f>
        <v/>
      </c>
      <c r="D665">
        <f t="array" ref="D665">_xlfn.XLOOKUP(C665,INDIRECT("tblEquipment[Equipment ID]"),INDIRECT("tblEquipment[Equipment Name]"),"")</f>
        <v/>
      </c>
      <c r="F665" s="16" t="n"/>
      <c r="G665" s="16" t="n"/>
      <c r="H665" s="1">
        <f>IF(OR(F665=0,G665=0),"",(G665-F665)*24)</f>
        <v/>
      </c>
      <c r="I665" s="10" t="n"/>
      <c r="J665" s="1">
        <f>IF(OR(tblDowntime[[#This Row],[Failure Type]]="Sawshop",tblDowntime[[#This Row],[Failure Type]]="Electrical",tblDowntime[[#This Row],[Failure Type]]="Mechanical"),tblDowntime[[#This Row],[Downtime Hours]],"")</f>
        <v/>
      </c>
      <c r="K665" s="10" t="n"/>
      <c r="L665" s="10" t="n"/>
      <c r="M665">
        <f>IF(tblDowntime[[#This Row],[Maintenance Downtime Hours]]="","",tblDowntime[[#This Row],[Equipment ID]])</f>
        <v/>
      </c>
      <c r="N665" s="1">
        <f>IF(tblDowntime[[#This Row],[Failure Type]]="Production",tblDowntime[[#This Row],[Downtime Hours]],"")</f>
        <v/>
      </c>
      <c r="O665">
        <f>IF(tblDowntime[[#This Row],[Production Downtime Hours]]="","",tblDowntime[[#This Row],[Equipment ID]])</f>
        <v/>
      </c>
      <c r="P665" s="10" t="n"/>
    </row>
    <row r="666">
      <c r="B666">
        <f t="array" ref="B666">_xlfn.XLOOKUP(C666,INDIRECT("tblEquipment[Equipment ID]"),INDIRECT("tblEquipment[Production Department]"),"")</f>
        <v/>
      </c>
      <c r="D666">
        <f t="array" ref="D666">_xlfn.XLOOKUP(C666,INDIRECT("tblEquipment[Equipment ID]"),INDIRECT("tblEquipment[Equipment Name]"),"")</f>
        <v/>
      </c>
      <c r="F666" s="16" t="n"/>
      <c r="G666" s="16" t="n"/>
      <c r="H666" s="1">
        <f>IF(OR(F666=0,G666=0),"",(G666-F666)*24)</f>
        <v/>
      </c>
      <c r="I666" s="10" t="n"/>
      <c r="J666" s="1">
        <f>IF(OR(tblDowntime[[#This Row],[Failure Type]]="Sawshop",tblDowntime[[#This Row],[Failure Type]]="Electrical",tblDowntime[[#This Row],[Failure Type]]="Mechanical"),tblDowntime[[#This Row],[Downtime Hours]],"")</f>
        <v/>
      </c>
      <c r="K666" s="10" t="n"/>
      <c r="L666" s="10" t="n"/>
      <c r="M666">
        <f>IF(tblDowntime[[#This Row],[Maintenance Downtime Hours]]="","",tblDowntime[[#This Row],[Equipment ID]])</f>
        <v/>
      </c>
      <c r="N666" s="1">
        <f>IF(tblDowntime[[#This Row],[Failure Type]]="Production",tblDowntime[[#This Row],[Downtime Hours]],"")</f>
        <v/>
      </c>
      <c r="O666">
        <f>IF(tblDowntime[[#This Row],[Production Downtime Hours]]="","",tblDowntime[[#This Row],[Equipment ID]])</f>
        <v/>
      </c>
      <c r="P666" s="10" t="n"/>
    </row>
    <row r="667">
      <c r="B667">
        <f t="array" ref="B667">_xlfn.XLOOKUP(C667,INDIRECT("tblEquipment[Equipment ID]"),INDIRECT("tblEquipment[Production Department]"),"")</f>
        <v/>
      </c>
      <c r="D667">
        <f t="array" ref="D667">_xlfn.XLOOKUP(C667,INDIRECT("tblEquipment[Equipment ID]"),INDIRECT("tblEquipment[Equipment Name]"),"")</f>
        <v/>
      </c>
      <c r="F667" s="16" t="n"/>
      <c r="G667" s="16" t="n"/>
      <c r="H667" s="1">
        <f>IF(OR(F667=0,G667=0),"",(G667-F667)*24)</f>
        <v/>
      </c>
      <c r="I667" s="10" t="n"/>
      <c r="J667" s="1">
        <f>IF(OR(tblDowntime[[#This Row],[Failure Type]]="Sawshop",tblDowntime[[#This Row],[Failure Type]]="Electrical",tblDowntime[[#This Row],[Failure Type]]="Mechanical"),tblDowntime[[#This Row],[Downtime Hours]],"")</f>
        <v/>
      </c>
      <c r="K667" s="10" t="n"/>
      <c r="L667" s="10" t="n"/>
      <c r="M667">
        <f>IF(tblDowntime[[#This Row],[Maintenance Downtime Hours]]="","",tblDowntime[[#This Row],[Equipment ID]])</f>
        <v/>
      </c>
      <c r="N667" s="1">
        <f>IF(tblDowntime[[#This Row],[Failure Type]]="Production",tblDowntime[[#This Row],[Downtime Hours]],"")</f>
        <v/>
      </c>
      <c r="O667">
        <f>IF(tblDowntime[[#This Row],[Production Downtime Hours]]="","",tblDowntime[[#This Row],[Equipment ID]])</f>
        <v/>
      </c>
      <c r="P667" s="10" t="n"/>
    </row>
    <row r="668">
      <c r="B668">
        <f t="array" ref="B668">_xlfn.XLOOKUP(C668,INDIRECT("tblEquipment[Equipment ID]"),INDIRECT("tblEquipment[Production Department]"),"")</f>
        <v/>
      </c>
      <c r="D668">
        <f t="array" ref="D668">_xlfn.XLOOKUP(C668,INDIRECT("tblEquipment[Equipment ID]"),INDIRECT("tblEquipment[Equipment Name]"),"")</f>
        <v/>
      </c>
      <c r="F668" s="16" t="n"/>
      <c r="G668" s="16" t="n"/>
      <c r="H668" s="1">
        <f>IF(OR(F668=0,G668=0),"",(G668-F668)*24)</f>
        <v/>
      </c>
      <c r="I668" s="10" t="n"/>
      <c r="J668" s="1">
        <f>IF(OR(tblDowntime[[#This Row],[Failure Type]]="Sawshop",tblDowntime[[#This Row],[Failure Type]]="Electrical",tblDowntime[[#This Row],[Failure Type]]="Mechanical"),tblDowntime[[#This Row],[Downtime Hours]],"")</f>
        <v/>
      </c>
      <c r="K668" s="10" t="n"/>
      <c r="L668" s="10" t="n"/>
      <c r="M668">
        <f>IF(tblDowntime[[#This Row],[Maintenance Downtime Hours]]="","",tblDowntime[[#This Row],[Equipment ID]])</f>
        <v/>
      </c>
      <c r="N668" s="1">
        <f>IF(tblDowntime[[#This Row],[Failure Type]]="Production",tblDowntime[[#This Row],[Downtime Hours]],"")</f>
        <v/>
      </c>
      <c r="O668">
        <f>IF(tblDowntime[[#This Row],[Production Downtime Hours]]="","",tblDowntime[[#This Row],[Equipment ID]])</f>
        <v/>
      </c>
      <c r="P668" s="10" t="n"/>
    </row>
    <row r="669">
      <c r="B669">
        <f t="array" ref="B669">_xlfn.XLOOKUP(C669,INDIRECT("tblEquipment[Equipment ID]"),INDIRECT("tblEquipment[Production Department]"),"")</f>
        <v/>
      </c>
      <c r="D669">
        <f t="array" ref="D669">_xlfn.XLOOKUP(C669,INDIRECT("tblEquipment[Equipment ID]"),INDIRECT("tblEquipment[Equipment Name]"),"")</f>
        <v/>
      </c>
      <c r="F669" s="16" t="n"/>
      <c r="G669" s="16" t="n"/>
      <c r="H669" s="1">
        <f>IF(OR(F669=0,G669=0),"",(G669-F669)*24)</f>
        <v/>
      </c>
      <c r="I669" s="10" t="n"/>
      <c r="J669" s="1">
        <f>IF(OR(tblDowntime[[#This Row],[Failure Type]]="Sawshop",tblDowntime[[#This Row],[Failure Type]]="Electrical",tblDowntime[[#This Row],[Failure Type]]="Mechanical"),tblDowntime[[#This Row],[Downtime Hours]],"")</f>
        <v/>
      </c>
      <c r="K669" s="10" t="n"/>
      <c r="L669" s="10" t="n"/>
      <c r="M669">
        <f>IF(tblDowntime[[#This Row],[Maintenance Downtime Hours]]="","",tblDowntime[[#This Row],[Equipment ID]])</f>
        <v/>
      </c>
      <c r="N669" s="1">
        <f>IF(tblDowntime[[#This Row],[Failure Type]]="Production",tblDowntime[[#This Row],[Downtime Hours]],"")</f>
        <v/>
      </c>
      <c r="O669">
        <f>IF(tblDowntime[[#This Row],[Production Downtime Hours]]="","",tblDowntime[[#This Row],[Equipment ID]])</f>
        <v/>
      </c>
      <c r="P669" s="10" t="n"/>
    </row>
    <row r="670">
      <c r="B670">
        <f t="array" ref="B670">_xlfn.XLOOKUP(C670,INDIRECT("tblEquipment[Equipment ID]"),INDIRECT("tblEquipment[Production Department]"),"")</f>
        <v/>
      </c>
      <c r="D670">
        <f t="array" ref="D670">_xlfn.XLOOKUP(C670,INDIRECT("tblEquipment[Equipment ID]"),INDIRECT("tblEquipment[Equipment Name]"),"")</f>
        <v/>
      </c>
      <c r="F670" s="16" t="n"/>
      <c r="G670" s="16" t="n"/>
      <c r="H670" s="1">
        <f>IF(OR(F670=0,G670=0),"",(G670-F670)*24)</f>
        <v/>
      </c>
      <c r="I670" s="10" t="n"/>
      <c r="J670" s="1">
        <f>IF(OR(tblDowntime[[#This Row],[Failure Type]]="Sawshop",tblDowntime[[#This Row],[Failure Type]]="Electrical",tblDowntime[[#This Row],[Failure Type]]="Mechanical"),tblDowntime[[#This Row],[Downtime Hours]],"")</f>
        <v/>
      </c>
      <c r="K670" s="10" t="n"/>
      <c r="L670" s="10" t="n"/>
      <c r="M670">
        <f>IF(tblDowntime[[#This Row],[Maintenance Downtime Hours]]="","",tblDowntime[[#This Row],[Equipment ID]])</f>
        <v/>
      </c>
      <c r="N670" s="1">
        <f>IF(tblDowntime[[#This Row],[Failure Type]]="Production",tblDowntime[[#This Row],[Downtime Hours]],"")</f>
        <v/>
      </c>
      <c r="O670">
        <f>IF(tblDowntime[[#This Row],[Production Downtime Hours]]="","",tblDowntime[[#This Row],[Equipment ID]])</f>
        <v/>
      </c>
      <c r="P670" s="10" t="n"/>
    </row>
    <row r="671">
      <c r="B671">
        <f t="array" ref="B671">_xlfn.XLOOKUP(C671,INDIRECT("tblEquipment[Equipment ID]"),INDIRECT("tblEquipment[Production Department]"),"")</f>
        <v/>
      </c>
      <c r="D671">
        <f t="array" ref="D671">_xlfn.XLOOKUP(C671,INDIRECT("tblEquipment[Equipment ID]"),INDIRECT("tblEquipment[Equipment Name]"),"")</f>
        <v/>
      </c>
      <c r="F671" s="16" t="n"/>
      <c r="G671" s="16" t="n"/>
      <c r="H671" s="1">
        <f>IF(OR(F671=0,G671=0),"",(G671-F671)*24)</f>
        <v/>
      </c>
      <c r="I671" s="10" t="n"/>
      <c r="J671" s="1">
        <f>IF(OR(tblDowntime[[#This Row],[Failure Type]]="Sawshop",tblDowntime[[#This Row],[Failure Type]]="Electrical",tblDowntime[[#This Row],[Failure Type]]="Mechanical"),tblDowntime[[#This Row],[Downtime Hours]],"")</f>
        <v/>
      </c>
      <c r="K671" s="10" t="n"/>
      <c r="L671" s="10" t="n"/>
      <c r="M671">
        <f>IF(tblDowntime[[#This Row],[Maintenance Downtime Hours]]="","",tblDowntime[[#This Row],[Equipment ID]])</f>
        <v/>
      </c>
      <c r="N671" s="1">
        <f>IF(tblDowntime[[#This Row],[Failure Type]]="Production",tblDowntime[[#This Row],[Downtime Hours]],"")</f>
        <v/>
      </c>
      <c r="O671">
        <f>IF(tblDowntime[[#This Row],[Production Downtime Hours]]="","",tblDowntime[[#This Row],[Equipment ID]])</f>
        <v/>
      </c>
      <c r="P671" s="10" t="n"/>
    </row>
    <row r="672">
      <c r="B672">
        <f t="array" ref="B672">_xlfn.XLOOKUP(C672,INDIRECT("tblEquipment[Equipment ID]"),INDIRECT("tblEquipment[Production Department]"),"")</f>
        <v/>
      </c>
      <c r="D672">
        <f t="array" ref="D672">_xlfn.XLOOKUP(C672,INDIRECT("tblEquipment[Equipment ID]"),INDIRECT("tblEquipment[Equipment Name]"),"")</f>
        <v/>
      </c>
      <c r="F672" s="16" t="n"/>
      <c r="G672" s="16" t="n"/>
      <c r="H672" s="1">
        <f>IF(OR(F672=0,G672=0),"",(G672-F672)*24)</f>
        <v/>
      </c>
      <c r="I672" s="10" t="n"/>
      <c r="J672" s="1">
        <f>IF(OR(tblDowntime[[#This Row],[Failure Type]]="Sawshop",tblDowntime[[#This Row],[Failure Type]]="Electrical",tblDowntime[[#This Row],[Failure Type]]="Mechanical"),tblDowntime[[#This Row],[Downtime Hours]],"")</f>
        <v/>
      </c>
      <c r="K672" s="10" t="n"/>
      <c r="L672" s="10" t="n"/>
      <c r="M672">
        <f>IF(tblDowntime[[#This Row],[Maintenance Downtime Hours]]="","",tblDowntime[[#This Row],[Equipment ID]])</f>
        <v/>
      </c>
      <c r="N672" s="1">
        <f>IF(tblDowntime[[#This Row],[Failure Type]]="Production",tblDowntime[[#This Row],[Downtime Hours]],"")</f>
        <v/>
      </c>
      <c r="O672">
        <f>IF(tblDowntime[[#This Row],[Production Downtime Hours]]="","",tblDowntime[[#This Row],[Equipment ID]])</f>
        <v/>
      </c>
      <c r="P672" s="10" t="n"/>
    </row>
    <row r="673">
      <c r="B673">
        <f t="array" ref="B673">_xlfn.XLOOKUP(C673,INDIRECT("tblEquipment[Equipment ID]"),INDIRECT("tblEquipment[Production Department]"),"")</f>
        <v/>
      </c>
      <c r="D673">
        <f t="array" ref="D673">_xlfn.XLOOKUP(C673,INDIRECT("tblEquipment[Equipment ID]"),INDIRECT("tblEquipment[Equipment Name]"),"")</f>
        <v/>
      </c>
      <c r="F673" s="16" t="n"/>
      <c r="G673" s="16" t="n"/>
      <c r="H673" s="1">
        <f>IF(OR(F673=0,G673=0),"",(G673-F673)*24)</f>
        <v/>
      </c>
      <c r="I673" s="10" t="n"/>
      <c r="J673" s="1">
        <f>IF(OR(tblDowntime[[#This Row],[Failure Type]]="Sawshop",tblDowntime[[#This Row],[Failure Type]]="Electrical",tblDowntime[[#This Row],[Failure Type]]="Mechanical"),tblDowntime[[#This Row],[Downtime Hours]],"")</f>
        <v/>
      </c>
      <c r="K673" s="10" t="n"/>
      <c r="L673" s="10" t="n"/>
      <c r="M673">
        <f>IF(tblDowntime[[#This Row],[Maintenance Downtime Hours]]="","",tblDowntime[[#This Row],[Equipment ID]])</f>
        <v/>
      </c>
      <c r="N673" s="1">
        <f>IF(tblDowntime[[#This Row],[Failure Type]]="Production",tblDowntime[[#This Row],[Downtime Hours]],"")</f>
        <v/>
      </c>
      <c r="O673">
        <f>IF(tblDowntime[[#This Row],[Production Downtime Hours]]="","",tblDowntime[[#This Row],[Equipment ID]])</f>
        <v/>
      </c>
      <c r="P673" s="10" t="n"/>
    </row>
    <row r="674">
      <c r="B674">
        <f t="array" ref="B674">_xlfn.XLOOKUP(C674,INDIRECT("tblEquipment[Equipment ID]"),INDIRECT("tblEquipment[Production Department]"),"")</f>
        <v/>
      </c>
      <c r="D674">
        <f t="array" ref="D674">_xlfn.XLOOKUP(C674,INDIRECT("tblEquipment[Equipment ID]"),INDIRECT("tblEquipment[Equipment Name]"),"")</f>
        <v/>
      </c>
      <c r="F674" s="16" t="n"/>
      <c r="G674" s="16" t="n"/>
      <c r="H674" s="1">
        <f>IF(OR(F674=0,G674=0),"",(G674-F674)*24)</f>
        <v/>
      </c>
      <c r="I674" s="10" t="n"/>
      <c r="J674" s="1">
        <f>IF(OR(tblDowntime[[#This Row],[Failure Type]]="Sawshop",tblDowntime[[#This Row],[Failure Type]]="Electrical",tblDowntime[[#This Row],[Failure Type]]="Mechanical"),tblDowntime[[#This Row],[Downtime Hours]],"")</f>
        <v/>
      </c>
      <c r="K674" s="10" t="n"/>
      <c r="L674" s="10" t="n"/>
      <c r="M674">
        <f>IF(tblDowntime[[#This Row],[Maintenance Downtime Hours]]="","",tblDowntime[[#This Row],[Equipment ID]])</f>
        <v/>
      </c>
      <c r="N674" s="1">
        <f>IF(tblDowntime[[#This Row],[Failure Type]]="Production",tblDowntime[[#This Row],[Downtime Hours]],"")</f>
        <v/>
      </c>
      <c r="O674">
        <f>IF(tblDowntime[[#This Row],[Production Downtime Hours]]="","",tblDowntime[[#This Row],[Equipment ID]])</f>
        <v/>
      </c>
      <c r="P674" s="10" t="n"/>
    </row>
    <row r="675">
      <c r="B675">
        <f t="array" ref="B675">_xlfn.XLOOKUP(C675,INDIRECT("tblEquipment[Equipment ID]"),INDIRECT("tblEquipment[Production Department]"),"")</f>
        <v/>
      </c>
      <c r="D675">
        <f t="array" ref="D675">_xlfn.XLOOKUP(C675,INDIRECT("tblEquipment[Equipment ID]"),INDIRECT("tblEquipment[Equipment Name]"),"")</f>
        <v/>
      </c>
      <c r="F675" s="16" t="n"/>
      <c r="G675" s="16" t="n"/>
      <c r="H675" s="1">
        <f>IF(OR(F675=0,G675=0),"",(G675-F675)*24)</f>
        <v/>
      </c>
      <c r="I675" s="10" t="n"/>
      <c r="J675" s="1">
        <f>IF(OR(tblDowntime[[#This Row],[Failure Type]]="Sawshop",tblDowntime[[#This Row],[Failure Type]]="Electrical",tblDowntime[[#This Row],[Failure Type]]="Mechanical"),tblDowntime[[#This Row],[Downtime Hours]],"")</f>
        <v/>
      </c>
      <c r="K675" s="10" t="n"/>
      <c r="L675" s="10" t="n"/>
      <c r="M675">
        <f>IF(tblDowntime[[#This Row],[Maintenance Downtime Hours]]="","",tblDowntime[[#This Row],[Equipment ID]])</f>
        <v/>
      </c>
      <c r="N675" s="1">
        <f>IF(tblDowntime[[#This Row],[Failure Type]]="Production",tblDowntime[[#This Row],[Downtime Hours]],"")</f>
        <v/>
      </c>
      <c r="O675">
        <f>IF(tblDowntime[[#This Row],[Production Downtime Hours]]="","",tblDowntime[[#This Row],[Equipment ID]])</f>
        <v/>
      </c>
      <c r="P675" s="10" t="n"/>
    </row>
    <row r="676">
      <c r="B676">
        <f t="array" ref="B676">_xlfn.XLOOKUP(C676,INDIRECT("tblEquipment[Equipment ID]"),INDIRECT("tblEquipment[Production Department]"),"")</f>
        <v/>
      </c>
      <c r="D676">
        <f t="array" ref="D676">_xlfn.XLOOKUP(C676,INDIRECT("tblEquipment[Equipment ID]"),INDIRECT("tblEquipment[Equipment Name]"),"")</f>
        <v/>
      </c>
      <c r="F676" s="16" t="n"/>
      <c r="G676" s="16" t="n"/>
      <c r="H676" s="1">
        <f>IF(OR(F676=0,G676=0),"",(G676-F676)*24)</f>
        <v/>
      </c>
      <c r="I676" s="10" t="n"/>
      <c r="J676" s="1">
        <f>IF(OR(tblDowntime[[#This Row],[Failure Type]]="Sawshop",tblDowntime[[#This Row],[Failure Type]]="Electrical",tblDowntime[[#This Row],[Failure Type]]="Mechanical"),tblDowntime[[#This Row],[Downtime Hours]],"")</f>
        <v/>
      </c>
      <c r="K676" s="10" t="n"/>
      <c r="L676" s="10" t="n"/>
      <c r="M676">
        <f>IF(tblDowntime[[#This Row],[Maintenance Downtime Hours]]="","",tblDowntime[[#This Row],[Equipment ID]])</f>
        <v/>
      </c>
      <c r="N676" s="1">
        <f>IF(tblDowntime[[#This Row],[Failure Type]]="Production",tblDowntime[[#This Row],[Downtime Hours]],"")</f>
        <v/>
      </c>
      <c r="O676">
        <f>IF(tblDowntime[[#This Row],[Production Downtime Hours]]="","",tblDowntime[[#This Row],[Equipment ID]])</f>
        <v/>
      </c>
      <c r="P676" s="10" t="n"/>
    </row>
    <row r="677">
      <c r="B677">
        <f t="array" ref="B677">_xlfn.XLOOKUP(C677,INDIRECT("tblEquipment[Equipment ID]"),INDIRECT("tblEquipment[Production Department]"),"")</f>
        <v/>
      </c>
      <c r="D677">
        <f t="array" ref="D677">_xlfn.XLOOKUP(C677,INDIRECT("tblEquipment[Equipment ID]"),INDIRECT("tblEquipment[Equipment Name]"),"")</f>
        <v/>
      </c>
      <c r="F677" s="16" t="n"/>
      <c r="G677" s="16" t="n"/>
      <c r="H677" s="1">
        <f>IF(OR(F677=0,G677=0),"",(G677-F677)*24)</f>
        <v/>
      </c>
      <c r="I677" s="10" t="n"/>
      <c r="J677" s="1">
        <f>IF(OR(tblDowntime[[#This Row],[Failure Type]]="Sawshop",tblDowntime[[#This Row],[Failure Type]]="Electrical",tblDowntime[[#This Row],[Failure Type]]="Mechanical"),tblDowntime[[#This Row],[Downtime Hours]],"")</f>
        <v/>
      </c>
      <c r="K677" s="10" t="n"/>
      <c r="L677" s="10" t="n"/>
      <c r="M677">
        <f>IF(tblDowntime[[#This Row],[Maintenance Downtime Hours]]="","",tblDowntime[[#This Row],[Equipment ID]])</f>
        <v/>
      </c>
      <c r="N677" s="1">
        <f>IF(tblDowntime[[#This Row],[Failure Type]]="Production",tblDowntime[[#This Row],[Downtime Hours]],"")</f>
        <v/>
      </c>
      <c r="O677">
        <f>IF(tblDowntime[[#This Row],[Production Downtime Hours]]="","",tblDowntime[[#This Row],[Equipment ID]])</f>
        <v/>
      </c>
      <c r="P677" s="10" t="n"/>
    </row>
    <row r="678">
      <c r="B678">
        <f t="array" ref="B678">_xlfn.XLOOKUP(C678,INDIRECT("tblEquipment[Equipment ID]"),INDIRECT("tblEquipment[Production Department]"),"")</f>
        <v/>
      </c>
      <c r="D678">
        <f t="array" ref="D678">_xlfn.XLOOKUP(C678,INDIRECT("tblEquipment[Equipment ID]"),INDIRECT("tblEquipment[Equipment Name]"),"")</f>
        <v/>
      </c>
      <c r="F678" s="16" t="n"/>
      <c r="G678" s="16" t="n"/>
      <c r="H678" s="1">
        <f>IF(OR(F678=0,G678=0),"",(G678-F678)*24)</f>
        <v/>
      </c>
      <c r="I678" s="10" t="n"/>
      <c r="J678" s="1">
        <f>IF(OR(tblDowntime[[#This Row],[Failure Type]]="Sawshop",tblDowntime[[#This Row],[Failure Type]]="Electrical",tblDowntime[[#This Row],[Failure Type]]="Mechanical"),tblDowntime[[#This Row],[Downtime Hours]],"")</f>
        <v/>
      </c>
      <c r="K678" s="10" t="n"/>
      <c r="L678" s="10" t="n"/>
      <c r="M678">
        <f>IF(tblDowntime[[#This Row],[Maintenance Downtime Hours]]="","",tblDowntime[[#This Row],[Equipment ID]])</f>
        <v/>
      </c>
      <c r="N678" s="1">
        <f>IF(tblDowntime[[#This Row],[Failure Type]]="Production",tblDowntime[[#This Row],[Downtime Hours]],"")</f>
        <v/>
      </c>
      <c r="O678">
        <f>IF(tblDowntime[[#This Row],[Production Downtime Hours]]="","",tblDowntime[[#This Row],[Equipment ID]])</f>
        <v/>
      </c>
      <c r="P678" s="10" t="n"/>
    </row>
    <row r="679">
      <c r="B679">
        <f t="array" ref="B679">_xlfn.XLOOKUP(C679,INDIRECT("tblEquipment[Equipment ID]"),INDIRECT("tblEquipment[Production Department]"),"")</f>
        <v/>
      </c>
      <c r="D679">
        <f t="array" ref="D679">_xlfn.XLOOKUP(C679,INDIRECT("tblEquipment[Equipment ID]"),INDIRECT("tblEquipment[Equipment Name]"),"")</f>
        <v/>
      </c>
      <c r="F679" s="16" t="n"/>
      <c r="G679" s="16" t="n"/>
      <c r="H679" s="1">
        <f>IF(OR(F679=0,G679=0),"",(G679-F679)*24)</f>
        <v/>
      </c>
      <c r="I679" s="10" t="n"/>
      <c r="J679" s="1">
        <f>IF(OR(tblDowntime[[#This Row],[Failure Type]]="Sawshop",tblDowntime[[#This Row],[Failure Type]]="Electrical",tblDowntime[[#This Row],[Failure Type]]="Mechanical"),tblDowntime[[#This Row],[Downtime Hours]],"")</f>
        <v/>
      </c>
      <c r="K679" s="10" t="n"/>
      <c r="L679" s="10" t="n"/>
      <c r="M679">
        <f>IF(tblDowntime[[#This Row],[Maintenance Downtime Hours]]="","",tblDowntime[[#This Row],[Equipment ID]])</f>
        <v/>
      </c>
      <c r="N679" s="1">
        <f>IF(tblDowntime[[#This Row],[Failure Type]]="Production",tblDowntime[[#This Row],[Downtime Hours]],"")</f>
        <v/>
      </c>
      <c r="O679">
        <f>IF(tblDowntime[[#This Row],[Production Downtime Hours]]="","",tblDowntime[[#This Row],[Equipment ID]])</f>
        <v/>
      </c>
      <c r="P679" s="10" t="n"/>
    </row>
    <row r="680">
      <c r="B680">
        <f t="array" ref="B680">_xlfn.XLOOKUP(C680,INDIRECT("tblEquipment[Equipment ID]"),INDIRECT("tblEquipment[Production Department]"),"")</f>
        <v/>
      </c>
      <c r="D680">
        <f t="array" ref="D680">_xlfn.XLOOKUP(C680,INDIRECT("tblEquipment[Equipment ID]"),INDIRECT("tblEquipment[Equipment Name]"),"")</f>
        <v/>
      </c>
      <c r="F680" s="16" t="n"/>
      <c r="G680" s="16" t="n"/>
      <c r="H680" s="1">
        <f>IF(OR(F680=0,G680=0),"",(G680-F680)*24)</f>
        <v/>
      </c>
      <c r="I680" s="10" t="n"/>
      <c r="J680" s="1">
        <f>IF(OR(tblDowntime[[#This Row],[Failure Type]]="Sawshop",tblDowntime[[#This Row],[Failure Type]]="Electrical",tblDowntime[[#This Row],[Failure Type]]="Mechanical"),tblDowntime[[#This Row],[Downtime Hours]],"")</f>
        <v/>
      </c>
      <c r="K680" s="10" t="n"/>
      <c r="L680" s="10" t="n"/>
      <c r="M680">
        <f>IF(tblDowntime[[#This Row],[Maintenance Downtime Hours]]="","",tblDowntime[[#This Row],[Equipment ID]])</f>
        <v/>
      </c>
      <c r="N680" s="1">
        <f>IF(tblDowntime[[#This Row],[Failure Type]]="Production",tblDowntime[[#This Row],[Downtime Hours]],"")</f>
        <v/>
      </c>
      <c r="O680">
        <f>IF(tblDowntime[[#This Row],[Production Downtime Hours]]="","",tblDowntime[[#This Row],[Equipment ID]])</f>
        <v/>
      </c>
      <c r="P680" s="10" t="n"/>
    </row>
    <row r="681">
      <c r="B681">
        <f t="array" ref="B681">_xlfn.XLOOKUP(C681,INDIRECT("tblEquipment[Equipment ID]"),INDIRECT("tblEquipment[Production Department]"),"")</f>
        <v/>
      </c>
      <c r="D681">
        <f t="array" ref="D681">_xlfn.XLOOKUP(C681,INDIRECT("tblEquipment[Equipment ID]"),INDIRECT("tblEquipment[Equipment Name]"),"")</f>
        <v/>
      </c>
      <c r="F681" s="16" t="n"/>
      <c r="G681" s="16" t="n"/>
      <c r="H681" s="1">
        <f>IF(OR(F681=0,G681=0),"",(G681-F681)*24)</f>
        <v/>
      </c>
      <c r="I681" s="10" t="n"/>
      <c r="J681" s="1">
        <f>IF(OR(tblDowntime[[#This Row],[Failure Type]]="Sawshop",tblDowntime[[#This Row],[Failure Type]]="Electrical",tblDowntime[[#This Row],[Failure Type]]="Mechanical"),tblDowntime[[#This Row],[Downtime Hours]],"")</f>
        <v/>
      </c>
      <c r="K681" s="10" t="n"/>
      <c r="L681" s="10" t="n"/>
      <c r="M681">
        <f>IF(tblDowntime[[#This Row],[Maintenance Downtime Hours]]="","",tblDowntime[[#This Row],[Equipment ID]])</f>
        <v/>
      </c>
      <c r="N681" s="1">
        <f>IF(tblDowntime[[#This Row],[Failure Type]]="Production",tblDowntime[[#This Row],[Downtime Hours]],"")</f>
        <v/>
      </c>
      <c r="O681">
        <f>IF(tblDowntime[[#This Row],[Production Downtime Hours]]="","",tblDowntime[[#This Row],[Equipment ID]])</f>
        <v/>
      </c>
      <c r="P681" s="10" t="n"/>
    </row>
    <row r="682">
      <c r="B682">
        <f t="array" ref="B682">_xlfn.XLOOKUP(C682,INDIRECT("tblEquipment[Equipment ID]"),INDIRECT("tblEquipment[Production Department]"),"")</f>
        <v/>
      </c>
      <c r="D682">
        <f t="array" ref="D682">_xlfn.XLOOKUP(C682,INDIRECT("tblEquipment[Equipment ID]"),INDIRECT("tblEquipment[Equipment Name]"),"")</f>
        <v/>
      </c>
      <c r="F682" s="16" t="n"/>
      <c r="G682" s="16" t="n"/>
      <c r="H682" s="1">
        <f>IF(OR(F682=0,G682=0),"",(G682-F682)*24)</f>
        <v/>
      </c>
      <c r="I682" s="10" t="n"/>
      <c r="J682" s="1">
        <f>IF(OR(tblDowntime[[#This Row],[Failure Type]]="Sawshop",tblDowntime[[#This Row],[Failure Type]]="Electrical",tblDowntime[[#This Row],[Failure Type]]="Mechanical"),tblDowntime[[#This Row],[Downtime Hours]],"")</f>
        <v/>
      </c>
      <c r="K682" s="10" t="n"/>
      <c r="L682" s="10" t="n"/>
      <c r="M682">
        <f>IF(tblDowntime[[#This Row],[Maintenance Downtime Hours]]="","",tblDowntime[[#This Row],[Equipment ID]])</f>
        <v/>
      </c>
      <c r="N682" s="1">
        <f>IF(tblDowntime[[#This Row],[Failure Type]]="Production",tblDowntime[[#This Row],[Downtime Hours]],"")</f>
        <v/>
      </c>
      <c r="O682">
        <f>IF(tblDowntime[[#This Row],[Production Downtime Hours]]="","",tblDowntime[[#This Row],[Equipment ID]])</f>
        <v/>
      </c>
      <c r="P682" s="10" t="n"/>
    </row>
    <row r="683">
      <c r="B683">
        <f t="array" ref="B683">_xlfn.XLOOKUP(C683,INDIRECT("tblEquipment[Equipment ID]"),INDIRECT("tblEquipment[Production Department]"),"")</f>
        <v/>
      </c>
      <c r="D683">
        <f t="array" ref="D683">_xlfn.XLOOKUP(C683,INDIRECT("tblEquipment[Equipment ID]"),INDIRECT("tblEquipment[Equipment Name]"),"")</f>
        <v/>
      </c>
      <c r="F683" s="16" t="n"/>
      <c r="G683" s="16" t="n"/>
      <c r="H683" s="1">
        <f>IF(OR(F683=0,G683=0),"",(G683-F683)*24)</f>
        <v/>
      </c>
      <c r="I683" s="10" t="n"/>
      <c r="J683" s="1">
        <f>IF(OR(tblDowntime[[#This Row],[Failure Type]]="Sawshop",tblDowntime[[#This Row],[Failure Type]]="Electrical",tblDowntime[[#This Row],[Failure Type]]="Mechanical"),tblDowntime[[#This Row],[Downtime Hours]],"")</f>
        <v/>
      </c>
      <c r="K683" s="10" t="n"/>
      <c r="L683" s="10" t="n"/>
      <c r="M683">
        <f>IF(tblDowntime[[#This Row],[Maintenance Downtime Hours]]="","",tblDowntime[[#This Row],[Equipment ID]])</f>
        <v/>
      </c>
      <c r="N683" s="1">
        <f>IF(tblDowntime[[#This Row],[Failure Type]]="Production",tblDowntime[[#This Row],[Downtime Hours]],"")</f>
        <v/>
      </c>
      <c r="O683">
        <f>IF(tblDowntime[[#This Row],[Production Downtime Hours]]="","",tblDowntime[[#This Row],[Equipment ID]])</f>
        <v/>
      </c>
      <c r="P683" s="10" t="n"/>
    </row>
    <row r="684">
      <c r="B684">
        <f t="array" ref="B684">_xlfn.XLOOKUP(C684,INDIRECT("tblEquipment[Equipment ID]"),INDIRECT("tblEquipment[Production Department]"),"")</f>
        <v/>
      </c>
      <c r="D684">
        <f t="array" ref="D684">_xlfn.XLOOKUP(C684,INDIRECT("tblEquipment[Equipment ID]"),INDIRECT("tblEquipment[Equipment Name]"),"")</f>
        <v/>
      </c>
      <c r="F684" s="16" t="n"/>
      <c r="G684" s="16" t="n"/>
      <c r="H684" s="1">
        <f>IF(OR(F684=0,G684=0),"",(G684-F684)*24)</f>
        <v/>
      </c>
      <c r="I684" s="10" t="n"/>
      <c r="J684" s="1">
        <f>IF(OR(tblDowntime[[#This Row],[Failure Type]]="Sawshop",tblDowntime[[#This Row],[Failure Type]]="Electrical",tblDowntime[[#This Row],[Failure Type]]="Mechanical"),tblDowntime[[#This Row],[Downtime Hours]],"")</f>
        <v/>
      </c>
      <c r="K684" s="10" t="n"/>
      <c r="L684" s="10" t="n"/>
      <c r="M684">
        <f>IF(tblDowntime[[#This Row],[Maintenance Downtime Hours]]="","",tblDowntime[[#This Row],[Equipment ID]])</f>
        <v/>
      </c>
      <c r="N684" s="1">
        <f>IF(tblDowntime[[#This Row],[Failure Type]]="Production",tblDowntime[[#This Row],[Downtime Hours]],"")</f>
        <v/>
      </c>
      <c r="O684">
        <f>IF(tblDowntime[[#This Row],[Production Downtime Hours]]="","",tblDowntime[[#This Row],[Equipment ID]])</f>
        <v/>
      </c>
      <c r="P684" s="10" t="n"/>
    </row>
    <row r="685">
      <c r="B685">
        <f t="array" ref="B685">_xlfn.XLOOKUP(C685,INDIRECT("tblEquipment[Equipment ID]"),INDIRECT("tblEquipment[Production Department]"),"")</f>
        <v/>
      </c>
      <c r="D685">
        <f t="array" ref="D685">_xlfn.XLOOKUP(C685,INDIRECT("tblEquipment[Equipment ID]"),INDIRECT("tblEquipment[Equipment Name]"),"")</f>
        <v/>
      </c>
      <c r="F685" s="16" t="n"/>
      <c r="G685" s="16" t="n"/>
      <c r="H685" s="1">
        <f>IF(OR(F685=0,G685=0),"",(G685-F685)*24)</f>
        <v/>
      </c>
      <c r="I685" s="10" t="n"/>
      <c r="J685" s="1">
        <f>IF(OR(tblDowntime[[#This Row],[Failure Type]]="Sawshop",tblDowntime[[#This Row],[Failure Type]]="Electrical",tblDowntime[[#This Row],[Failure Type]]="Mechanical"),tblDowntime[[#This Row],[Downtime Hours]],"")</f>
        <v/>
      </c>
      <c r="K685" s="10" t="n"/>
      <c r="L685" s="10" t="n"/>
      <c r="M685">
        <f>IF(tblDowntime[[#This Row],[Maintenance Downtime Hours]]="","",tblDowntime[[#This Row],[Equipment ID]])</f>
        <v/>
      </c>
      <c r="N685" s="1">
        <f>IF(tblDowntime[[#This Row],[Failure Type]]="Production",tblDowntime[[#This Row],[Downtime Hours]],"")</f>
        <v/>
      </c>
      <c r="O685">
        <f>IF(tblDowntime[[#This Row],[Production Downtime Hours]]="","",tblDowntime[[#This Row],[Equipment ID]])</f>
        <v/>
      </c>
      <c r="P685" s="10" t="n"/>
    </row>
    <row r="686">
      <c r="B686">
        <f t="array" ref="B686">_xlfn.XLOOKUP(C686,INDIRECT("tblEquipment[Equipment ID]"),INDIRECT("tblEquipment[Production Department]"),"")</f>
        <v/>
      </c>
      <c r="D686">
        <f t="array" ref="D686">_xlfn.XLOOKUP(C686,INDIRECT("tblEquipment[Equipment ID]"),INDIRECT("tblEquipment[Equipment Name]"),"")</f>
        <v/>
      </c>
      <c r="F686" s="16" t="n"/>
      <c r="G686" s="16" t="n"/>
      <c r="H686" s="1">
        <f>IF(OR(F686=0,G686=0),"",(G686-F686)*24)</f>
        <v/>
      </c>
      <c r="I686" s="10" t="n"/>
      <c r="J686" s="1">
        <f>IF(OR(tblDowntime[[#This Row],[Failure Type]]="Sawshop",tblDowntime[[#This Row],[Failure Type]]="Electrical",tblDowntime[[#This Row],[Failure Type]]="Mechanical"),tblDowntime[[#This Row],[Downtime Hours]],"")</f>
        <v/>
      </c>
      <c r="K686" s="10" t="n"/>
      <c r="L686" s="10" t="n"/>
      <c r="M686">
        <f>IF(tblDowntime[[#This Row],[Maintenance Downtime Hours]]="","",tblDowntime[[#This Row],[Equipment ID]])</f>
        <v/>
      </c>
      <c r="N686" s="1">
        <f>IF(tblDowntime[[#This Row],[Failure Type]]="Production",tblDowntime[[#This Row],[Downtime Hours]],"")</f>
        <v/>
      </c>
      <c r="O686">
        <f>IF(tblDowntime[[#This Row],[Production Downtime Hours]]="","",tblDowntime[[#This Row],[Equipment ID]])</f>
        <v/>
      </c>
      <c r="P686" s="10" t="n"/>
    </row>
    <row r="687">
      <c r="B687">
        <f t="array" ref="B687">_xlfn.XLOOKUP(C687,INDIRECT("tblEquipment[Equipment ID]"),INDIRECT("tblEquipment[Production Department]"),"")</f>
        <v/>
      </c>
      <c r="D687">
        <f t="array" ref="D687">_xlfn.XLOOKUP(C687,INDIRECT("tblEquipment[Equipment ID]"),INDIRECT("tblEquipment[Equipment Name]"),"")</f>
        <v/>
      </c>
      <c r="F687" s="16" t="n"/>
      <c r="G687" s="16" t="n"/>
      <c r="H687" s="1">
        <f>IF(OR(F687=0,G687=0),"",(G687-F687)*24)</f>
        <v/>
      </c>
      <c r="I687" s="10" t="n"/>
      <c r="J687" s="1">
        <f>IF(OR(tblDowntime[[#This Row],[Failure Type]]="Sawshop",tblDowntime[[#This Row],[Failure Type]]="Electrical",tblDowntime[[#This Row],[Failure Type]]="Mechanical"),tblDowntime[[#This Row],[Downtime Hours]],"")</f>
        <v/>
      </c>
      <c r="K687" s="10" t="n"/>
      <c r="L687" s="10" t="n"/>
      <c r="M687">
        <f>IF(tblDowntime[[#This Row],[Maintenance Downtime Hours]]="","",tblDowntime[[#This Row],[Equipment ID]])</f>
        <v/>
      </c>
      <c r="N687" s="1">
        <f>IF(tblDowntime[[#This Row],[Failure Type]]="Production",tblDowntime[[#This Row],[Downtime Hours]],"")</f>
        <v/>
      </c>
      <c r="O687">
        <f>IF(tblDowntime[[#This Row],[Production Downtime Hours]]="","",tblDowntime[[#This Row],[Equipment ID]])</f>
        <v/>
      </c>
      <c r="P687" s="10" t="n"/>
    </row>
    <row r="688">
      <c r="B688">
        <f t="array" ref="B688">_xlfn.XLOOKUP(C688,INDIRECT("tblEquipment[Equipment ID]"),INDIRECT("tblEquipment[Production Department]"),"")</f>
        <v/>
      </c>
      <c r="D688">
        <f t="array" ref="D688">_xlfn.XLOOKUP(C688,INDIRECT("tblEquipment[Equipment ID]"),INDIRECT("tblEquipment[Equipment Name]"),"")</f>
        <v/>
      </c>
      <c r="F688" s="16" t="n"/>
      <c r="G688" s="16" t="n"/>
      <c r="H688" s="1">
        <f>IF(OR(F688=0,G688=0),"",(G688-F688)*24)</f>
        <v/>
      </c>
      <c r="I688" s="10" t="n"/>
      <c r="J688" s="1">
        <f>IF(OR(tblDowntime[[#This Row],[Failure Type]]="Sawshop",tblDowntime[[#This Row],[Failure Type]]="Electrical",tblDowntime[[#This Row],[Failure Type]]="Mechanical"),tblDowntime[[#This Row],[Downtime Hours]],"")</f>
        <v/>
      </c>
      <c r="K688" s="10" t="n"/>
      <c r="L688" s="10" t="n"/>
      <c r="M688">
        <f>IF(tblDowntime[[#This Row],[Maintenance Downtime Hours]]="","",tblDowntime[[#This Row],[Equipment ID]])</f>
        <v/>
      </c>
      <c r="N688" s="1">
        <f>IF(tblDowntime[[#This Row],[Failure Type]]="Production",tblDowntime[[#This Row],[Downtime Hours]],"")</f>
        <v/>
      </c>
      <c r="O688">
        <f>IF(tblDowntime[[#This Row],[Production Downtime Hours]]="","",tblDowntime[[#This Row],[Equipment ID]])</f>
        <v/>
      </c>
      <c r="P688" s="10" t="n"/>
    </row>
    <row r="689">
      <c r="B689">
        <f t="array" ref="B689">_xlfn.XLOOKUP(C689,INDIRECT("tblEquipment[Equipment ID]"),INDIRECT("tblEquipment[Production Department]"),"")</f>
        <v/>
      </c>
      <c r="D689">
        <f t="array" ref="D689">_xlfn.XLOOKUP(C689,INDIRECT("tblEquipment[Equipment ID]"),INDIRECT("tblEquipment[Equipment Name]"),"")</f>
        <v/>
      </c>
      <c r="F689" s="16" t="n"/>
      <c r="G689" s="16" t="n"/>
      <c r="H689" s="1">
        <f>IF(OR(F689=0,G689=0),"",(G689-F689)*24)</f>
        <v/>
      </c>
      <c r="I689" s="10" t="n"/>
      <c r="J689" s="1">
        <f>IF(OR(tblDowntime[[#This Row],[Failure Type]]="Sawshop",tblDowntime[[#This Row],[Failure Type]]="Electrical",tblDowntime[[#This Row],[Failure Type]]="Mechanical"),tblDowntime[[#This Row],[Downtime Hours]],"")</f>
        <v/>
      </c>
      <c r="K689" s="10" t="n"/>
      <c r="L689" s="10" t="n"/>
      <c r="M689">
        <f>IF(tblDowntime[[#This Row],[Maintenance Downtime Hours]]="","",tblDowntime[[#This Row],[Equipment ID]])</f>
        <v/>
      </c>
      <c r="N689" s="1">
        <f>IF(tblDowntime[[#This Row],[Failure Type]]="Production",tblDowntime[[#This Row],[Downtime Hours]],"")</f>
        <v/>
      </c>
      <c r="O689">
        <f>IF(tblDowntime[[#This Row],[Production Downtime Hours]]="","",tblDowntime[[#This Row],[Equipment ID]])</f>
        <v/>
      </c>
      <c r="P689" s="10" t="n"/>
    </row>
    <row r="690">
      <c r="B690">
        <f t="array" ref="B690">_xlfn.XLOOKUP(C690,INDIRECT("tblEquipment[Equipment ID]"),INDIRECT("tblEquipment[Production Department]"),"")</f>
        <v/>
      </c>
      <c r="D690">
        <f t="array" ref="D690">_xlfn.XLOOKUP(C690,INDIRECT("tblEquipment[Equipment ID]"),INDIRECT("tblEquipment[Equipment Name]"),"")</f>
        <v/>
      </c>
      <c r="F690" s="16" t="n"/>
      <c r="G690" s="16" t="n"/>
      <c r="H690" s="1">
        <f>IF(OR(F690=0,G690=0),"",(G690-F690)*24)</f>
        <v/>
      </c>
      <c r="I690" s="10" t="n"/>
      <c r="J690" s="1">
        <f>IF(OR(tblDowntime[[#This Row],[Failure Type]]="Sawshop",tblDowntime[[#This Row],[Failure Type]]="Electrical",tblDowntime[[#This Row],[Failure Type]]="Mechanical"),tblDowntime[[#This Row],[Downtime Hours]],"")</f>
        <v/>
      </c>
      <c r="K690" s="10" t="n"/>
      <c r="L690" s="10" t="n"/>
      <c r="M690">
        <f>IF(tblDowntime[[#This Row],[Maintenance Downtime Hours]]="","",tblDowntime[[#This Row],[Equipment ID]])</f>
        <v/>
      </c>
      <c r="N690" s="1">
        <f>IF(tblDowntime[[#This Row],[Failure Type]]="Production",tblDowntime[[#This Row],[Downtime Hours]],"")</f>
        <v/>
      </c>
      <c r="O690">
        <f>IF(tblDowntime[[#This Row],[Production Downtime Hours]]="","",tblDowntime[[#This Row],[Equipment ID]])</f>
        <v/>
      </c>
      <c r="P690" s="10" t="n"/>
    </row>
    <row r="691">
      <c r="B691">
        <f t="array" ref="B691">_xlfn.XLOOKUP(C691,INDIRECT("tblEquipment[Equipment ID]"),INDIRECT("tblEquipment[Production Department]"),"")</f>
        <v/>
      </c>
      <c r="D691">
        <f t="array" ref="D691">_xlfn.XLOOKUP(C691,INDIRECT("tblEquipment[Equipment ID]"),INDIRECT("tblEquipment[Equipment Name]"),"")</f>
        <v/>
      </c>
      <c r="F691" s="16" t="n"/>
      <c r="G691" s="16" t="n"/>
      <c r="H691" s="1">
        <f>IF(OR(F691=0,G691=0),"",(G691-F691)*24)</f>
        <v/>
      </c>
      <c r="I691" s="10" t="n"/>
      <c r="J691" s="1">
        <f>IF(OR(tblDowntime[[#This Row],[Failure Type]]="Sawshop",tblDowntime[[#This Row],[Failure Type]]="Electrical",tblDowntime[[#This Row],[Failure Type]]="Mechanical"),tblDowntime[[#This Row],[Downtime Hours]],"")</f>
        <v/>
      </c>
      <c r="K691" s="10" t="n"/>
      <c r="L691" s="10" t="n"/>
      <c r="M691">
        <f>IF(tblDowntime[[#This Row],[Maintenance Downtime Hours]]="","",tblDowntime[[#This Row],[Equipment ID]])</f>
        <v/>
      </c>
      <c r="N691" s="1">
        <f>IF(tblDowntime[[#This Row],[Failure Type]]="Production",tblDowntime[[#This Row],[Downtime Hours]],"")</f>
        <v/>
      </c>
      <c r="O691">
        <f>IF(tblDowntime[[#This Row],[Production Downtime Hours]]="","",tblDowntime[[#This Row],[Equipment ID]])</f>
        <v/>
      </c>
      <c r="P691" s="10" t="n"/>
    </row>
    <row r="692">
      <c r="B692">
        <f t="array" ref="B692">_xlfn.XLOOKUP(C692,INDIRECT("tblEquipment[Equipment ID]"),INDIRECT("tblEquipment[Production Department]"),"")</f>
        <v/>
      </c>
      <c r="D692">
        <f t="array" ref="D692">_xlfn.XLOOKUP(C692,INDIRECT("tblEquipment[Equipment ID]"),INDIRECT("tblEquipment[Equipment Name]"),"")</f>
        <v/>
      </c>
      <c r="F692" s="16" t="n"/>
      <c r="G692" s="16" t="n"/>
      <c r="H692" s="1">
        <f>IF(OR(F692=0,G692=0),"",(G692-F692)*24)</f>
        <v/>
      </c>
      <c r="I692" s="10" t="n"/>
      <c r="J692" s="1">
        <f>IF(OR(tblDowntime[[#This Row],[Failure Type]]="Sawshop",tblDowntime[[#This Row],[Failure Type]]="Electrical",tblDowntime[[#This Row],[Failure Type]]="Mechanical"),tblDowntime[[#This Row],[Downtime Hours]],"")</f>
        <v/>
      </c>
      <c r="K692" s="10" t="n"/>
      <c r="L692" s="10" t="n"/>
      <c r="M692">
        <f>IF(tblDowntime[[#This Row],[Maintenance Downtime Hours]]="","",tblDowntime[[#This Row],[Equipment ID]])</f>
        <v/>
      </c>
      <c r="N692" s="1">
        <f>IF(tblDowntime[[#This Row],[Failure Type]]="Production",tblDowntime[[#This Row],[Downtime Hours]],"")</f>
        <v/>
      </c>
      <c r="O692">
        <f>IF(tblDowntime[[#This Row],[Production Downtime Hours]]="","",tblDowntime[[#This Row],[Equipment ID]])</f>
        <v/>
      </c>
      <c r="P692" s="10" t="n"/>
    </row>
    <row r="693">
      <c r="B693">
        <f t="array" ref="B693">_xlfn.XLOOKUP(C693,INDIRECT("tblEquipment[Equipment ID]"),INDIRECT("tblEquipment[Production Department]"),"")</f>
        <v/>
      </c>
      <c r="D693">
        <f t="array" ref="D693">_xlfn.XLOOKUP(C693,INDIRECT("tblEquipment[Equipment ID]"),INDIRECT("tblEquipment[Equipment Name]"),"")</f>
        <v/>
      </c>
      <c r="F693" s="16" t="n"/>
      <c r="G693" s="16" t="n"/>
      <c r="H693" s="1">
        <f>IF(OR(F693=0,G693=0),"",(G693-F693)*24)</f>
        <v/>
      </c>
      <c r="I693" s="10" t="n"/>
      <c r="J693" s="1">
        <f>IF(OR(tblDowntime[[#This Row],[Failure Type]]="Sawshop",tblDowntime[[#This Row],[Failure Type]]="Electrical",tblDowntime[[#This Row],[Failure Type]]="Mechanical"),tblDowntime[[#This Row],[Downtime Hours]],"")</f>
        <v/>
      </c>
      <c r="K693" s="10" t="n"/>
      <c r="L693" s="10" t="n"/>
      <c r="M693">
        <f>IF(tblDowntime[[#This Row],[Maintenance Downtime Hours]]="","",tblDowntime[[#This Row],[Equipment ID]])</f>
        <v/>
      </c>
      <c r="N693" s="1">
        <f>IF(tblDowntime[[#This Row],[Failure Type]]="Production",tblDowntime[[#This Row],[Downtime Hours]],"")</f>
        <v/>
      </c>
      <c r="O693">
        <f>IF(tblDowntime[[#This Row],[Production Downtime Hours]]="","",tblDowntime[[#This Row],[Equipment ID]])</f>
        <v/>
      </c>
      <c r="P693" s="10" t="n"/>
    </row>
    <row r="694">
      <c r="B694">
        <f t="array" ref="B694">_xlfn.XLOOKUP(C694,INDIRECT("tblEquipment[Equipment ID]"),INDIRECT("tblEquipment[Production Department]"),"")</f>
        <v/>
      </c>
      <c r="D694">
        <f t="array" ref="D694">_xlfn.XLOOKUP(C694,INDIRECT("tblEquipment[Equipment ID]"),INDIRECT("tblEquipment[Equipment Name]"),"")</f>
        <v/>
      </c>
      <c r="F694" s="16" t="n"/>
      <c r="G694" s="16" t="n"/>
      <c r="H694" s="1">
        <f>IF(OR(F694=0,G694=0),"",(G694-F694)*24)</f>
        <v/>
      </c>
      <c r="I694" s="10" t="n"/>
      <c r="J694" s="1">
        <f>IF(OR(tblDowntime[[#This Row],[Failure Type]]="Sawshop",tblDowntime[[#This Row],[Failure Type]]="Electrical",tblDowntime[[#This Row],[Failure Type]]="Mechanical"),tblDowntime[[#This Row],[Downtime Hours]],"")</f>
        <v/>
      </c>
      <c r="K694" s="10" t="n"/>
      <c r="L694" s="10" t="n"/>
      <c r="M694">
        <f>IF(tblDowntime[[#This Row],[Maintenance Downtime Hours]]="","",tblDowntime[[#This Row],[Equipment ID]])</f>
        <v/>
      </c>
      <c r="N694" s="1">
        <f>IF(tblDowntime[[#This Row],[Failure Type]]="Production",tblDowntime[[#This Row],[Downtime Hours]],"")</f>
        <v/>
      </c>
      <c r="O694">
        <f>IF(tblDowntime[[#This Row],[Production Downtime Hours]]="","",tblDowntime[[#This Row],[Equipment ID]])</f>
        <v/>
      </c>
      <c r="P694" s="10" t="n"/>
    </row>
    <row r="695">
      <c r="B695">
        <f t="array" ref="B695">_xlfn.XLOOKUP(C695,INDIRECT("tblEquipment[Equipment ID]"),INDIRECT("tblEquipment[Production Department]"),"")</f>
        <v/>
      </c>
      <c r="D695">
        <f t="array" ref="D695">_xlfn.XLOOKUP(C695,INDIRECT("tblEquipment[Equipment ID]"),INDIRECT("tblEquipment[Equipment Name]"),"")</f>
        <v/>
      </c>
      <c r="F695" s="16" t="n"/>
      <c r="G695" s="16" t="n"/>
      <c r="H695" s="1">
        <f>IF(OR(F695=0,G695=0),"",(G695-F695)*24)</f>
        <v/>
      </c>
      <c r="I695" s="10" t="n"/>
      <c r="J695" s="1">
        <f>IF(OR(tblDowntime[[#This Row],[Failure Type]]="Sawshop",tblDowntime[[#This Row],[Failure Type]]="Electrical",tblDowntime[[#This Row],[Failure Type]]="Mechanical"),tblDowntime[[#This Row],[Downtime Hours]],"")</f>
        <v/>
      </c>
      <c r="K695" s="10" t="n"/>
      <c r="L695" s="10" t="n"/>
      <c r="M695">
        <f>IF(tblDowntime[[#This Row],[Maintenance Downtime Hours]]="","",tblDowntime[[#This Row],[Equipment ID]])</f>
        <v/>
      </c>
      <c r="N695" s="1">
        <f>IF(tblDowntime[[#This Row],[Failure Type]]="Production",tblDowntime[[#This Row],[Downtime Hours]],"")</f>
        <v/>
      </c>
      <c r="O695">
        <f>IF(tblDowntime[[#This Row],[Production Downtime Hours]]="","",tblDowntime[[#This Row],[Equipment ID]])</f>
        <v/>
      </c>
      <c r="P695" s="10" t="n"/>
    </row>
    <row r="696">
      <c r="B696">
        <f t="array" ref="B696">_xlfn.XLOOKUP(C696,INDIRECT("tblEquipment[Equipment ID]"),INDIRECT("tblEquipment[Production Department]"),"")</f>
        <v/>
      </c>
      <c r="D696" s="10">
        <f t="array" ref="D696">_xlfn.XLOOKUP(C696,INDIRECT("tblEquipment[Equipment ID]"),INDIRECT("tblEquipment[Equipment Name]"),"")</f>
        <v/>
      </c>
      <c r="F696" s="16" t="n"/>
      <c r="G696" s="16" t="n"/>
      <c r="H696" s="1">
        <f>IF(OR(F696=0,G696=0),"",(G696-F696)*24)</f>
        <v/>
      </c>
      <c r="I696" s="10" t="n"/>
      <c r="J696" s="1">
        <f>IF(OR(tblDowntime[[#This Row],[Failure Type]]="Sawshop",tblDowntime[[#This Row],[Failure Type]]="Electrical",tblDowntime[[#This Row],[Failure Type]]="Mechanical"),tblDowntime[[#This Row],[Downtime Hours]],"")</f>
        <v/>
      </c>
      <c r="K696" s="10" t="n"/>
      <c r="L696" s="10" t="n"/>
      <c r="M696">
        <f>IF(tblDowntime[[#This Row],[Maintenance Downtime Hours]]="","",tblDowntime[[#This Row],[Equipment ID]])</f>
        <v/>
      </c>
      <c r="N696" s="1">
        <f>IF(tblDowntime[[#This Row],[Failure Type]]="Production",tblDowntime[[#This Row],[Downtime Hours]],"")</f>
        <v/>
      </c>
      <c r="O696">
        <f>IF(tblDowntime[[#This Row],[Production Downtime Hours]]="","",tblDowntime[[#This Row],[Equipment ID]])</f>
        <v/>
      </c>
      <c r="P696" s="10" t="n"/>
    </row>
    <row r="697">
      <c r="B697">
        <f t="array" ref="B697">_xlfn.XLOOKUP(C697,INDIRECT("tblEquipment[Equipment ID]"),INDIRECT("tblEquipment[Production Department]"),"")</f>
        <v/>
      </c>
      <c r="D697">
        <f t="array" ref="D697">_xlfn.XLOOKUP(C697,INDIRECT("tblEquipment[Equipment ID]"),INDIRECT("tblEquipment[Equipment Name]"),"")</f>
        <v/>
      </c>
      <c r="F697" s="16" t="n"/>
      <c r="G697" s="16" t="n"/>
      <c r="H697" s="1">
        <f>IF(OR(F697=0,G697=0),"",(G697-F697)*24)</f>
        <v/>
      </c>
      <c r="I697" s="10" t="n"/>
      <c r="J697" s="1">
        <f>IF(OR(tblDowntime[[#This Row],[Failure Type]]="Sawshop",tblDowntime[[#This Row],[Failure Type]]="Electrical",tblDowntime[[#This Row],[Failure Type]]="Mechanical"),tblDowntime[[#This Row],[Downtime Hours]],"")</f>
        <v/>
      </c>
      <c r="K697" s="10" t="n"/>
      <c r="L697" s="10" t="n"/>
      <c r="M697">
        <f>IF(tblDowntime[[#This Row],[Maintenance Downtime Hours]]="","",tblDowntime[[#This Row],[Equipment ID]])</f>
        <v/>
      </c>
      <c r="N697" s="1">
        <f>IF(tblDowntime[[#This Row],[Failure Type]]="Production",tblDowntime[[#This Row],[Downtime Hours]],"")</f>
        <v/>
      </c>
      <c r="O697">
        <f>IF(tblDowntime[[#This Row],[Production Downtime Hours]]="","",tblDowntime[[#This Row],[Equipment ID]])</f>
        <v/>
      </c>
      <c r="P697" s="10" t="n"/>
    </row>
    <row r="698">
      <c r="B698">
        <f t="array" ref="B698">_xlfn.XLOOKUP(C698,INDIRECT("tblEquipment[Equipment ID]"),INDIRECT("tblEquipment[Production Department]"),"")</f>
        <v/>
      </c>
      <c r="D698">
        <f t="array" ref="D698">_xlfn.XLOOKUP(C698,INDIRECT("tblEquipment[Equipment ID]"),INDIRECT("tblEquipment[Equipment Name]"),"")</f>
        <v/>
      </c>
      <c r="F698" s="16" t="n"/>
      <c r="G698" s="16" t="n"/>
      <c r="H698" s="1">
        <f>IF(OR(F698=0,G698=0),"",(G698-F698)*24)</f>
        <v/>
      </c>
      <c r="I698" s="10" t="n"/>
      <c r="J698" s="1">
        <f>IF(OR(tblDowntime[[#This Row],[Failure Type]]="Sawshop",tblDowntime[[#This Row],[Failure Type]]="Electrical",tblDowntime[[#This Row],[Failure Type]]="Mechanical"),tblDowntime[[#This Row],[Downtime Hours]],"")</f>
        <v/>
      </c>
      <c r="K698" s="10" t="n"/>
      <c r="L698" s="10" t="n"/>
      <c r="M698">
        <f>IF(tblDowntime[[#This Row],[Maintenance Downtime Hours]]="","",tblDowntime[[#This Row],[Equipment ID]])</f>
        <v/>
      </c>
      <c r="N698" s="1">
        <f>IF(tblDowntime[[#This Row],[Failure Type]]="Production",tblDowntime[[#This Row],[Downtime Hours]],"")</f>
        <v/>
      </c>
      <c r="O698">
        <f>IF(tblDowntime[[#This Row],[Production Downtime Hours]]="","",tblDowntime[[#This Row],[Equipment ID]])</f>
        <v/>
      </c>
      <c r="P698" s="10" t="n"/>
    </row>
    <row r="699">
      <c r="B699">
        <f t="array" ref="B699">_xlfn.XLOOKUP(C699,INDIRECT("tblEquipment[Equipment ID]"),INDIRECT("tblEquipment[Production Department]"),"")</f>
        <v/>
      </c>
      <c r="D699">
        <f t="array" ref="D699">_xlfn.XLOOKUP(C699,INDIRECT("tblEquipment[Equipment ID]"),INDIRECT("tblEquipment[Equipment Name]"),"")</f>
        <v/>
      </c>
      <c r="F699" s="16" t="n"/>
      <c r="G699" s="16" t="n"/>
      <c r="H699" s="1">
        <f>IF(OR(F699=0,G699=0),"",(G699-F699)*24)</f>
        <v/>
      </c>
      <c r="I699" s="10" t="n"/>
      <c r="J699" s="1">
        <f>IF(OR(tblDowntime[[#This Row],[Failure Type]]="Sawshop",tblDowntime[[#This Row],[Failure Type]]="Electrical",tblDowntime[[#This Row],[Failure Type]]="Mechanical"),tblDowntime[[#This Row],[Downtime Hours]],"")</f>
        <v/>
      </c>
      <c r="K699" s="10" t="n"/>
      <c r="L699" s="10" t="n"/>
      <c r="M699">
        <f>IF(tblDowntime[[#This Row],[Maintenance Downtime Hours]]="","",tblDowntime[[#This Row],[Equipment ID]])</f>
        <v/>
      </c>
      <c r="N699" s="1">
        <f>IF(tblDowntime[[#This Row],[Failure Type]]="Production",tblDowntime[[#This Row],[Downtime Hours]],"")</f>
        <v/>
      </c>
      <c r="O699">
        <f>IF(tblDowntime[[#This Row],[Production Downtime Hours]]="","",tblDowntime[[#This Row],[Equipment ID]])</f>
        <v/>
      </c>
      <c r="P699" s="10" t="n"/>
    </row>
    <row r="700">
      <c r="B700">
        <f t="array" ref="B700">_xlfn.XLOOKUP(C700,INDIRECT("tblEquipment[Equipment ID]"),INDIRECT("tblEquipment[Production Department]"),"")</f>
        <v/>
      </c>
      <c r="D700">
        <f t="array" ref="D700">_xlfn.XLOOKUP(C700,INDIRECT("tblEquipment[Equipment ID]"),INDIRECT("tblEquipment[Equipment Name]"),"")</f>
        <v/>
      </c>
      <c r="F700" s="16" t="n"/>
      <c r="G700" s="16" t="n"/>
      <c r="H700" s="1">
        <f>IF(OR(F700=0,G700=0),"",(G700-F700)*24)</f>
        <v/>
      </c>
      <c r="I700" s="10" t="n"/>
      <c r="J700" s="1">
        <f>IF(OR(tblDowntime[[#This Row],[Failure Type]]="Sawshop",tblDowntime[[#This Row],[Failure Type]]="Electrical",tblDowntime[[#This Row],[Failure Type]]="Mechanical"),tblDowntime[[#This Row],[Downtime Hours]],"")</f>
        <v/>
      </c>
      <c r="K700" s="10" t="n"/>
      <c r="L700" s="10" t="n"/>
      <c r="M700">
        <f>IF(tblDowntime[[#This Row],[Maintenance Downtime Hours]]="","",tblDowntime[[#This Row],[Equipment ID]])</f>
        <v/>
      </c>
      <c r="N700" s="1">
        <f>IF(tblDowntime[[#This Row],[Failure Type]]="Production",tblDowntime[[#This Row],[Downtime Hours]],"")</f>
        <v/>
      </c>
      <c r="O700">
        <f>IF(tblDowntime[[#This Row],[Production Downtime Hours]]="","",tblDowntime[[#This Row],[Equipment ID]])</f>
        <v/>
      </c>
      <c r="P700" s="10" t="n"/>
    </row>
    <row r="701">
      <c r="B701">
        <f t="array" ref="B701">_xlfn.XLOOKUP(C701,INDIRECT("tblEquipment[Equipment ID]"),INDIRECT("tblEquipment[Production Department]"),"")</f>
        <v/>
      </c>
      <c r="D701">
        <f t="array" ref="D701">_xlfn.XLOOKUP(C701,INDIRECT("tblEquipment[Equipment ID]"),INDIRECT("tblEquipment[Equipment Name]"),"")</f>
        <v/>
      </c>
      <c r="F701" s="16" t="n"/>
      <c r="G701" s="16" t="n"/>
      <c r="H701" s="1">
        <f>IF(OR(F701=0,G701=0),"",(G701-F701)*24)</f>
        <v/>
      </c>
      <c r="I701" s="10" t="n"/>
      <c r="J701" s="1">
        <f>IF(OR(tblDowntime[[#This Row],[Failure Type]]="Sawshop",tblDowntime[[#This Row],[Failure Type]]="Electrical",tblDowntime[[#This Row],[Failure Type]]="Mechanical"),tblDowntime[[#This Row],[Downtime Hours]],"")</f>
        <v/>
      </c>
      <c r="K701" s="10" t="n"/>
      <c r="L701" s="10" t="n"/>
      <c r="M701">
        <f>IF(tblDowntime[[#This Row],[Maintenance Downtime Hours]]="","",tblDowntime[[#This Row],[Equipment ID]])</f>
        <v/>
      </c>
      <c r="N701" s="1">
        <f>IF(tblDowntime[[#This Row],[Failure Type]]="Production",tblDowntime[[#This Row],[Downtime Hours]],"")</f>
        <v/>
      </c>
      <c r="O701">
        <f>IF(tblDowntime[[#This Row],[Production Downtime Hours]]="","",tblDowntime[[#This Row],[Equipment ID]])</f>
        <v/>
      </c>
      <c r="P701" s="10" t="n"/>
    </row>
    <row r="702">
      <c r="B702">
        <f t="array" ref="B702">_xlfn.XLOOKUP(C702,INDIRECT("tblEquipment[Equipment ID]"),INDIRECT("tblEquipment[Production Department]"),"")</f>
        <v/>
      </c>
      <c r="D702">
        <f t="array" ref="D702">_xlfn.XLOOKUP(C702,INDIRECT("tblEquipment[Equipment ID]"),INDIRECT("tblEquipment[Equipment Name]"),"")</f>
        <v/>
      </c>
      <c r="F702" s="16" t="n"/>
      <c r="G702" s="16" t="n"/>
      <c r="H702" s="1">
        <f>IF(OR(F702=0,G702=0),"",(G702-F702)*24)</f>
        <v/>
      </c>
      <c r="I702" s="10" t="n"/>
      <c r="J702" s="1">
        <f>IF(OR(tblDowntime[[#This Row],[Failure Type]]="Sawshop",tblDowntime[[#This Row],[Failure Type]]="Electrical",tblDowntime[[#This Row],[Failure Type]]="Mechanical"),tblDowntime[[#This Row],[Downtime Hours]],"")</f>
        <v/>
      </c>
      <c r="K702" s="10" t="n"/>
      <c r="L702" s="10" t="n"/>
      <c r="M702">
        <f>IF(tblDowntime[[#This Row],[Maintenance Downtime Hours]]="","",tblDowntime[[#This Row],[Equipment ID]])</f>
        <v/>
      </c>
      <c r="N702" s="1">
        <f>IF(tblDowntime[[#This Row],[Failure Type]]="Production",tblDowntime[[#This Row],[Downtime Hours]],"")</f>
        <v/>
      </c>
      <c r="O702">
        <f>IF(tblDowntime[[#This Row],[Production Downtime Hours]]="","",tblDowntime[[#This Row],[Equipment ID]])</f>
        <v/>
      </c>
      <c r="P702" s="10" t="n"/>
    </row>
    <row r="703">
      <c r="B703">
        <f t="array" ref="B703">_xlfn.XLOOKUP(C703,INDIRECT("tblEquipment[Equipment ID]"),INDIRECT("tblEquipment[Production Department]"),"")</f>
        <v/>
      </c>
      <c r="D703">
        <f t="array" ref="D703">_xlfn.XLOOKUP(C703,INDIRECT("tblEquipment[Equipment ID]"),INDIRECT("tblEquipment[Equipment Name]"),"")</f>
        <v/>
      </c>
      <c r="F703" s="16" t="n"/>
      <c r="G703" s="16" t="n"/>
      <c r="H703" s="1">
        <f>IF(OR(F703=0,G703=0),"",(G703-F703)*24)</f>
        <v/>
      </c>
      <c r="I703" s="10" t="n"/>
      <c r="J703" s="1">
        <f>IF(OR(tblDowntime[[#This Row],[Failure Type]]="Sawshop",tblDowntime[[#This Row],[Failure Type]]="Electrical",tblDowntime[[#This Row],[Failure Type]]="Mechanical"),tblDowntime[[#This Row],[Downtime Hours]],"")</f>
        <v/>
      </c>
      <c r="K703" s="10" t="n"/>
      <c r="L703" s="10" t="n"/>
      <c r="M703">
        <f>IF(tblDowntime[[#This Row],[Maintenance Downtime Hours]]="","",tblDowntime[[#This Row],[Equipment ID]])</f>
        <v/>
      </c>
      <c r="N703" s="1">
        <f>IF(tblDowntime[[#This Row],[Failure Type]]="Production",tblDowntime[[#This Row],[Downtime Hours]],"")</f>
        <v/>
      </c>
      <c r="O703">
        <f>IF(tblDowntime[[#This Row],[Production Downtime Hours]]="","",tblDowntime[[#This Row],[Equipment ID]])</f>
        <v/>
      </c>
      <c r="P703" s="10" t="n"/>
    </row>
    <row r="704">
      <c r="B704">
        <f t="array" ref="B704">_xlfn.XLOOKUP(C704,INDIRECT("tblEquipment[Equipment ID]"),INDIRECT("tblEquipment[Production Department]"),"")</f>
        <v/>
      </c>
      <c r="D704">
        <f t="array" ref="D704">_xlfn.XLOOKUP(C704,INDIRECT("tblEquipment[Equipment ID]"),INDIRECT("tblEquipment[Equipment Name]"),"")</f>
        <v/>
      </c>
      <c r="F704" s="16" t="n"/>
      <c r="G704" s="16" t="n"/>
      <c r="H704" s="1">
        <f>IF(OR(F704=0,G704=0),"",(G704-F704)*24)</f>
        <v/>
      </c>
      <c r="I704" s="10" t="n"/>
      <c r="J704" s="1">
        <f>IF(OR(tblDowntime[[#This Row],[Failure Type]]="Sawshop",tblDowntime[[#This Row],[Failure Type]]="Electrical",tblDowntime[[#This Row],[Failure Type]]="Mechanical"),tblDowntime[[#This Row],[Downtime Hours]],"")</f>
        <v/>
      </c>
      <c r="K704" s="10" t="n"/>
      <c r="L704" s="10" t="n"/>
      <c r="M704">
        <f>IF(tblDowntime[[#This Row],[Maintenance Downtime Hours]]="","",tblDowntime[[#This Row],[Equipment ID]])</f>
        <v/>
      </c>
      <c r="N704" s="1">
        <f>IF(tblDowntime[[#This Row],[Failure Type]]="Production",tblDowntime[[#This Row],[Downtime Hours]],"")</f>
        <v/>
      </c>
      <c r="O704">
        <f>IF(tblDowntime[[#This Row],[Production Downtime Hours]]="","",tblDowntime[[#This Row],[Equipment ID]])</f>
        <v/>
      </c>
      <c r="P704" s="10" t="n"/>
    </row>
    <row r="705">
      <c r="B705">
        <f t="array" ref="B705">_xlfn.XLOOKUP(C705,INDIRECT("tblEquipment[Equipment ID]"),INDIRECT("tblEquipment[Production Department]"),"")</f>
        <v/>
      </c>
      <c r="D705">
        <f t="array" ref="D705">_xlfn.XLOOKUP(C705,INDIRECT("tblEquipment[Equipment ID]"),INDIRECT("tblEquipment[Equipment Name]"),"")</f>
        <v/>
      </c>
      <c r="F705" s="16" t="n"/>
      <c r="G705" s="16" t="n"/>
      <c r="H705" s="1">
        <f>IF(OR(F705=0,G705=0),"",(G705-F705)*24)</f>
        <v/>
      </c>
      <c r="I705" s="10" t="n"/>
      <c r="J705" s="1">
        <f>IF(OR(tblDowntime[[#This Row],[Failure Type]]="Sawshop",tblDowntime[[#This Row],[Failure Type]]="Electrical",tblDowntime[[#This Row],[Failure Type]]="Mechanical"),tblDowntime[[#This Row],[Downtime Hours]],"")</f>
        <v/>
      </c>
      <c r="K705" s="10" t="n"/>
      <c r="L705" s="10" t="n"/>
      <c r="M705">
        <f>IF(tblDowntime[[#This Row],[Maintenance Downtime Hours]]="","",tblDowntime[[#This Row],[Equipment ID]])</f>
        <v/>
      </c>
      <c r="N705" s="1">
        <f>IF(tblDowntime[[#This Row],[Failure Type]]="Production",tblDowntime[[#This Row],[Downtime Hours]],"")</f>
        <v/>
      </c>
      <c r="O705">
        <f>IF(tblDowntime[[#This Row],[Production Downtime Hours]]="","",tblDowntime[[#This Row],[Equipment ID]])</f>
        <v/>
      </c>
      <c r="P705" s="10" t="n"/>
    </row>
    <row r="706">
      <c r="B706">
        <f t="array" ref="B706">_xlfn.XLOOKUP(C706,INDIRECT("tblEquipment[Equipment ID]"),INDIRECT("tblEquipment[Production Department]"),"")</f>
        <v/>
      </c>
      <c r="D706">
        <f t="array" ref="D706">_xlfn.XLOOKUP(C706,INDIRECT("tblEquipment[Equipment ID]"),INDIRECT("tblEquipment[Equipment Name]"),"")</f>
        <v/>
      </c>
      <c r="F706" s="16" t="n"/>
      <c r="G706" s="16" t="n"/>
      <c r="H706" s="1">
        <f>IF(OR(F706=0,G706=0),"",(G706-F706)*24)</f>
        <v/>
      </c>
      <c r="I706" s="10" t="n"/>
      <c r="J706" s="1">
        <f>IF(OR(tblDowntime[[#This Row],[Failure Type]]="Sawshop",tblDowntime[[#This Row],[Failure Type]]="Electrical",tblDowntime[[#This Row],[Failure Type]]="Mechanical"),tblDowntime[[#This Row],[Downtime Hours]],"")</f>
        <v/>
      </c>
      <c r="K706" s="10" t="n"/>
      <c r="L706" s="10" t="n"/>
      <c r="M706">
        <f>IF(tblDowntime[[#This Row],[Maintenance Downtime Hours]]="","",tblDowntime[[#This Row],[Equipment ID]])</f>
        <v/>
      </c>
      <c r="N706" s="1">
        <f>IF(tblDowntime[[#This Row],[Failure Type]]="Production",tblDowntime[[#This Row],[Downtime Hours]],"")</f>
        <v/>
      </c>
      <c r="O706">
        <f>IF(tblDowntime[[#This Row],[Production Downtime Hours]]="","",tblDowntime[[#This Row],[Equipment ID]])</f>
        <v/>
      </c>
      <c r="P706" s="10" t="n"/>
    </row>
    <row r="707">
      <c r="B707">
        <f t="array" ref="B707">_xlfn.XLOOKUP(C707,INDIRECT("tblEquipment[Equipment ID]"),INDIRECT("tblEquipment[Production Department]"),"")</f>
        <v/>
      </c>
      <c r="D707">
        <f t="array" ref="D707">_xlfn.XLOOKUP(C707,INDIRECT("tblEquipment[Equipment ID]"),INDIRECT("tblEquipment[Equipment Name]"),"")</f>
        <v/>
      </c>
      <c r="F707" s="16" t="n"/>
      <c r="G707" s="16" t="n"/>
      <c r="H707" s="1">
        <f>IF(OR(F707=0,G707=0),"",(G707-F707)*24)</f>
        <v/>
      </c>
      <c r="I707" s="10" t="n"/>
      <c r="J707" s="1">
        <f>IF(OR(tblDowntime[[#This Row],[Failure Type]]="Sawshop",tblDowntime[[#This Row],[Failure Type]]="Electrical",tblDowntime[[#This Row],[Failure Type]]="Mechanical"),tblDowntime[[#This Row],[Downtime Hours]],"")</f>
        <v/>
      </c>
      <c r="K707" s="10" t="n"/>
      <c r="L707" s="10" t="n"/>
      <c r="M707">
        <f>IF(tblDowntime[[#This Row],[Maintenance Downtime Hours]]="","",tblDowntime[[#This Row],[Equipment ID]])</f>
        <v/>
      </c>
      <c r="N707" s="1">
        <f>IF(tblDowntime[[#This Row],[Failure Type]]="Production",tblDowntime[[#This Row],[Downtime Hours]],"")</f>
        <v/>
      </c>
      <c r="O707">
        <f>IF(tblDowntime[[#This Row],[Production Downtime Hours]]="","",tblDowntime[[#This Row],[Equipment ID]])</f>
        <v/>
      </c>
      <c r="P707" s="10" t="n"/>
    </row>
    <row r="708">
      <c r="B708">
        <f t="array" ref="B708">_xlfn.XLOOKUP(C708,INDIRECT("tblEquipment[Equipment ID]"),INDIRECT("tblEquipment[Production Department]"),"")</f>
        <v/>
      </c>
      <c r="D708">
        <f t="array" ref="D708">_xlfn.XLOOKUP(C708,INDIRECT("tblEquipment[Equipment ID]"),INDIRECT("tblEquipment[Equipment Name]"),"")</f>
        <v/>
      </c>
      <c r="F708" s="16" t="n"/>
      <c r="G708" s="16" t="n"/>
      <c r="H708" s="1">
        <f>IF(OR(F708=0,G708=0),"",(G708-F708)*24)</f>
        <v/>
      </c>
      <c r="I708" s="10" t="n"/>
      <c r="J708" s="1">
        <f>IF(OR(tblDowntime[[#This Row],[Failure Type]]="Sawshop",tblDowntime[[#This Row],[Failure Type]]="Electrical",tblDowntime[[#This Row],[Failure Type]]="Mechanical"),tblDowntime[[#This Row],[Downtime Hours]],"")</f>
        <v/>
      </c>
      <c r="K708" s="10" t="n"/>
      <c r="L708" s="10" t="n"/>
      <c r="M708">
        <f>IF(tblDowntime[[#This Row],[Maintenance Downtime Hours]]="","",tblDowntime[[#This Row],[Equipment ID]])</f>
        <v/>
      </c>
      <c r="N708" s="1">
        <f>IF(tblDowntime[[#This Row],[Failure Type]]="Production",tblDowntime[[#This Row],[Downtime Hours]],"")</f>
        <v/>
      </c>
      <c r="O708">
        <f>IF(tblDowntime[[#This Row],[Production Downtime Hours]]="","",tblDowntime[[#This Row],[Equipment ID]])</f>
        <v/>
      </c>
      <c r="P708" s="10" t="n"/>
    </row>
    <row r="709">
      <c r="B709">
        <f t="array" ref="B709">_xlfn.XLOOKUP(C709,INDIRECT("tblEquipment[Equipment ID]"),INDIRECT("tblEquipment[Production Department]"),"")</f>
        <v/>
      </c>
      <c r="D709">
        <f t="array" ref="D709">_xlfn.XLOOKUP(C709,INDIRECT("tblEquipment[Equipment ID]"),INDIRECT("tblEquipment[Equipment Name]"),"")</f>
        <v/>
      </c>
      <c r="F709" s="16" t="n"/>
      <c r="G709" s="16" t="n"/>
      <c r="H709" s="1">
        <f>IF(OR(F709=0,G709=0),"",(G709-F709)*24)</f>
        <v/>
      </c>
      <c r="I709" s="10" t="n"/>
      <c r="J709" s="1">
        <f>IF(OR(tblDowntime[[#This Row],[Failure Type]]="Sawshop",tblDowntime[[#This Row],[Failure Type]]="Electrical",tblDowntime[[#This Row],[Failure Type]]="Mechanical"),tblDowntime[[#This Row],[Downtime Hours]],"")</f>
        <v/>
      </c>
      <c r="K709" s="10" t="n"/>
      <c r="L709" s="10" t="n"/>
      <c r="M709">
        <f>IF(tblDowntime[[#This Row],[Maintenance Downtime Hours]]="","",tblDowntime[[#This Row],[Equipment ID]])</f>
        <v/>
      </c>
      <c r="N709" s="1">
        <f>IF(tblDowntime[[#This Row],[Failure Type]]="Production",tblDowntime[[#This Row],[Downtime Hours]],"")</f>
        <v/>
      </c>
      <c r="O709">
        <f>IF(tblDowntime[[#This Row],[Production Downtime Hours]]="","",tblDowntime[[#This Row],[Equipment ID]])</f>
        <v/>
      </c>
      <c r="P709" s="10" t="n"/>
    </row>
    <row r="710">
      <c r="B710">
        <f t="array" ref="B710">_xlfn.XLOOKUP(C710,INDIRECT("tblEquipment[Equipment ID]"),INDIRECT("tblEquipment[Production Department]"),"")</f>
        <v/>
      </c>
      <c r="D710">
        <f t="array" ref="D710">_xlfn.XLOOKUP(C710,INDIRECT("tblEquipment[Equipment ID]"),INDIRECT("tblEquipment[Equipment Name]"),"")</f>
        <v/>
      </c>
      <c r="F710" s="16" t="n"/>
      <c r="G710" s="16" t="n"/>
      <c r="H710" s="1">
        <f>IF(OR(F710=0,G710=0),"",(G710-F710)*24)</f>
        <v/>
      </c>
      <c r="I710" s="10" t="n"/>
      <c r="J710" s="1">
        <f>IF(OR(tblDowntime[[#This Row],[Failure Type]]="Sawshop",tblDowntime[[#This Row],[Failure Type]]="Electrical",tblDowntime[[#This Row],[Failure Type]]="Mechanical"),tblDowntime[[#This Row],[Downtime Hours]],"")</f>
        <v/>
      </c>
      <c r="K710" s="10" t="n"/>
      <c r="L710" s="10" t="n"/>
      <c r="M710">
        <f>IF(tblDowntime[[#This Row],[Maintenance Downtime Hours]]="","",tblDowntime[[#This Row],[Equipment ID]])</f>
        <v/>
      </c>
      <c r="N710" s="1">
        <f>IF(tblDowntime[[#This Row],[Failure Type]]="Production",tblDowntime[[#This Row],[Downtime Hours]],"")</f>
        <v/>
      </c>
      <c r="O710">
        <f>IF(tblDowntime[[#This Row],[Production Downtime Hours]]="","",tblDowntime[[#This Row],[Equipment ID]])</f>
        <v/>
      </c>
      <c r="P710" s="10" t="n"/>
    </row>
    <row r="711">
      <c r="B711">
        <f t="array" ref="B711">_xlfn.XLOOKUP(C711,INDIRECT("tblEquipment[Equipment ID]"),INDIRECT("tblEquipment[Production Department]"),"")</f>
        <v/>
      </c>
      <c r="D711">
        <f t="array" ref="D711">_xlfn.XLOOKUP(C711,INDIRECT("tblEquipment[Equipment ID]"),INDIRECT("tblEquipment[Equipment Name]"),"")</f>
        <v/>
      </c>
      <c r="F711" s="16" t="n"/>
      <c r="G711" s="16" t="n"/>
      <c r="H711" s="1">
        <f>IF(OR(F711=0,G711=0),"",(G711-F711)*24)</f>
        <v/>
      </c>
      <c r="I711" s="10" t="n"/>
      <c r="J711" s="1">
        <f>IF(OR(tblDowntime[[#This Row],[Failure Type]]="Sawshop",tblDowntime[[#This Row],[Failure Type]]="Electrical",tblDowntime[[#This Row],[Failure Type]]="Mechanical"),tblDowntime[[#This Row],[Downtime Hours]],"")</f>
        <v/>
      </c>
      <c r="K711" s="10" t="n"/>
      <c r="L711" s="10" t="n"/>
      <c r="M711">
        <f>IF(tblDowntime[[#This Row],[Maintenance Downtime Hours]]="","",tblDowntime[[#This Row],[Equipment ID]])</f>
        <v/>
      </c>
      <c r="N711" s="1">
        <f>IF(tblDowntime[[#This Row],[Failure Type]]="Production",tblDowntime[[#This Row],[Downtime Hours]],"")</f>
        <v/>
      </c>
      <c r="O711">
        <f>IF(tblDowntime[[#This Row],[Production Downtime Hours]]="","",tblDowntime[[#This Row],[Equipment ID]])</f>
        <v/>
      </c>
      <c r="P711" s="10" t="n"/>
    </row>
    <row r="712">
      <c r="B712">
        <f t="array" ref="B712">_xlfn.XLOOKUP(C712,INDIRECT("tblEquipment[Equipment ID]"),INDIRECT("tblEquipment[Production Department]"),"")</f>
        <v/>
      </c>
      <c r="D712">
        <f t="array" ref="D712">_xlfn.XLOOKUP(C712,INDIRECT("tblEquipment[Equipment ID]"),INDIRECT("tblEquipment[Equipment Name]"),"")</f>
        <v/>
      </c>
      <c r="F712" s="16" t="n"/>
      <c r="G712" s="16" t="n"/>
      <c r="H712" s="1">
        <f>IF(OR(F712=0,G712=0),"",(G712-F712)*24)</f>
        <v/>
      </c>
      <c r="I712" s="10" t="n"/>
      <c r="J712" s="1">
        <f>IF(OR(tblDowntime[[#This Row],[Failure Type]]="Sawshop",tblDowntime[[#This Row],[Failure Type]]="Electrical",tblDowntime[[#This Row],[Failure Type]]="Mechanical"),tblDowntime[[#This Row],[Downtime Hours]],"")</f>
        <v/>
      </c>
      <c r="K712" s="10" t="n"/>
      <c r="L712" s="10" t="n"/>
      <c r="M712">
        <f>IF(tblDowntime[[#This Row],[Maintenance Downtime Hours]]="","",tblDowntime[[#This Row],[Equipment ID]])</f>
        <v/>
      </c>
      <c r="N712" s="1">
        <f>IF(tblDowntime[[#This Row],[Failure Type]]="Production",tblDowntime[[#This Row],[Downtime Hours]],"")</f>
        <v/>
      </c>
      <c r="O712">
        <f>IF(tblDowntime[[#This Row],[Production Downtime Hours]]="","",tblDowntime[[#This Row],[Equipment ID]])</f>
        <v/>
      </c>
      <c r="P712" s="10" t="n"/>
    </row>
    <row r="713">
      <c r="B713">
        <f t="array" ref="B713">_xlfn.XLOOKUP(C713,INDIRECT("tblEquipment[Equipment ID]"),INDIRECT("tblEquipment[Production Department]"),"")</f>
        <v/>
      </c>
      <c r="D713">
        <f t="array" ref="D713">_xlfn.XLOOKUP(C713,INDIRECT("tblEquipment[Equipment ID]"),INDIRECT("tblEquipment[Equipment Name]"),"")</f>
        <v/>
      </c>
      <c r="F713" s="16" t="n"/>
      <c r="G713" s="16" t="n"/>
      <c r="H713" s="1">
        <f>IF(OR(F713=0,G713=0),"",(G713-F713)*24)</f>
        <v/>
      </c>
      <c r="I713" s="10" t="n"/>
      <c r="J713" s="1">
        <f>IF(OR(tblDowntime[[#This Row],[Failure Type]]="Sawshop",tblDowntime[[#This Row],[Failure Type]]="Electrical",tblDowntime[[#This Row],[Failure Type]]="Mechanical"),tblDowntime[[#This Row],[Downtime Hours]],"")</f>
        <v/>
      </c>
      <c r="K713" s="10" t="n"/>
      <c r="L713" s="10" t="n"/>
      <c r="M713">
        <f>IF(tblDowntime[[#This Row],[Maintenance Downtime Hours]]="","",tblDowntime[[#This Row],[Equipment ID]])</f>
        <v/>
      </c>
      <c r="N713" s="1">
        <f>IF(tblDowntime[[#This Row],[Failure Type]]="Production",tblDowntime[[#This Row],[Downtime Hours]],"")</f>
        <v/>
      </c>
      <c r="O713">
        <f>IF(tblDowntime[[#This Row],[Production Downtime Hours]]="","",tblDowntime[[#This Row],[Equipment ID]])</f>
        <v/>
      </c>
      <c r="P713" s="10" t="n"/>
    </row>
    <row r="714">
      <c r="B714">
        <f t="array" ref="B714">_xlfn.XLOOKUP(C714,INDIRECT("tblEquipment[Equipment ID]"),INDIRECT("tblEquipment[Production Department]"),"")</f>
        <v/>
      </c>
      <c r="D714">
        <f t="array" ref="D714">_xlfn.XLOOKUP(C714,INDIRECT("tblEquipment[Equipment ID]"),INDIRECT("tblEquipment[Equipment Name]"),"")</f>
        <v/>
      </c>
      <c r="F714" s="16" t="n"/>
      <c r="G714" s="16" t="n"/>
      <c r="H714" s="1">
        <f>IF(OR(F714=0,G714=0),"",(G714-F714)*24)</f>
        <v/>
      </c>
      <c r="I714" s="10" t="n"/>
      <c r="J714" s="1">
        <f>IF(OR(tblDowntime[[#This Row],[Failure Type]]="Sawshop",tblDowntime[[#This Row],[Failure Type]]="Electrical",tblDowntime[[#This Row],[Failure Type]]="Mechanical"),tblDowntime[[#This Row],[Downtime Hours]],"")</f>
        <v/>
      </c>
      <c r="K714" s="10" t="n"/>
      <c r="L714" s="10" t="n"/>
      <c r="M714">
        <f>IF(tblDowntime[[#This Row],[Maintenance Downtime Hours]]="","",tblDowntime[[#This Row],[Equipment ID]])</f>
        <v/>
      </c>
      <c r="N714" s="1">
        <f>IF(tblDowntime[[#This Row],[Failure Type]]="Production",tblDowntime[[#This Row],[Downtime Hours]],"")</f>
        <v/>
      </c>
      <c r="O714">
        <f>IF(tblDowntime[[#This Row],[Production Downtime Hours]]="","",tblDowntime[[#This Row],[Equipment ID]])</f>
        <v/>
      </c>
      <c r="P714" s="10" t="n"/>
    </row>
    <row r="715">
      <c r="B715">
        <f t="array" ref="B715">_xlfn.XLOOKUP(C715,INDIRECT("tblEquipment[Equipment ID]"),INDIRECT("tblEquipment[Production Department]"),"")</f>
        <v/>
      </c>
      <c r="D715">
        <f t="array" ref="D715">_xlfn.XLOOKUP(C715,INDIRECT("tblEquipment[Equipment ID]"),INDIRECT("tblEquipment[Equipment Name]"),"")</f>
        <v/>
      </c>
      <c r="F715" s="16" t="n"/>
      <c r="G715" s="16" t="n"/>
      <c r="H715" s="1">
        <f>IF(OR(F715=0,G715=0),"",(G715-F715)*24)</f>
        <v/>
      </c>
      <c r="I715" s="10" t="n"/>
      <c r="J715" s="1">
        <f>IF(OR(tblDowntime[[#This Row],[Failure Type]]="Sawshop",tblDowntime[[#This Row],[Failure Type]]="Electrical",tblDowntime[[#This Row],[Failure Type]]="Mechanical"),tblDowntime[[#This Row],[Downtime Hours]],"")</f>
        <v/>
      </c>
      <c r="K715" s="10" t="n"/>
      <c r="L715" s="10" t="n"/>
      <c r="M715">
        <f>IF(tblDowntime[[#This Row],[Maintenance Downtime Hours]]="","",tblDowntime[[#This Row],[Equipment ID]])</f>
        <v/>
      </c>
      <c r="N715" s="1">
        <f>IF(tblDowntime[[#This Row],[Failure Type]]="Production",tblDowntime[[#This Row],[Downtime Hours]],"")</f>
        <v/>
      </c>
      <c r="O715">
        <f>IF(tblDowntime[[#This Row],[Production Downtime Hours]]="","",tblDowntime[[#This Row],[Equipment ID]])</f>
        <v/>
      </c>
      <c r="P715" s="10" t="n"/>
    </row>
    <row r="716">
      <c r="B716">
        <f t="array" ref="B716">_xlfn.XLOOKUP(C716,INDIRECT("tblEquipment[Equipment ID]"),INDIRECT("tblEquipment[Production Department]"),"")</f>
        <v/>
      </c>
      <c r="D716">
        <f t="array" ref="D716">_xlfn.XLOOKUP(C716,INDIRECT("tblEquipment[Equipment ID]"),INDIRECT("tblEquipment[Equipment Name]"),"")</f>
        <v/>
      </c>
      <c r="F716" s="16" t="n"/>
      <c r="G716" s="16" t="n"/>
      <c r="H716" s="1">
        <f>IF(OR(F716=0,G716=0),"",(G716-F716)*24)</f>
        <v/>
      </c>
      <c r="I716" s="10" t="n"/>
      <c r="J716" s="1">
        <f>IF(OR(tblDowntime[[#This Row],[Failure Type]]="Sawshop",tblDowntime[[#This Row],[Failure Type]]="Electrical",tblDowntime[[#This Row],[Failure Type]]="Mechanical"),tblDowntime[[#This Row],[Downtime Hours]],"")</f>
        <v/>
      </c>
      <c r="K716" s="10" t="n"/>
      <c r="L716" s="10" t="n"/>
      <c r="M716">
        <f>IF(tblDowntime[[#This Row],[Maintenance Downtime Hours]]="","",tblDowntime[[#This Row],[Equipment ID]])</f>
        <v/>
      </c>
      <c r="N716" s="1">
        <f>IF(tblDowntime[[#This Row],[Failure Type]]="Production",tblDowntime[[#This Row],[Downtime Hours]],"")</f>
        <v/>
      </c>
      <c r="O716">
        <f>IF(tblDowntime[[#This Row],[Production Downtime Hours]]="","",tblDowntime[[#This Row],[Equipment ID]])</f>
        <v/>
      </c>
      <c r="P716" s="10" t="n"/>
    </row>
    <row r="717">
      <c r="B717">
        <f t="array" ref="B717">_xlfn.XLOOKUP(C717,INDIRECT("tblEquipment[Equipment ID]"),INDIRECT("tblEquipment[Production Department]"),"")</f>
        <v/>
      </c>
      <c r="D717">
        <f t="array" ref="D717">_xlfn.XLOOKUP(C717,INDIRECT("tblEquipment[Equipment ID]"),INDIRECT("tblEquipment[Equipment Name]"),"")</f>
        <v/>
      </c>
      <c r="F717" s="16" t="n"/>
      <c r="G717" s="16" t="n"/>
      <c r="H717" s="1">
        <f>IF(OR(F717=0,G717=0),"",(G717-F717)*24)</f>
        <v/>
      </c>
      <c r="I717" s="10" t="n"/>
      <c r="J717" s="1">
        <f>IF(OR(tblDowntime[[#This Row],[Failure Type]]="Sawshop",tblDowntime[[#This Row],[Failure Type]]="Electrical",tblDowntime[[#This Row],[Failure Type]]="Mechanical"),tblDowntime[[#This Row],[Downtime Hours]],"")</f>
        <v/>
      </c>
      <c r="K717" s="10" t="n"/>
      <c r="L717" s="10" t="n"/>
      <c r="M717">
        <f>IF(tblDowntime[[#This Row],[Maintenance Downtime Hours]]="","",tblDowntime[[#This Row],[Equipment ID]])</f>
        <v/>
      </c>
      <c r="N717" s="1">
        <f>IF(tblDowntime[[#This Row],[Failure Type]]="Production",tblDowntime[[#This Row],[Downtime Hours]],"")</f>
        <v/>
      </c>
      <c r="O717">
        <f>IF(tblDowntime[[#This Row],[Production Downtime Hours]]="","",tblDowntime[[#This Row],[Equipment ID]])</f>
        <v/>
      </c>
      <c r="P717" s="10" t="n"/>
    </row>
    <row r="718">
      <c r="B718">
        <f t="array" ref="B718">_xlfn.XLOOKUP(C718,INDIRECT("tblEquipment[Equipment ID]"),INDIRECT("tblEquipment[Production Department]"),"")</f>
        <v/>
      </c>
      <c r="D718">
        <f t="array" ref="D718">_xlfn.XLOOKUP(C718,INDIRECT("tblEquipment[Equipment ID]"),INDIRECT("tblEquipment[Equipment Name]"),"")</f>
        <v/>
      </c>
      <c r="F718" s="16" t="n"/>
      <c r="G718" s="16" t="n"/>
      <c r="H718" s="1">
        <f>IF(OR(F718=0,G718=0),"",(G718-F718)*24)</f>
        <v/>
      </c>
      <c r="I718" s="10" t="n"/>
      <c r="J718" s="1">
        <f>IF(OR(tblDowntime[[#This Row],[Failure Type]]="Sawshop",tblDowntime[[#This Row],[Failure Type]]="Electrical",tblDowntime[[#This Row],[Failure Type]]="Mechanical"),tblDowntime[[#This Row],[Downtime Hours]],"")</f>
        <v/>
      </c>
      <c r="K718" s="10" t="n"/>
      <c r="L718" s="10" t="n"/>
      <c r="M718">
        <f>IF(tblDowntime[[#This Row],[Maintenance Downtime Hours]]="","",tblDowntime[[#This Row],[Equipment ID]])</f>
        <v/>
      </c>
      <c r="N718" s="1">
        <f>IF(tblDowntime[[#This Row],[Failure Type]]="Production",tblDowntime[[#This Row],[Downtime Hours]],"")</f>
        <v/>
      </c>
      <c r="O718">
        <f>IF(tblDowntime[[#This Row],[Production Downtime Hours]]="","",tblDowntime[[#This Row],[Equipment ID]])</f>
        <v/>
      </c>
      <c r="P718" s="10" t="n"/>
    </row>
    <row r="719">
      <c r="B719">
        <f t="array" ref="B719">_xlfn.XLOOKUP(C719,INDIRECT("tblEquipment[Equipment ID]"),INDIRECT("tblEquipment[Production Department]"),"")</f>
        <v/>
      </c>
      <c r="D719">
        <f t="array" ref="D719">_xlfn.XLOOKUP(C719,INDIRECT("tblEquipment[Equipment ID]"),INDIRECT("tblEquipment[Equipment Name]"),"")</f>
        <v/>
      </c>
      <c r="F719" s="16" t="n"/>
      <c r="G719" s="16" t="n"/>
      <c r="H719" s="1">
        <f>IF(OR(F719=0,G719=0),"",(G719-F719)*24)</f>
        <v/>
      </c>
      <c r="I719" s="10" t="n"/>
      <c r="J719" s="1">
        <f>IF(OR(tblDowntime[[#This Row],[Failure Type]]="Sawshop",tblDowntime[[#This Row],[Failure Type]]="Electrical",tblDowntime[[#This Row],[Failure Type]]="Mechanical"),tblDowntime[[#This Row],[Downtime Hours]],"")</f>
        <v/>
      </c>
      <c r="K719" s="10" t="n"/>
      <c r="L719" s="10" t="n"/>
      <c r="M719">
        <f>IF(tblDowntime[[#This Row],[Maintenance Downtime Hours]]="","",tblDowntime[[#This Row],[Equipment ID]])</f>
        <v/>
      </c>
      <c r="N719" s="1">
        <f>IF(tblDowntime[[#This Row],[Failure Type]]="Production",tblDowntime[[#This Row],[Downtime Hours]],"")</f>
        <v/>
      </c>
      <c r="O719">
        <f>IF(tblDowntime[[#This Row],[Production Downtime Hours]]="","",tblDowntime[[#This Row],[Equipment ID]])</f>
        <v/>
      </c>
      <c r="P719" s="10" t="n"/>
    </row>
    <row r="720">
      <c r="B720">
        <f t="array" ref="B720">_xlfn.XLOOKUP(C720,INDIRECT("tblEquipment[Equipment ID]"),INDIRECT("tblEquipment[Production Department]"),"")</f>
        <v/>
      </c>
      <c r="D720">
        <f t="array" ref="D720">_xlfn.XLOOKUP(C720,INDIRECT("tblEquipment[Equipment ID]"),INDIRECT("tblEquipment[Equipment Name]"),"")</f>
        <v/>
      </c>
      <c r="F720" s="16" t="n"/>
      <c r="G720" s="16" t="n"/>
      <c r="H720" s="1">
        <f>IF(OR(F720=0,G720=0),"",(G720-F720)*24)</f>
        <v/>
      </c>
      <c r="I720" s="10" t="n"/>
      <c r="J720" s="1">
        <f>IF(OR(tblDowntime[[#This Row],[Failure Type]]="Sawshop",tblDowntime[[#This Row],[Failure Type]]="Electrical",tblDowntime[[#This Row],[Failure Type]]="Mechanical"),tblDowntime[[#This Row],[Downtime Hours]],"")</f>
        <v/>
      </c>
      <c r="K720" s="10" t="n"/>
      <c r="L720" s="10" t="n"/>
      <c r="M720">
        <f>IF(tblDowntime[[#This Row],[Maintenance Downtime Hours]]="","",tblDowntime[[#This Row],[Equipment ID]])</f>
        <v/>
      </c>
      <c r="N720" s="1">
        <f>IF(tblDowntime[[#This Row],[Failure Type]]="Production",tblDowntime[[#This Row],[Downtime Hours]],"")</f>
        <v/>
      </c>
      <c r="O720">
        <f>IF(tblDowntime[[#This Row],[Production Downtime Hours]]="","",tblDowntime[[#This Row],[Equipment ID]])</f>
        <v/>
      </c>
      <c r="P720" s="10" t="n"/>
    </row>
    <row r="721">
      <c r="B721">
        <f t="array" ref="B721">_xlfn.XLOOKUP(C721,INDIRECT("tblEquipment[Equipment ID]"),INDIRECT("tblEquipment[Production Department]"),"")</f>
        <v/>
      </c>
      <c r="D721">
        <f t="array" ref="D721">_xlfn.XLOOKUP(C721,INDIRECT("tblEquipment[Equipment ID]"),INDIRECT("tblEquipment[Equipment Name]"),"")</f>
        <v/>
      </c>
      <c r="F721" s="16" t="n"/>
      <c r="G721" s="16" t="n"/>
      <c r="H721" s="1">
        <f>IF(OR(F721=0,G721=0),"",(G721-F721)*24)</f>
        <v/>
      </c>
      <c r="I721" s="10" t="n"/>
      <c r="J721" s="1">
        <f>IF(OR(tblDowntime[[#This Row],[Failure Type]]="Sawshop",tblDowntime[[#This Row],[Failure Type]]="Electrical",tblDowntime[[#This Row],[Failure Type]]="Mechanical"),tblDowntime[[#This Row],[Downtime Hours]],"")</f>
        <v/>
      </c>
      <c r="K721" s="10" t="n"/>
      <c r="L721" s="10" t="n"/>
      <c r="M721">
        <f>IF(tblDowntime[[#This Row],[Maintenance Downtime Hours]]="","",tblDowntime[[#This Row],[Equipment ID]])</f>
        <v/>
      </c>
      <c r="N721" s="1">
        <f>IF(tblDowntime[[#This Row],[Failure Type]]="Production",tblDowntime[[#This Row],[Downtime Hours]],"")</f>
        <v/>
      </c>
      <c r="O721">
        <f>IF(tblDowntime[[#This Row],[Production Downtime Hours]]="","",tblDowntime[[#This Row],[Equipment ID]])</f>
        <v/>
      </c>
      <c r="P721" s="10" t="n"/>
    </row>
    <row r="722">
      <c r="B722">
        <f t="array" ref="B722">_xlfn.XLOOKUP(C722,INDIRECT("tblEquipment[Equipment ID]"),INDIRECT("tblEquipment[Production Department]"),"")</f>
        <v/>
      </c>
      <c r="D722">
        <f t="array" ref="D722">_xlfn.XLOOKUP(C722,INDIRECT("tblEquipment[Equipment ID]"),INDIRECT("tblEquipment[Equipment Name]"),"")</f>
        <v/>
      </c>
      <c r="F722" s="16" t="n"/>
      <c r="G722" s="16" t="n"/>
      <c r="H722" s="1">
        <f>IF(OR(F722=0,G722=0),"",(G722-F722)*24)</f>
        <v/>
      </c>
      <c r="I722" s="10" t="n"/>
      <c r="J722" s="1">
        <f>IF(OR(tblDowntime[[#This Row],[Failure Type]]="Sawshop",tblDowntime[[#This Row],[Failure Type]]="Electrical",tblDowntime[[#This Row],[Failure Type]]="Mechanical"),tblDowntime[[#This Row],[Downtime Hours]],"")</f>
        <v/>
      </c>
      <c r="K722" s="10" t="n"/>
      <c r="L722" s="10" t="n"/>
      <c r="M722">
        <f>IF(tblDowntime[[#This Row],[Maintenance Downtime Hours]]="","",tblDowntime[[#This Row],[Equipment ID]])</f>
        <v/>
      </c>
      <c r="N722" s="1">
        <f>IF(tblDowntime[[#This Row],[Failure Type]]="Production",tblDowntime[[#This Row],[Downtime Hours]],"")</f>
        <v/>
      </c>
      <c r="O722">
        <f>IF(tblDowntime[[#This Row],[Production Downtime Hours]]="","",tblDowntime[[#This Row],[Equipment ID]])</f>
        <v/>
      </c>
      <c r="P722" s="10" t="n"/>
    </row>
    <row r="723">
      <c r="B723">
        <f t="array" ref="B723">_xlfn.XLOOKUP(C723,INDIRECT("tblEquipment[Equipment ID]"),INDIRECT("tblEquipment[Production Department]"),"")</f>
        <v/>
      </c>
      <c r="D723">
        <f t="array" ref="D723">_xlfn.XLOOKUP(C723,INDIRECT("tblEquipment[Equipment ID]"),INDIRECT("tblEquipment[Equipment Name]"),"")</f>
        <v/>
      </c>
      <c r="F723" s="16" t="n"/>
      <c r="G723" s="16" t="n"/>
      <c r="H723" s="1">
        <f>IF(OR(F723=0,G723=0),"",(G723-F723)*24)</f>
        <v/>
      </c>
      <c r="I723" s="10" t="n"/>
      <c r="J723" s="1">
        <f>IF(OR(tblDowntime[[#This Row],[Failure Type]]="Sawshop",tblDowntime[[#This Row],[Failure Type]]="Electrical",tblDowntime[[#This Row],[Failure Type]]="Mechanical"),tblDowntime[[#This Row],[Downtime Hours]],"")</f>
        <v/>
      </c>
      <c r="K723" s="10" t="n"/>
      <c r="L723" s="10" t="n"/>
      <c r="M723">
        <f>IF(tblDowntime[[#This Row],[Maintenance Downtime Hours]]="","",tblDowntime[[#This Row],[Equipment ID]])</f>
        <v/>
      </c>
      <c r="N723" s="1">
        <f>IF(tblDowntime[[#This Row],[Failure Type]]="Production",tblDowntime[[#This Row],[Downtime Hours]],"")</f>
        <v/>
      </c>
      <c r="O723">
        <f>IF(tblDowntime[[#This Row],[Production Downtime Hours]]="","",tblDowntime[[#This Row],[Equipment ID]])</f>
        <v/>
      </c>
      <c r="P723" s="10" t="n"/>
    </row>
    <row r="724">
      <c r="B724">
        <f t="array" ref="B724">_xlfn.XLOOKUP(C724,INDIRECT("tblEquipment[Equipment ID]"),INDIRECT("tblEquipment[Production Department]"),"")</f>
        <v/>
      </c>
      <c r="D724">
        <f t="array" ref="D724">_xlfn.XLOOKUP(C724,INDIRECT("tblEquipment[Equipment ID]"),INDIRECT("tblEquipment[Equipment Name]"),"")</f>
        <v/>
      </c>
      <c r="F724" s="16" t="n"/>
      <c r="G724" s="16" t="n"/>
      <c r="H724" s="1">
        <f>IF(OR(F724=0,G724=0),"",(G724-F724)*24)</f>
        <v/>
      </c>
      <c r="I724" s="10" t="n"/>
      <c r="J724" s="1">
        <f>IF(OR(tblDowntime[[#This Row],[Failure Type]]="Sawshop",tblDowntime[[#This Row],[Failure Type]]="Electrical",tblDowntime[[#This Row],[Failure Type]]="Mechanical"),tblDowntime[[#This Row],[Downtime Hours]],"")</f>
        <v/>
      </c>
      <c r="K724" s="10" t="n"/>
      <c r="L724" s="10" t="n"/>
      <c r="M724">
        <f>IF(tblDowntime[[#This Row],[Maintenance Downtime Hours]]="","",tblDowntime[[#This Row],[Equipment ID]])</f>
        <v/>
      </c>
      <c r="N724" s="1">
        <f>IF(tblDowntime[[#This Row],[Failure Type]]="Production",tblDowntime[[#This Row],[Downtime Hours]],"")</f>
        <v/>
      </c>
      <c r="O724">
        <f>IF(tblDowntime[[#This Row],[Production Downtime Hours]]="","",tblDowntime[[#This Row],[Equipment ID]])</f>
        <v/>
      </c>
      <c r="P724" s="10" t="n"/>
    </row>
    <row r="725">
      <c r="B725">
        <f t="array" ref="B725">_xlfn.XLOOKUP(C725,INDIRECT("tblEquipment[Equipment ID]"),INDIRECT("tblEquipment[Production Department]"),"")</f>
        <v/>
      </c>
      <c r="D725">
        <f t="array" ref="D725">_xlfn.XLOOKUP(C725,INDIRECT("tblEquipment[Equipment ID]"),INDIRECT("tblEquipment[Equipment Name]"),"")</f>
        <v/>
      </c>
      <c r="F725" s="16" t="n"/>
      <c r="G725" s="16" t="n"/>
      <c r="H725" s="1">
        <f>IF(OR(F725=0,G725=0),"",(G725-F725)*24)</f>
        <v/>
      </c>
      <c r="I725" s="10" t="n"/>
      <c r="J725" s="1">
        <f>IF(OR(tblDowntime[[#This Row],[Failure Type]]="Sawshop",tblDowntime[[#This Row],[Failure Type]]="Electrical",tblDowntime[[#This Row],[Failure Type]]="Mechanical"),tblDowntime[[#This Row],[Downtime Hours]],"")</f>
        <v/>
      </c>
      <c r="K725" s="10" t="n"/>
      <c r="L725" s="10" t="n"/>
      <c r="M725">
        <f>IF(tblDowntime[[#This Row],[Maintenance Downtime Hours]]="","",tblDowntime[[#This Row],[Equipment ID]])</f>
        <v/>
      </c>
      <c r="N725" s="1">
        <f>IF(tblDowntime[[#This Row],[Failure Type]]="Production",tblDowntime[[#This Row],[Downtime Hours]],"")</f>
        <v/>
      </c>
      <c r="O725">
        <f>IF(tblDowntime[[#This Row],[Production Downtime Hours]]="","",tblDowntime[[#This Row],[Equipment ID]])</f>
        <v/>
      </c>
      <c r="P725" s="10" t="n"/>
    </row>
    <row r="726">
      <c r="B726">
        <f t="array" ref="B726">_xlfn.XLOOKUP(C726,INDIRECT("tblEquipment[Equipment ID]"),INDIRECT("tblEquipment[Production Department]"),"")</f>
        <v/>
      </c>
      <c r="D726">
        <f t="array" ref="D726">_xlfn.XLOOKUP(C726,INDIRECT("tblEquipment[Equipment ID]"),INDIRECT("tblEquipment[Equipment Name]"),"")</f>
        <v/>
      </c>
      <c r="F726" s="16" t="n"/>
      <c r="G726" s="16" t="n"/>
      <c r="H726" s="1">
        <f>IF(OR(F726=0,G726=0),"",(G726-F726)*24)</f>
        <v/>
      </c>
      <c r="I726" s="10" t="n"/>
      <c r="J726" s="1">
        <f>IF(OR(tblDowntime[[#This Row],[Failure Type]]="Sawshop",tblDowntime[[#This Row],[Failure Type]]="Electrical",tblDowntime[[#This Row],[Failure Type]]="Mechanical"),tblDowntime[[#This Row],[Downtime Hours]],"")</f>
        <v/>
      </c>
      <c r="K726" s="10" t="n"/>
      <c r="L726" s="10" t="n"/>
      <c r="M726">
        <f>IF(tblDowntime[[#This Row],[Maintenance Downtime Hours]]="","",tblDowntime[[#This Row],[Equipment ID]])</f>
        <v/>
      </c>
      <c r="N726" s="1">
        <f>IF(tblDowntime[[#This Row],[Failure Type]]="Production",tblDowntime[[#This Row],[Downtime Hours]],"")</f>
        <v/>
      </c>
      <c r="O726">
        <f>IF(tblDowntime[[#This Row],[Production Downtime Hours]]="","",tblDowntime[[#This Row],[Equipment ID]])</f>
        <v/>
      </c>
      <c r="P726" s="10" t="n"/>
    </row>
    <row r="727">
      <c r="B727">
        <f t="array" ref="B727">_xlfn.XLOOKUP(C727,INDIRECT("tblEquipment[Equipment ID]"),INDIRECT("tblEquipment[Production Department]"),"")</f>
        <v/>
      </c>
      <c r="D727">
        <f t="array" ref="D727">_xlfn.XLOOKUP(C727,INDIRECT("tblEquipment[Equipment ID]"),INDIRECT("tblEquipment[Equipment Name]"),"")</f>
        <v/>
      </c>
      <c r="F727" s="16" t="n"/>
      <c r="G727" s="16" t="n"/>
      <c r="H727" s="1">
        <f>IF(OR(F727=0,G727=0),"",(G727-F727)*24)</f>
        <v/>
      </c>
      <c r="I727" s="10" t="n"/>
      <c r="J727" s="1">
        <f>IF(OR(tblDowntime[[#This Row],[Failure Type]]="Sawshop",tblDowntime[[#This Row],[Failure Type]]="Electrical",tblDowntime[[#This Row],[Failure Type]]="Mechanical"),tblDowntime[[#This Row],[Downtime Hours]],"")</f>
        <v/>
      </c>
      <c r="K727" s="10" t="n"/>
      <c r="L727" s="10" t="n"/>
      <c r="M727">
        <f>IF(tblDowntime[[#This Row],[Maintenance Downtime Hours]]="","",tblDowntime[[#This Row],[Equipment ID]])</f>
        <v/>
      </c>
      <c r="N727" s="1">
        <f>IF(tblDowntime[[#This Row],[Failure Type]]="Production",tblDowntime[[#This Row],[Downtime Hours]],"")</f>
        <v/>
      </c>
      <c r="O727">
        <f>IF(tblDowntime[[#This Row],[Production Downtime Hours]]="","",tblDowntime[[#This Row],[Equipment ID]])</f>
        <v/>
      </c>
      <c r="P727" s="10" t="n"/>
    </row>
    <row r="728">
      <c r="B728">
        <f t="array" ref="B728">_xlfn.XLOOKUP(C728,INDIRECT("tblEquipment[Equipment ID]"),INDIRECT("tblEquipment[Production Department]"),"")</f>
        <v/>
      </c>
      <c r="D728">
        <f t="array" ref="D728">_xlfn.XLOOKUP(C728,INDIRECT("tblEquipment[Equipment ID]"),INDIRECT("tblEquipment[Equipment Name]"),"")</f>
        <v/>
      </c>
      <c r="F728" s="16" t="n"/>
      <c r="G728" s="16" t="n"/>
      <c r="H728" s="1">
        <f>IF(OR(F728=0,G728=0),"",(G728-F728)*24)</f>
        <v/>
      </c>
      <c r="I728" s="10" t="n"/>
      <c r="J728" s="1">
        <f>IF(OR(tblDowntime[[#This Row],[Failure Type]]="Sawshop",tblDowntime[[#This Row],[Failure Type]]="Electrical",tblDowntime[[#This Row],[Failure Type]]="Mechanical"),tblDowntime[[#This Row],[Downtime Hours]],"")</f>
        <v/>
      </c>
      <c r="K728" s="10" t="n"/>
      <c r="L728" s="10" t="n"/>
      <c r="M728">
        <f>IF(tblDowntime[[#This Row],[Maintenance Downtime Hours]]="","",tblDowntime[[#This Row],[Equipment ID]])</f>
        <v/>
      </c>
      <c r="N728" s="1">
        <f>IF(tblDowntime[[#This Row],[Failure Type]]="Production",tblDowntime[[#This Row],[Downtime Hours]],"")</f>
        <v/>
      </c>
      <c r="O728">
        <f>IF(tblDowntime[[#This Row],[Production Downtime Hours]]="","",tblDowntime[[#This Row],[Equipment ID]])</f>
        <v/>
      </c>
      <c r="P728" s="10" t="n"/>
    </row>
    <row r="729">
      <c r="B729">
        <f t="array" ref="B729">_xlfn.XLOOKUP(C729,INDIRECT("tblEquipment[Equipment ID]"),INDIRECT("tblEquipment[Production Department]"),"")</f>
        <v/>
      </c>
      <c r="D729">
        <f t="array" ref="D729">_xlfn.XLOOKUP(C729,INDIRECT("tblEquipment[Equipment ID]"),INDIRECT("tblEquipment[Equipment Name]"),"")</f>
        <v/>
      </c>
      <c r="F729" s="16" t="n"/>
      <c r="G729" s="16" t="n"/>
      <c r="H729" s="1">
        <f>IF(OR(F729=0,G729=0),"",(G729-F729)*24)</f>
        <v/>
      </c>
      <c r="I729" s="10" t="n"/>
      <c r="J729" s="1">
        <f>IF(OR(tblDowntime[[#This Row],[Failure Type]]="Sawshop",tblDowntime[[#This Row],[Failure Type]]="Electrical",tblDowntime[[#This Row],[Failure Type]]="Mechanical"),tblDowntime[[#This Row],[Downtime Hours]],"")</f>
        <v/>
      </c>
      <c r="K729" s="10" t="n"/>
      <c r="L729" s="10" t="n"/>
      <c r="M729">
        <f>IF(tblDowntime[[#This Row],[Maintenance Downtime Hours]]="","",tblDowntime[[#This Row],[Equipment ID]])</f>
        <v/>
      </c>
      <c r="N729" s="1">
        <f>IF(tblDowntime[[#This Row],[Failure Type]]="Production",tblDowntime[[#This Row],[Downtime Hours]],"")</f>
        <v/>
      </c>
      <c r="O729">
        <f>IF(tblDowntime[[#This Row],[Production Downtime Hours]]="","",tblDowntime[[#This Row],[Equipment ID]])</f>
        <v/>
      </c>
      <c r="P729" s="10" t="n"/>
    </row>
    <row r="730">
      <c r="B730">
        <f t="array" ref="B730">_xlfn.XLOOKUP(C730,INDIRECT("tblEquipment[Equipment ID]"),INDIRECT("tblEquipment[Production Department]"),"")</f>
        <v/>
      </c>
      <c r="D730">
        <f t="array" ref="D730">_xlfn.XLOOKUP(C730,INDIRECT("tblEquipment[Equipment ID]"),INDIRECT("tblEquipment[Equipment Name]"),"")</f>
        <v/>
      </c>
      <c r="F730" s="16" t="n"/>
      <c r="G730" s="16" t="n"/>
      <c r="H730" s="1">
        <f>IF(OR(F730=0,G730=0),"",(G730-F730)*24)</f>
        <v/>
      </c>
      <c r="I730" s="10" t="n"/>
      <c r="J730" s="1">
        <f>IF(OR(tblDowntime[[#This Row],[Failure Type]]="Sawshop",tblDowntime[[#This Row],[Failure Type]]="Electrical",tblDowntime[[#This Row],[Failure Type]]="Mechanical"),tblDowntime[[#This Row],[Downtime Hours]],"")</f>
        <v/>
      </c>
      <c r="K730" s="10" t="n"/>
      <c r="L730" s="10" t="n"/>
      <c r="M730">
        <f>IF(tblDowntime[[#This Row],[Maintenance Downtime Hours]]="","",tblDowntime[[#This Row],[Equipment ID]])</f>
        <v/>
      </c>
      <c r="N730" s="1">
        <f>IF(tblDowntime[[#This Row],[Failure Type]]="Production",tblDowntime[[#This Row],[Downtime Hours]],"")</f>
        <v/>
      </c>
      <c r="O730">
        <f>IF(tblDowntime[[#This Row],[Production Downtime Hours]]="","",tblDowntime[[#This Row],[Equipment ID]])</f>
        <v/>
      </c>
      <c r="P730" s="10" t="n"/>
    </row>
    <row r="731">
      <c r="B731">
        <f t="array" ref="B731">_xlfn.XLOOKUP(C731,INDIRECT("tblEquipment[Equipment ID]"),INDIRECT("tblEquipment[Production Department]"),"")</f>
        <v/>
      </c>
      <c r="D731">
        <f t="array" ref="D731">_xlfn.XLOOKUP(C731,INDIRECT("tblEquipment[Equipment ID]"),INDIRECT("tblEquipment[Equipment Name]"),"")</f>
        <v/>
      </c>
      <c r="F731" s="16" t="n"/>
      <c r="G731" s="16" t="n"/>
      <c r="H731" s="1">
        <f>IF(OR(F731=0,G731=0),"",(G731-F731)*24)</f>
        <v/>
      </c>
      <c r="I731" s="10" t="n"/>
      <c r="J731" s="1">
        <f>IF(OR(tblDowntime[[#This Row],[Failure Type]]="Sawshop",tblDowntime[[#This Row],[Failure Type]]="Electrical",tblDowntime[[#This Row],[Failure Type]]="Mechanical"),tblDowntime[[#This Row],[Downtime Hours]],"")</f>
        <v/>
      </c>
      <c r="K731" s="10" t="n"/>
      <c r="L731" s="10" t="n"/>
      <c r="M731">
        <f>IF(tblDowntime[[#This Row],[Maintenance Downtime Hours]]="","",tblDowntime[[#This Row],[Equipment ID]])</f>
        <v/>
      </c>
      <c r="N731" s="1">
        <f>IF(tblDowntime[[#This Row],[Failure Type]]="Production",tblDowntime[[#This Row],[Downtime Hours]],"")</f>
        <v/>
      </c>
      <c r="O731">
        <f>IF(tblDowntime[[#This Row],[Production Downtime Hours]]="","",tblDowntime[[#This Row],[Equipment ID]])</f>
        <v/>
      </c>
      <c r="P731" s="10" t="n"/>
    </row>
    <row r="732">
      <c r="B732">
        <f t="array" ref="B732">_xlfn.XLOOKUP(C732,INDIRECT("tblEquipment[Equipment ID]"),INDIRECT("tblEquipment[Production Department]"),"")</f>
        <v/>
      </c>
      <c r="D732">
        <f t="array" ref="D732">_xlfn.XLOOKUP(C732,INDIRECT("tblEquipment[Equipment ID]"),INDIRECT("tblEquipment[Equipment Name]"),"")</f>
        <v/>
      </c>
      <c r="F732" s="16" t="n"/>
      <c r="G732" s="16" t="n"/>
      <c r="H732" s="1">
        <f>IF(OR(F732=0,G732=0),"",(G732-F732)*24)</f>
        <v/>
      </c>
      <c r="I732" s="10" t="n"/>
      <c r="J732" s="1">
        <f>IF(OR(tblDowntime[[#This Row],[Failure Type]]="Sawshop",tblDowntime[[#This Row],[Failure Type]]="Electrical",tblDowntime[[#This Row],[Failure Type]]="Mechanical"),tblDowntime[[#This Row],[Downtime Hours]],"")</f>
        <v/>
      </c>
      <c r="K732" s="10" t="n"/>
      <c r="L732" s="10" t="n"/>
      <c r="M732">
        <f>IF(tblDowntime[[#This Row],[Maintenance Downtime Hours]]="","",tblDowntime[[#This Row],[Equipment ID]])</f>
        <v/>
      </c>
      <c r="N732" s="1">
        <f>IF(tblDowntime[[#This Row],[Failure Type]]="Production",tblDowntime[[#This Row],[Downtime Hours]],"")</f>
        <v/>
      </c>
      <c r="O732">
        <f>IF(tblDowntime[[#This Row],[Production Downtime Hours]]="","",tblDowntime[[#This Row],[Equipment ID]])</f>
        <v/>
      </c>
      <c r="P732" s="10" t="n"/>
    </row>
    <row r="733">
      <c r="B733">
        <f t="array" ref="B733">_xlfn.XLOOKUP(C733,INDIRECT("tblEquipment[Equipment ID]"),INDIRECT("tblEquipment[Production Department]"),"")</f>
        <v/>
      </c>
      <c r="D733">
        <f t="array" ref="D733">_xlfn.XLOOKUP(C733,INDIRECT("tblEquipment[Equipment ID]"),INDIRECT("tblEquipment[Equipment Name]"),"")</f>
        <v/>
      </c>
      <c r="F733" s="16" t="n"/>
      <c r="G733" s="16" t="n"/>
      <c r="H733" s="1">
        <f>IF(OR(F733=0,G733=0),"",(G733-F733)*24)</f>
        <v/>
      </c>
      <c r="I733" s="10" t="n"/>
      <c r="J733" s="1">
        <f>IF(OR(tblDowntime[[#This Row],[Failure Type]]="Sawshop",tblDowntime[[#This Row],[Failure Type]]="Electrical",tblDowntime[[#This Row],[Failure Type]]="Mechanical"),tblDowntime[[#This Row],[Downtime Hours]],"")</f>
        <v/>
      </c>
      <c r="K733" s="10" t="n"/>
      <c r="L733" s="10" t="n"/>
      <c r="M733">
        <f>IF(tblDowntime[[#This Row],[Maintenance Downtime Hours]]="","",tblDowntime[[#This Row],[Equipment ID]])</f>
        <v/>
      </c>
      <c r="N733" s="1">
        <f>IF(tblDowntime[[#This Row],[Failure Type]]="Production",tblDowntime[[#This Row],[Downtime Hours]],"")</f>
        <v/>
      </c>
      <c r="O733">
        <f>IF(tblDowntime[[#This Row],[Production Downtime Hours]]="","",tblDowntime[[#This Row],[Equipment ID]])</f>
        <v/>
      </c>
      <c r="P733" s="10" t="n"/>
    </row>
    <row r="734">
      <c r="B734">
        <f t="array" ref="B734">_xlfn.XLOOKUP(C734,INDIRECT("tblEquipment[Equipment ID]"),INDIRECT("tblEquipment[Production Department]"),"")</f>
        <v/>
      </c>
      <c r="D734">
        <f t="array" ref="D734">_xlfn.XLOOKUP(C734,INDIRECT("tblEquipment[Equipment ID]"),INDIRECT("tblEquipment[Equipment Name]"),"")</f>
        <v/>
      </c>
      <c r="F734" s="16" t="n"/>
      <c r="G734" s="16" t="n"/>
      <c r="H734" s="1">
        <f>IF(OR(F734=0,G734=0),"",(G734-F734)*24)</f>
        <v/>
      </c>
      <c r="I734" s="10" t="n"/>
      <c r="J734" s="1">
        <f>IF(OR(tblDowntime[[#This Row],[Failure Type]]="Sawshop",tblDowntime[[#This Row],[Failure Type]]="Electrical",tblDowntime[[#This Row],[Failure Type]]="Mechanical"),tblDowntime[[#This Row],[Downtime Hours]],"")</f>
        <v/>
      </c>
      <c r="K734" s="10" t="n"/>
      <c r="L734" s="10" t="n"/>
      <c r="M734">
        <f>IF(tblDowntime[[#This Row],[Maintenance Downtime Hours]]="","",tblDowntime[[#This Row],[Equipment ID]])</f>
        <v/>
      </c>
      <c r="N734" s="1">
        <f>IF(tblDowntime[[#This Row],[Failure Type]]="Production",tblDowntime[[#This Row],[Downtime Hours]],"")</f>
        <v/>
      </c>
      <c r="O734">
        <f>IF(tblDowntime[[#This Row],[Production Downtime Hours]]="","",tblDowntime[[#This Row],[Equipment ID]])</f>
        <v/>
      </c>
      <c r="P734" s="10" t="n"/>
    </row>
    <row r="735">
      <c r="B735">
        <f t="array" ref="B735">_xlfn.XLOOKUP(C735,INDIRECT("tblEquipment[Equipment ID]"),INDIRECT("tblEquipment[Production Department]"),"")</f>
        <v/>
      </c>
      <c r="D735">
        <f t="array" ref="D735">_xlfn.XLOOKUP(C735,INDIRECT("tblEquipment[Equipment ID]"),INDIRECT("tblEquipment[Equipment Name]"),"")</f>
        <v/>
      </c>
      <c r="F735" s="16" t="n"/>
      <c r="G735" s="16" t="n"/>
      <c r="H735" s="1">
        <f>IF(OR(F735=0,G735=0),"",(G735-F735)*24)</f>
        <v/>
      </c>
      <c r="I735" s="10" t="n"/>
      <c r="J735" s="1">
        <f>IF(OR(tblDowntime[[#This Row],[Failure Type]]="Sawshop",tblDowntime[[#This Row],[Failure Type]]="Electrical",tblDowntime[[#This Row],[Failure Type]]="Mechanical"),tblDowntime[[#This Row],[Downtime Hours]],"")</f>
        <v/>
      </c>
      <c r="K735" s="10" t="n"/>
      <c r="L735" s="10" t="n"/>
      <c r="M735">
        <f>IF(tblDowntime[[#This Row],[Maintenance Downtime Hours]]="","",tblDowntime[[#This Row],[Equipment ID]])</f>
        <v/>
      </c>
      <c r="N735" s="1">
        <f>IF(tblDowntime[[#This Row],[Failure Type]]="Production",tblDowntime[[#This Row],[Downtime Hours]],"")</f>
        <v/>
      </c>
      <c r="O735">
        <f>IF(tblDowntime[[#This Row],[Production Downtime Hours]]="","",tblDowntime[[#This Row],[Equipment ID]])</f>
        <v/>
      </c>
      <c r="P735" s="10" t="n"/>
    </row>
    <row r="736">
      <c r="B736">
        <f t="array" ref="B736">_xlfn.XLOOKUP(C736,INDIRECT("tblEquipment[Equipment ID]"),INDIRECT("tblEquipment[Production Department]"),"")</f>
        <v/>
      </c>
      <c r="D736">
        <f t="array" ref="D736">_xlfn.XLOOKUP(C736,INDIRECT("tblEquipment[Equipment ID]"),INDIRECT("tblEquipment[Equipment Name]"),"")</f>
        <v/>
      </c>
      <c r="F736" s="16" t="n"/>
      <c r="G736" s="16" t="n"/>
      <c r="H736" s="1">
        <f>IF(OR(F736=0,G736=0),"",(G736-F736)*24)</f>
        <v/>
      </c>
      <c r="I736" s="10" t="n"/>
      <c r="J736" s="1">
        <f>IF(OR(tblDowntime[[#This Row],[Failure Type]]="Sawshop",tblDowntime[[#This Row],[Failure Type]]="Electrical",tblDowntime[[#This Row],[Failure Type]]="Mechanical"),tblDowntime[[#This Row],[Downtime Hours]],"")</f>
        <v/>
      </c>
      <c r="K736" s="10" t="n"/>
      <c r="L736" s="10" t="n"/>
      <c r="M736">
        <f>IF(tblDowntime[[#This Row],[Maintenance Downtime Hours]]="","",tblDowntime[[#This Row],[Equipment ID]])</f>
        <v/>
      </c>
      <c r="N736" s="1">
        <f>IF(tblDowntime[[#This Row],[Failure Type]]="Production",tblDowntime[[#This Row],[Downtime Hours]],"")</f>
        <v/>
      </c>
      <c r="O736">
        <f>IF(tblDowntime[[#This Row],[Production Downtime Hours]]="","",tblDowntime[[#This Row],[Equipment ID]])</f>
        <v/>
      </c>
      <c r="P736" s="10" t="n"/>
    </row>
    <row r="737">
      <c r="B737">
        <f t="array" ref="B737">_xlfn.XLOOKUP(C737,INDIRECT("tblEquipment[Equipment ID]"),INDIRECT("tblEquipment[Production Department]"),"")</f>
        <v/>
      </c>
      <c r="D737">
        <f t="array" ref="D737">_xlfn.XLOOKUP(C737,INDIRECT("tblEquipment[Equipment ID]"),INDIRECT("tblEquipment[Equipment Name]"),"")</f>
        <v/>
      </c>
      <c r="F737" s="16" t="n"/>
      <c r="G737" s="16" t="n"/>
      <c r="H737" s="1">
        <f>IF(OR(F737=0,G737=0),"",(G737-F737)*24)</f>
        <v/>
      </c>
      <c r="I737" s="10" t="n"/>
      <c r="J737" s="1">
        <f>IF(OR(tblDowntime[[#This Row],[Failure Type]]="Sawshop",tblDowntime[[#This Row],[Failure Type]]="Electrical",tblDowntime[[#This Row],[Failure Type]]="Mechanical"),tblDowntime[[#This Row],[Downtime Hours]],"")</f>
        <v/>
      </c>
      <c r="K737" s="10" t="n"/>
      <c r="L737" s="10" t="n"/>
      <c r="M737">
        <f>IF(tblDowntime[[#This Row],[Maintenance Downtime Hours]]="","",tblDowntime[[#This Row],[Equipment ID]])</f>
        <v/>
      </c>
      <c r="N737" s="1">
        <f>IF(tblDowntime[[#This Row],[Failure Type]]="Production",tblDowntime[[#This Row],[Downtime Hours]],"")</f>
        <v/>
      </c>
      <c r="O737">
        <f>IF(tblDowntime[[#This Row],[Production Downtime Hours]]="","",tblDowntime[[#This Row],[Equipment ID]])</f>
        <v/>
      </c>
      <c r="P737" s="10" t="n"/>
    </row>
    <row r="738">
      <c r="B738">
        <f t="array" ref="B738">_xlfn.XLOOKUP(C738,INDIRECT("tblEquipment[Equipment ID]"),INDIRECT("tblEquipment[Production Department]"),"")</f>
        <v/>
      </c>
      <c r="D738">
        <f t="array" ref="D738">_xlfn.XLOOKUP(C738,INDIRECT("tblEquipment[Equipment ID]"),INDIRECT("tblEquipment[Equipment Name]"),"")</f>
        <v/>
      </c>
      <c r="F738" s="16" t="n"/>
      <c r="G738" s="16" t="n"/>
      <c r="H738" s="1">
        <f>IF(OR(F738=0,G738=0),"",(G738-F738)*24)</f>
        <v/>
      </c>
      <c r="I738" s="10" t="n"/>
      <c r="J738" s="1">
        <f>IF(OR(tblDowntime[[#This Row],[Failure Type]]="Sawshop",tblDowntime[[#This Row],[Failure Type]]="Electrical",tblDowntime[[#This Row],[Failure Type]]="Mechanical"),tblDowntime[[#This Row],[Downtime Hours]],"")</f>
        <v/>
      </c>
      <c r="K738" s="10" t="n"/>
      <c r="L738" s="10" t="n"/>
      <c r="M738">
        <f>IF(tblDowntime[[#This Row],[Maintenance Downtime Hours]]="","",tblDowntime[[#This Row],[Equipment ID]])</f>
        <v/>
      </c>
      <c r="N738" s="1">
        <f>IF(tblDowntime[[#This Row],[Failure Type]]="Production",tblDowntime[[#This Row],[Downtime Hours]],"")</f>
        <v/>
      </c>
      <c r="O738">
        <f>IF(tblDowntime[[#This Row],[Production Downtime Hours]]="","",tblDowntime[[#This Row],[Equipment ID]])</f>
        <v/>
      </c>
      <c r="P738" s="10" t="n"/>
    </row>
    <row r="739">
      <c r="B739">
        <f t="array" ref="B739">_xlfn.XLOOKUP(C739,INDIRECT("tblEquipment[Equipment ID]"),INDIRECT("tblEquipment[Production Department]"),"")</f>
        <v/>
      </c>
      <c r="D739">
        <f t="array" ref="D739">_xlfn.XLOOKUP(C739,INDIRECT("tblEquipment[Equipment ID]"),INDIRECT("tblEquipment[Equipment Name]"),"")</f>
        <v/>
      </c>
      <c r="F739" s="16" t="n"/>
      <c r="G739" s="16" t="n"/>
      <c r="H739" s="1">
        <f>IF(OR(F739=0,G739=0),"",(G739-F739)*24)</f>
        <v/>
      </c>
      <c r="I739" s="10" t="n"/>
      <c r="J739" s="1">
        <f>IF(OR(tblDowntime[[#This Row],[Failure Type]]="Sawshop",tblDowntime[[#This Row],[Failure Type]]="Electrical",tblDowntime[[#This Row],[Failure Type]]="Mechanical"),tblDowntime[[#This Row],[Downtime Hours]],"")</f>
        <v/>
      </c>
      <c r="K739" s="10" t="n"/>
      <c r="L739" s="10" t="n"/>
      <c r="M739">
        <f>IF(tblDowntime[[#This Row],[Maintenance Downtime Hours]]="","",tblDowntime[[#This Row],[Equipment ID]])</f>
        <v/>
      </c>
      <c r="N739" s="1">
        <f>IF(tblDowntime[[#This Row],[Failure Type]]="Production",tblDowntime[[#This Row],[Downtime Hours]],"")</f>
        <v/>
      </c>
      <c r="O739">
        <f>IF(tblDowntime[[#This Row],[Production Downtime Hours]]="","",tblDowntime[[#This Row],[Equipment ID]])</f>
        <v/>
      </c>
      <c r="P739" s="10" t="n"/>
    </row>
    <row r="740">
      <c r="B740">
        <f t="array" ref="B740">_xlfn.XLOOKUP(C740,INDIRECT("tblEquipment[Equipment ID]"),INDIRECT("tblEquipment[Production Department]"),"")</f>
        <v/>
      </c>
      <c r="D740">
        <f t="array" ref="D740">_xlfn.XLOOKUP(C740,INDIRECT("tblEquipment[Equipment ID]"),INDIRECT("tblEquipment[Equipment Name]"),"")</f>
        <v/>
      </c>
      <c r="F740" s="16" t="n"/>
      <c r="G740" s="16" t="n"/>
      <c r="H740" s="1">
        <f>IF(OR(F740=0,G740=0),"",(G740-F740)*24)</f>
        <v/>
      </c>
      <c r="I740" s="10" t="n"/>
      <c r="J740" s="1">
        <f>IF(OR(tblDowntime[[#This Row],[Failure Type]]="Sawshop",tblDowntime[[#This Row],[Failure Type]]="Electrical",tblDowntime[[#This Row],[Failure Type]]="Mechanical"),tblDowntime[[#This Row],[Downtime Hours]],"")</f>
        <v/>
      </c>
      <c r="K740" s="10" t="n"/>
      <c r="L740" s="10" t="n"/>
      <c r="M740">
        <f>IF(tblDowntime[[#This Row],[Maintenance Downtime Hours]]="","",tblDowntime[[#This Row],[Equipment ID]])</f>
        <v/>
      </c>
      <c r="N740" s="1">
        <f>IF(tblDowntime[[#This Row],[Failure Type]]="Production",tblDowntime[[#This Row],[Downtime Hours]],"")</f>
        <v/>
      </c>
      <c r="O740">
        <f>IF(tblDowntime[[#This Row],[Production Downtime Hours]]="","",tblDowntime[[#This Row],[Equipment ID]])</f>
        <v/>
      </c>
      <c r="P740" s="10" t="n"/>
    </row>
    <row r="741">
      <c r="B741">
        <f t="array" ref="B741">_xlfn.XLOOKUP(C741,INDIRECT("tblEquipment[Equipment ID]"),INDIRECT("tblEquipment[Production Department]"),"")</f>
        <v/>
      </c>
      <c r="D741">
        <f t="array" ref="D741">_xlfn.XLOOKUP(C741,INDIRECT("tblEquipment[Equipment ID]"),INDIRECT("tblEquipment[Equipment Name]"),"")</f>
        <v/>
      </c>
      <c r="F741" s="16" t="n"/>
      <c r="G741" s="16" t="n"/>
      <c r="H741" s="1">
        <f>IF(OR(F741=0,G741=0),"",(G741-F741)*24)</f>
        <v/>
      </c>
      <c r="I741" s="10" t="n"/>
      <c r="J741" s="1">
        <f>IF(OR(tblDowntime[[#This Row],[Failure Type]]="Sawshop",tblDowntime[[#This Row],[Failure Type]]="Electrical",tblDowntime[[#This Row],[Failure Type]]="Mechanical"),tblDowntime[[#This Row],[Downtime Hours]],"")</f>
        <v/>
      </c>
      <c r="K741" s="10" t="n"/>
      <c r="L741" s="10" t="n"/>
      <c r="M741">
        <f>IF(tblDowntime[[#This Row],[Maintenance Downtime Hours]]="","",tblDowntime[[#This Row],[Equipment ID]])</f>
        <v/>
      </c>
      <c r="N741" s="1">
        <f>IF(tblDowntime[[#This Row],[Failure Type]]="Production",tblDowntime[[#This Row],[Downtime Hours]],"")</f>
        <v/>
      </c>
      <c r="O741">
        <f>IF(tblDowntime[[#This Row],[Production Downtime Hours]]="","",tblDowntime[[#This Row],[Equipment ID]])</f>
        <v/>
      </c>
      <c r="P741" s="10" t="n"/>
    </row>
    <row r="742">
      <c r="B742">
        <f t="array" ref="B742">_xlfn.XLOOKUP(C742,INDIRECT("tblEquipment[Equipment ID]"),INDIRECT("tblEquipment[Production Department]"),"")</f>
        <v/>
      </c>
      <c r="D742">
        <f t="array" ref="D742">_xlfn.XLOOKUP(C742,INDIRECT("tblEquipment[Equipment ID]"),INDIRECT("tblEquipment[Equipment Name]"),"")</f>
        <v/>
      </c>
      <c r="F742" s="16" t="n"/>
      <c r="G742" s="16" t="n"/>
      <c r="H742" s="1">
        <f>IF(OR(F742=0,G742=0),"",(G742-F742)*24)</f>
        <v/>
      </c>
      <c r="I742" s="10" t="n"/>
      <c r="J742" s="1">
        <f>IF(OR(tblDowntime[[#This Row],[Failure Type]]="Sawshop",tblDowntime[[#This Row],[Failure Type]]="Electrical",tblDowntime[[#This Row],[Failure Type]]="Mechanical"),tblDowntime[[#This Row],[Downtime Hours]],"")</f>
        <v/>
      </c>
      <c r="K742" s="10" t="n"/>
      <c r="L742" s="10" t="n"/>
      <c r="M742">
        <f>IF(tblDowntime[[#This Row],[Maintenance Downtime Hours]]="","",tblDowntime[[#This Row],[Equipment ID]])</f>
        <v/>
      </c>
      <c r="N742" s="1">
        <f>IF(tblDowntime[[#This Row],[Failure Type]]="Production",tblDowntime[[#This Row],[Downtime Hours]],"")</f>
        <v/>
      </c>
      <c r="O742">
        <f>IF(tblDowntime[[#This Row],[Production Downtime Hours]]="","",tblDowntime[[#This Row],[Equipment ID]])</f>
        <v/>
      </c>
      <c r="P742" s="10" t="n"/>
    </row>
    <row r="743">
      <c r="B743">
        <f t="array" ref="B743">_xlfn.XLOOKUP(C743,INDIRECT("tblEquipment[Equipment ID]"),INDIRECT("tblEquipment[Production Department]"),"")</f>
        <v/>
      </c>
      <c r="D743">
        <f t="array" ref="D743">_xlfn.XLOOKUP(C743,INDIRECT("tblEquipment[Equipment ID]"),INDIRECT("tblEquipment[Equipment Name]"),"")</f>
        <v/>
      </c>
      <c r="F743" s="16" t="n"/>
      <c r="G743" s="16" t="n"/>
      <c r="H743" s="1">
        <f>IF(OR(F743=0,G743=0),"",(G743-F743)*24)</f>
        <v/>
      </c>
      <c r="I743" s="10" t="n"/>
      <c r="J743" s="1">
        <f>IF(OR(tblDowntime[[#This Row],[Failure Type]]="Sawshop",tblDowntime[[#This Row],[Failure Type]]="Electrical",tblDowntime[[#This Row],[Failure Type]]="Mechanical"),tblDowntime[[#This Row],[Downtime Hours]],"")</f>
        <v/>
      </c>
      <c r="K743" s="10" t="n"/>
      <c r="L743" s="10" t="n"/>
      <c r="M743">
        <f>IF(tblDowntime[[#This Row],[Maintenance Downtime Hours]]="","",tblDowntime[[#This Row],[Equipment ID]])</f>
        <v/>
      </c>
      <c r="N743" s="1">
        <f>IF(tblDowntime[[#This Row],[Failure Type]]="Production",tblDowntime[[#This Row],[Downtime Hours]],"")</f>
        <v/>
      </c>
      <c r="O743">
        <f>IF(tblDowntime[[#This Row],[Production Downtime Hours]]="","",tblDowntime[[#This Row],[Equipment ID]])</f>
        <v/>
      </c>
      <c r="P743" s="10" t="n"/>
    </row>
    <row r="744">
      <c r="B744">
        <f t="array" ref="B744">_xlfn.XLOOKUP(C744,INDIRECT("tblEquipment[Equipment ID]"),INDIRECT("tblEquipment[Production Department]"),"")</f>
        <v/>
      </c>
      <c r="D744">
        <f t="array" ref="D744">_xlfn.XLOOKUP(C744,INDIRECT("tblEquipment[Equipment ID]"),INDIRECT("tblEquipment[Equipment Name]"),"")</f>
        <v/>
      </c>
      <c r="F744" s="16" t="n"/>
      <c r="G744" s="16" t="n"/>
      <c r="H744" s="1">
        <f>IF(OR(F744=0,G744=0),"",(G744-F744)*24)</f>
        <v/>
      </c>
      <c r="I744" s="10" t="n"/>
      <c r="J744" s="1">
        <f>IF(OR(tblDowntime[[#This Row],[Failure Type]]="Sawshop",tblDowntime[[#This Row],[Failure Type]]="Electrical",tblDowntime[[#This Row],[Failure Type]]="Mechanical"),tblDowntime[[#This Row],[Downtime Hours]],"")</f>
        <v/>
      </c>
      <c r="K744" s="10" t="n"/>
      <c r="L744" s="10" t="n"/>
      <c r="M744">
        <f>IF(tblDowntime[[#This Row],[Maintenance Downtime Hours]]="","",tblDowntime[[#This Row],[Equipment ID]])</f>
        <v/>
      </c>
      <c r="N744" s="1">
        <f>IF(tblDowntime[[#This Row],[Failure Type]]="Production",tblDowntime[[#This Row],[Downtime Hours]],"")</f>
        <v/>
      </c>
      <c r="O744">
        <f>IF(tblDowntime[[#This Row],[Production Downtime Hours]]="","",tblDowntime[[#This Row],[Equipment ID]])</f>
        <v/>
      </c>
      <c r="P744" s="10" t="n"/>
    </row>
    <row r="745">
      <c r="B745">
        <f t="array" ref="B745">_xlfn.XLOOKUP(C745,INDIRECT("tblEquipment[Equipment ID]"),INDIRECT("tblEquipment[Production Department]"),"")</f>
        <v/>
      </c>
      <c r="D745">
        <f t="array" ref="D745">_xlfn.XLOOKUP(C745,INDIRECT("tblEquipment[Equipment ID]"),INDIRECT("tblEquipment[Equipment Name]"),"")</f>
        <v/>
      </c>
      <c r="F745" s="16" t="n"/>
      <c r="G745" s="16" t="n"/>
      <c r="H745" s="1">
        <f>IF(OR(F745=0,G745=0),"",(G745-F745)*24)</f>
        <v/>
      </c>
      <c r="I745" s="10" t="n"/>
      <c r="J745" s="1">
        <f>IF(OR(tblDowntime[[#This Row],[Failure Type]]="Sawshop",tblDowntime[[#This Row],[Failure Type]]="Electrical",tblDowntime[[#This Row],[Failure Type]]="Mechanical"),tblDowntime[[#This Row],[Downtime Hours]],"")</f>
        <v/>
      </c>
      <c r="K745" s="10" t="n"/>
      <c r="L745" s="10" t="n"/>
      <c r="M745">
        <f>IF(tblDowntime[[#This Row],[Maintenance Downtime Hours]]="","",tblDowntime[[#This Row],[Equipment ID]])</f>
        <v/>
      </c>
      <c r="N745" s="1">
        <f>IF(tblDowntime[[#This Row],[Failure Type]]="Production",tblDowntime[[#This Row],[Downtime Hours]],"")</f>
        <v/>
      </c>
      <c r="O745">
        <f>IF(tblDowntime[[#This Row],[Production Downtime Hours]]="","",tblDowntime[[#This Row],[Equipment ID]])</f>
        <v/>
      </c>
      <c r="P745" s="10" t="n"/>
    </row>
    <row r="746">
      <c r="B746">
        <f t="array" ref="B746">_xlfn.XLOOKUP(C746,INDIRECT("tblEquipment[Equipment ID]"),INDIRECT("tblEquipment[Production Department]"),"")</f>
        <v/>
      </c>
      <c r="D746">
        <f t="array" ref="D746">_xlfn.XLOOKUP(C746,INDIRECT("tblEquipment[Equipment ID]"),INDIRECT("tblEquipment[Equipment Name]"),"")</f>
        <v/>
      </c>
      <c r="F746" s="16" t="n"/>
      <c r="G746" s="16" t="n"/>
      <c r="H746" s="1">
        <f>IF(OR(F746=0,G746=0),"",(G746-F746)*24)</f>
        <v/>
      </c>
      <c r="I746" s="10" t="n"/>
      <c r="J746" s="1">
        <f>IF(OR(tblDowntime[[#This Row],[Failure Type]]="Sawshop",tblDowntime[[#This Row],[Failure Type]]="Electrical",tblDowntime[[#This Row],[Failure Type]]="Mechanical"),tblDowntime[[#This Row],[Downtime Hours]],"")</f>
        <v/>
      </c>
      <c r="K746" s="10" t="n"/>
      <c r="L746" s="10" t="n"/>
      <c r="M746">
        <f>IF(tblDowntime[[#This Row],[Maintenance Downtime Hours]]="","",tblDowntime[[#This Row],[Equipment ID]])</f>
        <v/>
      </c>
      <c r="N746" s="1">
        <f>IF(tblDowntime[[#This Row],[Failure Type]]="Production",tblDowntime[[#This Row],[Downtime Hours]],"")</f>
        <v/>
      </c>
      <c r="O746">
        <f>IF(tblDowntime[[#This Row],[Production Downtime Hours]]="","",tblDowntime[[#This Row],[Equipment ID]])</f>
        <v/>
      </c>
      <c r="P746" s="10" t="n"/>
    </row>
    <row r="747">
      <c r="B747">
        <f t="array" ref="B747">_xlfn.XLOOKUP(C747,INDIRECT("tblEquipment[Equipment ID]"),INDIRECT("tblEquipment[Production Department]"),"")</f>
        <v/>
      </c>
      <c r="D747">
        <f t="array" ref="D747">_xlfn.XLOOKUP(C747,INDIRECT("tblEquipment[Equipment ID]"),INDIRECT("tblEquipment[Equipment Name]"),"")</f>
        <v/>
      </c>
      <c r="F747" s="16" t="n"/>
      <c r="G747" s="16" t="n"/>
      <c r="H747" s="1">
        <f>IF(OR(F747=0,G747=0),"",(G747-F747)*24)</f>
        <v/>
      </c>
      <c r="I747" s="10" t="n"/>
      <c r="J747" s="1">
        <f>IF(OR(tblDowntime[[#This Row],[Failure Type]]="Sawshop",tblDowntime[[#This Row],[Failure Type]]="Electrical",tblDowntime[[#This Row],[Failure Type]]="Mechanical"),tblDowntime[[#This Row],[Downtime Hours]],"")</f>
        <v/>
      </c>
      <c r="K747" s="10" t="n"/>
      <c r="L747" s="10" t="n"/>
      <c r="M747">
        <f>IF(tblDowntime[[#This Row],[Maintenance Downtime Hours]]="","",tblDowntime[[#This Row],[Equipment ID]])</f>
        <v/>
      </c>
      <c r="N747" s="1">
        <f>IF(tblDowntime[[#This Row],[Failure Type]]="Production",tblDowntime[[#This Row],[Downtime Hours]],"")</f>
        <v/>
      </c>
      <c r="O747">
        <f>IF(tblDowntime[[#This Row],[Production Downtime Hours]]="","",tblDowntime[[#This Row],[Equipment ID]])</f>
        <v/>
      </c>
      <c r="P747" s="10" t="n"/>
    </row>
    <row r="748">
      <c r="B748">
        <f t="array" ref="B748">_xlfn.XLOOKUP(C748,INDIRECT("tblEquipment[Equipment ID]"),INDIRECT("tblEquipment[Production Department]"),"")</f>
        <v/>
      </c>
      <c r="D748">
        <f t="array" ref="D748">_xlfn.XLOOKUP(C748,INDIRECT("tblEquipment[Equipment ID]"),INDIRECT("tblEquipment[Equipment Name]"),"")</f>
        <v/>
      </c>
      <c r="F748" s="16" t="n"/>
      <c r="G748" s="16" t="n"/>
      <c r="H748" s="1">
        <f>IF(OR(F748=0,G748=0),"",(G748-F748)*24)</f>
        <v/>
      </c>
      <c r="I748" s="10" t="n"/>
      <c r="J748" s="1">
        <f>IF(OR(tblDowntime[[#This Row],[Failure Type]]="Sawshop",tblDowntime[[#This Row],[Failure Type]]="Electrical",tblDowntime[[#This Row],[Failure Type]]="Mechanical"),tblDowntime[[#This Row],[Downtime Hours]],"")</f>
        <v/>
      </c>
      <c r="K748" s="10" t="n"/>
      <c r="L748" s="10" t="n"/>
      <c r="M748">
        <f>IF(tblDowntime[[#This Row],[Maintenance Downtime Hours]]="","",tblDowntime[[#This Row],[Equipment ID]])</f>
        <v/>
      </c>
      <c r="N748" s="1">
        <f>IF(tblDowntime[[#This Row],[Failure Type]]="Production",tblDowntime[[#This Row],[Downtime Hours]],"")</f>
        <v/>
      </c>
      <c r="O748">
        <f>IF(tblDowntime[[#This Row],[Production Downtime Hours]]="","",tblDowntime[[#This Row],[Equipment ID]])</f>
        <v/>
      </c>
      <c r="P748" s="10" t="n"/>
    </row>
    <row r="749">
      <c r="B749">
        <f t="array" ref="B749">_xlfn.XLOOKUP(C749,INDIRECT("tblEquipment[Equipment ID]"),INDIRECT("tblEquipment[Production Department]"),"")</f>
        <v/>
      </c>
      <c r="D749">
        <f t="array" ref="D749">_xlfn.XLOOKUP(C749,INDIRECT("tblEquipment[Equipment ID]"),INDIRECT("tblEquipment[Equipment Name]"),"")</f>
        <v/>
      </c>
      <c r="F749" s="16" t="n"/>
      <c r="G749" s="16" t="n"/>
      <c r="H749" s="1">
        <f>IF(OR(F749=0,G749=0),"",(G749-F749)*24)</f>
        <v/>
      </c>
      <c r="I749" s="10" t="n"/>
      <c r="J749" s="1">
        <f>IF(OR(tblDowntime[[#This Row],[Failure Type]]="Sawshop",tblDowntime[[#This Row],[Failure Type]]="Electrical",tblDowntime[[#This Row],[Failure Type]]="Mechanical"),tblDowntime[[#This Row],[Downtime Hours]],"")</f>
        <v/>
      </c>
      <c r="K749" s="10" t="n"/>
      <c r="L749" s="10" t="n"/>
      <c r="M749">
        <f>IF(tblDowntime[[#This Row],[Maintenance Downtime Hours]]="","",tblDowntime[[#This Row],[Equipment ID]])</f>
        <v/>
      </c>
      <c r="N749" s="1">
        <f>IF(tblDowntime[[#This Row],[Failure Type]]="Production",tblDowntime[[#This Row],[Downtime Hours]],"")</f>
        <v/>
      </c>
      <c r="O749">
        <f>IF(tblDowntime[[#This Row],[Production Downtime Hours]]="","",tblDowntime[[#This Row],[Equipment ID]])</f>
        <v/>
      </c>
      <c r="P749" s="10" t="n"/>
    </row>
    <row r="750">
      <c r="B750">
        <f t="array" ref="B750">_xlfn.XLOOKUP(C750,INDIRECT("tblEquipment[Equipment ID]"),INDIRECT("tblEquipment[Production Department]"),"")</f>
        <v/>
      </c>
      <c r="D750">
        <f t="array" ref="D750">_xlfn.XLOOKUP(C750,INDIRECT("tblEquipment[Equipment ID]"),INDIRECT("tblEquipment[Equipment Name]"),"")</f>
        <v/>
      </c>
      <c r="F750" s="16" t="n"/>
      <c r="G750" s="16" t="n"/>
      <c r="H750" s="1">
        <f>IF(OR(F750=0,G750=0),"",(G750-F750)*24)</f>
        <v/>
      </c>
      <c r="I750" s="10" t="n"/>
      <c r="J750" s="1">
        <f>IF(OR(tblDowntime[[#This Row],[Failure Type]]="Sawshop",tblDowntime[[#This Row],[Failure Type]]="Electrical",tblDowntime[[#This Row],[Failure Type]]="Mechanical"),tblDowntime[[#This Row],[Downtime Hours]],"")</f>
        <v/>
      </c>
      <c r="K750" s="10" t="n"/>
      <c r="L750" s="10" t="n"/>
      <c r="M750">
        <f>IF(tblDowntime[[#This Row],[Maintenance Downtime Hours]]="","",tblDowntime[[#This Row],[Equipment ID]])</f>
        <v/>
      </c>
      <c r="N750" s="1">
        <f>IF(tblDowntime[[#This Row],[Failure Type]]="Production",tblDowntime[[#This Row],[Downtime Hours]],"")</f>
        <v/>
      </c>
      <c r="O750">
        <f>IF(tblDowntime[[#This Row],[Production Downtime Hours]]="","",tblDowntime[[#This Row],[Equipment ID]])</f>
        <v/>
      </c>
      <c r="P750" s="10" t="n"/>
    </row>
    <row r="751">
      <c r="B751">
        <f t="array" ref="B751">_xlfn.XLOOKUP(C751,INDIRECT("tblEquipment[Equipment ID]"),INDIRECT("tblEquipment[Production Department]"),"")</f>
        <v/>
      </c>
      <c r="D751">
        <f t="array" ref="D751">_xlfn.XLOOKUP(C751,INDIRECT("tblEquipment[Equipment ID]"),INDIRECT("tblEquipment[Equipment Name]"),"")</f>
        <v/>
      </c>
      <c r="F751" s="16" t="n"/>
      <c r="G751" s="16" t="n"/>
      <c r="H751" s="1">
        <f>IF(OR(F751=0,G751=0),"",(G751-F751)*24)</f>
        <v/>
      </c>
      <c r="I751" s="10" t="n"/>
      <c r="J751" s="1">
        <f>IF(OR(tblDowntime[[#This Row],[Failure Type]]="Sawshop",tblDowntime[[#This Row],[Failure Type]]="Electrical",tblDowntime[[#This Row],[Failure Type]]="Mechanical"),tblDowntime[[#This Row],[Downtime Hours]],"")</f>
        <v/>
      </c>
      <c r="K751" s="10" t="n"/>
      <c r="L751" s="10" t="n"/>
      <c r="M751">
        <f>IF(tblDowntime[[#This Row],[Maintenance Downtime Hours]]="","",tblDowntime[[#This Row],[Equipment ID]])</f>
        <v/>
      </c>
      <c r="N751" s="1">
        <f>IF(tblDowntime[[#This Row],[Failure Type]]="Production",tblDowntime[[#This Row],[Downtime Hours]],"")</f>
        <v/>
      </c>
      <c r="O751">
        <f>IF(tblDowntime[[#This Row],[Production Downtime Hours]]="","",tblDowntime[[#This Row],[Equipment ID]])</f>
        <v/>
      </c>
      <c r="P751" s="10" t="n"/>
    </row>
    <row r="752">
      <c r="B752">
        <f t="array" ref="B752">_xlfn.XLOOKUP(C752,INDIRECT("tblEquipment[Equipment ID]"),INDIRECT("tblEquipment[Production Department]"),"")</f>
        <v/>
      </c>
      <c r="D752">
        <f t="array" ref="D752">_xlfn.XLOOKUP(C752,INDIRECT("tblEquipment[Equipment ID]"),INDIRECT("tblEquipment[Equipment Name]"),"")</f>
        <v/>
      </c>
      <c r="F752" s="16" t="n"/>
      <c r="G752" s="16" t="n"/>
      <c r="H752" s="1">
        <f>IF(OR(F752=0,G752=0),"",(G752-F752)*24)</f>
        <v/>
      </c>
      <c r="I752" s="10" t="n"/>
      <c r="J752" s="1">
        <f>IF(OR(tblDowntime[[#This Row],[Failure Type]]="Sawshop",tblDowntime[[#This Row],[Failure Type]]="Electrical",tblDowntime[[#This Row],[Failure Type]]="Mechanical"),tblDowntime[[#This Row],[Downtime Hours]],"")</f>
        <v/>
      </c>
      <c r="K752" s="10" t="n"/>
      <c r="L752" s="10" t="n"/>
      <c r="M752">
        <f>IF(tblDowntime[[#This Row],[Maintenance Downtime Hours]]="","",tblDowntime[[#This Row],[Equipment ID]])</f>
        <v/>
      </c>
      <c r="N752" s="1">
        <f>IF(tblDowntime[[#This Row],[Failure Type]]="Production",tblDowntime[[#This Row],[Downtime Hours]],"")</f>
        <v/>
      </c>
      <c r="O752">
        <f>IF(tblDowntime[[#This Row],[Production Downtime Hours]]="","",tblDowntime[[#This Row],[Equipment ID]])</f>
        <v/>
      </c>
      <c r="P752" s="10" t="n"/>
    </row>
    <row r="753">
      <c r="B753">
        <f t="array" ref="B753">_xlfn.XLOOKUP(C753,INDIRECT("tblEquipment[Equipment ID]"),INDIRECT("tblEquipment[Production Department]"),"")</f>
        <v/>
      </c>
      <c r="D753">
        <f t="array" ref="D753">_xlfn.XLOOKUP(C753,INDIRECT("tblEquipment[Equipment ID]"),INDIRECT("tblEquipment[Equipment Name]"),"")</f>
        <v/>
      </c>
      <c r="F753" s="16" t="n"/>
      <c r="G753" s="16" t="n"/>
      <c r="H753" s="1">
        <f>IF(OR(F753=0,G753=0),"",(G753-F753)*24)</f>
        <v/>
      </c>
      <c r="I753" s="10" t="n"/>
      <c r="J753" s="1">
        <f>IF(OR(tblDowntime[[#This Row],[Failure Type]]="Sawshop",tblDowntime[[#This Row],[Failure Type]]="Electrical",tblDowntime[[#This Row],[Failure Type]]="Mechanical"),tblDowntime[[#This Row],[Downtime Hours]],"")</f>
        <v/>
      </c>
      <c r="K753" s="10" t="n"/>
      <c r="L753" s="10" t="n"/>
      <c r="M753">
        <f>IF(tblDowntime[[#This Row],[Maintenance Downtime Hours]]="","",tblDowntime[[#This Row],[Equipment ID]])</f>
        <v/>
      </c>
      <c r="N753" s="1">
        <f>IF(tblDowntime[[#This Row],[Failure Type]]="Production",tblDowntime[[#This Row],[Downtime Hours]],"")</f>
        <v/>
      </c>
      <c r="O753">
        <f>IF(tblDowntime[[#This Row],[Production Downtime Hours]]="","",tblDowntime[[#This Row],[Equipment ID]])</f>
        <v/>
      </c>
      <c r="P753" s="10" t="n"/>
    </row>
    <row r="754">
      <c r="B754">
        <f t="array" ref="B754">_xlfn.XLOOKUP(C754,INDIRECT("tblEquipment[Equipment ID]"),INDIRECT("tblEquipment[Production Department]"),"")</f>
        <v/>
      </c>
      <c r="D754">
        <f t="array" ref="D754">_xlfn.XLOOKUP(C754,INDIRECT("tblEquipment[Equipment ID]"),INDIRECT("tblEquipment[Equipment Name]"),"")</f>
        <v/>
      </c>
      <c r="F754" s="16" t="n"/>
      <c r="G754" s="16" t="n"/>
      <c r="H754" s="1">
        <f>IF(OR(F754=0,G754=0),"",(G754-F754)*24)</f>
        <v/>
      </c>
      <c r="I754" s="10" t="n"/>
      <c r="J754" s="1">
        <f>IF(OR(tblDowntime[[#This Row],[Failure Type]]="Sawshop",tblDowntime[[#This Row],[Failure Type]]="Electrical",tblDowntime[[#This Row],[Failure Type]]="Mechanical"),tblDowntime[[#This Row],[Downtime Hours]],"")</f>
        <v/>
      </c>
      <c r="K754" s="10" t="n"/>
      <c r="L754" s="10" t="n"/>
      <c r="M754">
        <f>IF(tblDowntime[[#This Row],[Maintenance Downtime Hours]]="","",tblDowntime[[#This Row],[Equipment ID]])</f>
        <v/>
      </c>
      <c r="N754" s="1">
        <f>IF(tblDowntime[[#This Row],[Failure Type]]="Production",tblDowntime[[#This Row],[Downtime Hours]],"")</f>
        <v/>
      </c>
      <c r="O754">
        <f>IF(tblDowntime[[#This Row],[Production Downtime Hours]]="","",tblDowntime[[#This Row],[Equipment ID]])</f>
        <v/>
      </c>
      <c r="P754" s="10" t="n"/>
    </row>
    <row r="755">
      <c r="B755">
        <f t="array" ref="B755">_xlfn.XLOOKUP(C755,INDIRECT("tblEquipment[Equipment ID]"),INDIRECT("tblEquipment[Production Department]"),"")</f>
        <v/>
      </c>
      <c r="D755">
        <f t="array" ref="D755">_xlfn.XLOOKUP(C755,INDIRECT("tblEquipment[Equipment ID]"),INDIRECT("tblEquipment[Equipment Name]"),"")</f>
        <v/>
      </c>
      <c r="F755" s="16" t="n"/>
      <c r="G755" s="16" t="n"/>
      <c r="H755" s="1">
        <f>IF(OR(F755=0,G755=0),"",(G755-F755)*24)</f>
        <v/>
      </c>
      <c r="I755" s="10" t="n"/>
      <c r="J755" s="1">
        <f>IF(OR(tblDowntime[[#This Row],[Failure Type]]="Sawshop",tblDowntime[[#This Row],[Failure Type]]="Electrical",tblDowntime[[#This Row],[Failure Type]]="Mechanical"),tblDowntime[[#This Row],[Downtime Hours]],"")</f>
        <v/>
      </c>
      <c r="K755" s="10" t="n"/>
      <c r="L755" s="10" t="n"/>
      <c r="M755">
        <f>IF(tblDowntime[[#This Row],[Maintenance Downtime Hours]]="","",tblDowntime[[#This Row],[Equipment ID]])</f>
        <v/>
      </c>
      <c r="N755" s="1">
        <f>IF(tblDowntime[[#This Row],[Failure Type]]="Production",tblDowntime[[#This Row],[Downtime Hours]],"")</f>
        <v/>
      </c>
      <c r="O755">
        <f>IF(tblDowntime[[#This Row],[Production Downtime Hours]]="","",tblDowntime[[#This Row],[Equipment ID]])</f>
        <v/>
      </c>
      <c r="P755" s="10" t="n"/>
    </row>
    <row r="756">
      <c r="B756">
        <f t="array" ref="B756">_xlfn.XLOOKUP(C756,INDIRECT("tblEquipment[Equipment ID]"),INDIRECT("tblEquipment[Production Department]"),"")</f>
        <v/>
      </c>
      <c r="D756">
        <f t="array" ref="D756">_xlfn.XLOOKUP(C756,INDIRECT("tblEquipment[Equipment ID]"),INDIRECT("tblEquipment[Equipment Name]"),"")</f>
        <v/>
      </c>
      <c r="F756" s="16" t="n"/>
      <c r="G756" s="16" t="n"/>
      <c r="H756" s="1">
        <f>IF(OR(F756=0,G756=0),"",(G756-F756)*24)</f>
        <v/>
      </c>
      <c r="I756" s="10" t="n"/>
      <c r="J756" s="1">
        <f>IF(OR(tblDowntime[[#This Row],[Failure Type]]="Sawshop",tblDowntime[[#This Row],[Failure Type]]="Electrical",tblDowntime[[#This Row],[Failure Type]]="Mechanical"),tblDowntime[[#This Row],[Downtime Hours]],"")</f>
        <v/>
      </c>
      <c r="K756" s="10" t="n"/>
      <c r="L756" s="10" t="n"/>
      <c r="M756">
        <f>IF(tblDowntime[[#This Row],[Maintenance Downtime Hours]]="","",tblDowntime[[#This Row],[Equipment ID]])</f>
        <v/>
      </c>
      <c r="N756" s="1">
        <f>IF(tblDowntime[[#This Row],[Failure Type]]="Production",tblDowntime[[#This Row],[Downtime Hours]],"")</f>
        <v/>
      </c>
      <c r="O756">
        <f>IF(tblDowntime[[#This Row],[Production Downtime Hours]]="","",tblDowntime[[#This Row],[Equipment ID]])</f>
        <v/>
      </c>
      <c r="P756" s="10" t="n"/>
    </row>
    <row r="757">
      <c r="B757">
        <f t="array" ref="B757">_xlfn.XLOOKUP(C757,INDIRECT("tblEquipment[Equipment ID]"),INDIRECT("tblEquipment[Production Department]"),"")</f>
        <v/>
      </c>
      <c r="D757">
        <f t="array" ref="D757">_xlfn.XLOOKUP(C757,INDIRECT("tblEquipment[Equipment ID]"),INDIRECT("tblEquipment[Equipment Name]"),"")</f>
        <v/>
      </c>
      <c r="F757" s="16" t="n"/>
      <c r="G757" s="16" t="n"/>
      <c r="H757" s="1">
        <f>IF(OR(F757=0,G757=0),"",(G757-F757)*24)</f>
        <v/>
      </c>
      <c r="I757" s="10" t="n"/>
      <c r="J757" s="1">
        <f>IF(OR(tblDowntime[[#This Row],[Failure Type]]="Sawshop",tblDowntime[[#This Row],[Failure Type]]="Electrical",tblDowntime[[#This Row],[Failure Type]]="Mechanical"),tblDowntime[[#This Row],[Downtime Hours]],"")</f>
        <v/>
      </c>
      <c r="K757" s="10" t="n"/>
      <c r="L757" s="10" t="n"/>
      <c r="M757">
        <f>IF(tblDowntime[[#This Row],[Maintenance Downtime Hours]]="","",tblDowntime[[#This Row],[Equipment ID]])</f>
        <v/>
      </c>
      <c r="N757" s="1">
        <f>IF(tblDowntime[[#This Row],[Failure Type]]="Production",tblDowntime[[#This Row],[Downtime Hours]],"")</f>
        <v/>
      </c>
      <c r="O757">
        <f>IF(tblDowntime[[#This Row],[Production Downtime Hours]]="","",tblDowntime[[#This Row],[Equipment ID]])</f>
        <v/>
      </c>
      <c r="P757" s="10" t="n"/>
    </row>
    <row r="758">
      <c r="B758">
        <f t="array" ref="B758">_xlfn.XLOOKUP(C758,INDIRECT("tblEquipment[Equipment ID]"),INDIRECT("tblEquipment[Production Department]"),"")</f>
        <v/>
      </c>
      <c r="D758">
        <f t="array" ref="D758">_xlfn.XLOOKUP(C758,INDIRECT("tblEquipment[Equipment ID]"),INDIRECT("tblEquipment[Equipment Name]"),"")</f>
        <v/>
      </c>
      <c r="F758" s="16" t="n"/>
      <c r="G758" s="16" t="n"/>
      <c r="H758" s="1">
        <f>IF(OR(F758=0,G758=0),"",(G758-F758)*24)</f>
        <v/>
      </c>
      <c r="I758" s="10" t="n"/>
      <c r="J758" s="1">
        <f>IF(OR(tblDowntime[[#This Row],[Failure Type]]="Sawshop",tblDowntime[[#This Row],[Failure Type]]="Electrical",tblDowntime[[#This Row],[Failure Type]]="Mechanical"),tblDowntime[[#This Row],[Downtime Hours]],"")</f>
        <v/>
      </c>
      <c r="K758" s="10" t="n"/>
      <c r="L758" s="10" t="n"/>
      <c r="M758">
        <f>IF(tblDowntime[[#This Row],[Maintenance Downtime Hours]]="","",tblDowntime[[#This Row],[Equipment ID]])</f>
        <v/>
      </c>
      <c r="N758" s="1">
        <f>IF(tblDowntime[[#This Row],[Failure Type]]="Production",tblDowntime[[#This Row],[Downtime Hours]],"")</f>
        <v/>
      </c>
      <c r="O758">
        <f>IF(tblDowntime[[#This Row],[Production Downtime Hours]]="","",tblDowntime[[#This Row],[Equipment ID]])</f>
        <v/>
      </c>
      <c r="P758" s="10" t="n"/>
    </row>
    <row r="759">
      <c r="B759">
        <f t="array" ref="B759">_xlfn.XLOOKUP(C759,INDIRECT("tblEquipment[Equipment ID]"),INDIRECT("tblEquipment[Production Department]"),"")</f>
        <v/>
      </c>
      <c r="D759">
        <f t="array" ref="D759">_xlfn.XLOOKUP(C759,INDIRECT("tblEquipment[Equipment ID]"),INDIRECT("tblEquipment[Equipment Name]"),"")</f>
        <v/>
      </c>
      <c r="F759" s="16" t="n"/>
      <c r="G759" s="16" t="n"/>
      <c r="H759" s="1">
        <f>IF(OR(F759=0,G759=0),"",(G759-F759)*24)</f>
        <v/>
      </c>
      <c r="I759" s="10" t="n"/>
      <c r="J759" s="1">
        <f>IF(OR(tblDowntime[[#This Row],[Failure Type]]="Sawshop",tblDowntime[[#This Row],[Failure Type]]="Electrical",tblDowntime[[#This Row],[Failure Type]]="Mechanical"),tblDowntime[[#This Row],[Downtime Hours]],"")</f>
        <v/>
      </c>
      <c r="K759" s="10" t="n"/>
      <c r="L759" s="10" t="n"/>
      <c r="M759">
        <f>IF(tblDowntime[[#This Row],[Maintenance Downtime Hours]]="","",tblDowntime[[#This Row],[Equipment ID]])</f>
        <v/>
      </c>
      <c r="N759" s="1">
        <f>IF(tblDowntime[[#This Row],[Failure Type]]="Production",tblDowntime[[#This Row],[Downtime Hours]],"")</f>
        <v/>
      </c>
      <c r="O759">
        <f>IF(tblDowntime[[#This Row],[Production Downtime Hours]]="","",tblDowntime[[#This Row],[Equipment ID]])</f>
        <v/>
      </c>
      <c r="P759" s="10" t="n"/>
    </row>
    <row r="760">
      <c r="B760">
        <f t="array" ref="B760">_xlfn.XLOOKUP(C760,INDIRECT("tblEquipment[Equipment ID]"),INDIRECT("tblEquipment[Production Department]"),"")</f>
        <v/>
      </c>
      <c r="D760">
        <f t="array" ref="D760">_xlfn.XLOOKUP(C760,INDIRECT("tblEquipment[Equipment ID]"),INDIRECT("tblEquipment[Equipment Name]"),"")</f>
        <v/>
      </c>
      <c r="F760" s="16" t="n"/>
      <c r="G760" s="16" t="n"/>
      <c r="H760" s="1">
        <f>IF(OR(F760=0,G760=0),"",(G760-F760)*24)</f>
        <v/>
      </c>
      <c r="I760" s="10" t="n"/>
      <c r="J760" s="1">
        <f>IF(OR(tblDowntime[[#This Row],[Failure Type]]="Sawshop",tblDowntime[[#This Row],[Failure Type]]="Electrical",tblDowntime[[#This Row],[Failure Type]]="Mechanical"),tblDowntime[[#This Row],[Downtime Hours]],"")</f>
        <v/>
      </c>
      <c r="K760" s="10" t="n"/>
      <c r="L760" s="10" t="n"/>
      <c r="M760">
        <f>IF(tblDowntime[[#This Row],[Maintenance Downtime Hours]]="","",tblDowntime[[#This Row],[Equipment ID]])</f>
        <v/>
      </c>
      <c r="N760" s="1">
        <f>IF(tblDowntime[[#This Row],[Failure Type]]="Production",tblDowntime[[#This Row],[Downtime Hours]],"")</f>
        <v/>
      </c>
      <c r="O760">
        <f>IF(tblDowntime[[#This Row],[Production Downtime Hours]]="","",tblDowntime[[#This Row],[Equipment ID]])</f>
        <v/>
      </c>
      <c r="P760" s="10" t="n"/>
    </row>
    <row r="761">
      <c r="B761">
        <f t="array" ref="B761">_xlfn.XLOOKUP(C761,INDIRECT("tblEquipment[Equipment ID]"),INDIRECT("tblEquipment[Production Department]"),"")</f>
        <v/>
      </c>
      <c r="D761">
        <f t="array" ref="D761">_xlfn.XLOOKUP(C761,INDIRECT("tblEquipment[Equipment ID]"),INDIRECT("tblEquipment[Equipment Name]"),"")</f>
        <v/>
      </c>
      <c r="F761" s="16" t="n"/>
      <c r="G761" s="16" t="n"/>
      <c r="H761" s="1">
        <f>IF(OR(F761=0,G761=0),"",(G761-F761)*24)</f>
        <v/>
      </c>
      <c r="I761" s="10" t="n"/>
      <c r="J761" s="1">
        <f>IF(OR(tblDowntime[[#This Row],[Failure Type]]="Sawshop",tblDowntime[[#This Row],[Failure Type]]="Electrical",tblDowntime[[#This Row],[Failure Type]]="Mechanical"),tblDowntime[[#This Row],[Downtime Hours]],"")</f>
        <v/>
      </c>
      <c r="K761" s="10" t="n"/>
      <c r="L761" s="10" t="n"/>
      <c r="M761">
        <f>IF(tblDowntime[[#This Row],[Maintenance Downtime Hours]]="","",tblDowntime[[#This Row],[Equipment ID]])</f>
        <v/>
      </c>
      <c r="N761" s="1">
        <f>IF(tblDowntime[[#This Row],[Failure Type]]="Production",tblDowntime[[#This Row],[Downtime Hours]],"")</f>
        <v/>
      </c>
      <c r="O761">
        <f>IF(tblDowntime[[#This Row],[Production Downtime Hours]]="","",tblDowntime[[#This Row],[Equipment ID]])</f>
        <v/>
      </c>
      <c r="P761" s="10" t="n"/>
    </row>
    <row r="762">
      <c r="B762">
        <f t="array" ref="B762">_xlfn.XLOOKUP(C762,INDIRECT("tblEquipment[Equipment ID]"),INDIRECT("tblEquipment[Production Department]"),"")</f>
        <v/>
      </c>
      <c r="D762">
        <f t="array" ref="D762">_xlfn.XLOOKUP(C762,INDIRECT("tblEquipment[Equipment ID]"),INDIRECT("tblEquipment[Equipment Name]"),"")</f>
        <v/>
      </c>
      <c r="F762" s="16" t="n"/>
      <c r="G762" s="16" t="n"/>
      <c r="H762" s="1">
        <f>IF(OR(F762=0,G762=0),"",(G762-F762)*24)</f>
        <v/>
      </c>
      <c r="I762" s="10" t="n"/>
      <c r="J762" s="1">
        <f>IF(OR(tblDowntime[[#This Row],[Failure Type]]="Sawshop",tblDowntime[[#This Row],[Failure Type]]="Electrical",tblDowntime[[#This Row],[Failure Type]]="Mechanical"),tblDowntime[[#This Row],[Downtime Hours]],"")</f>
        <v/>
      </c>
      <c r="K762" s="10" t="n"/>
      <c r="L762" s="10" t="n"/>
      <c r="M762">
        <f>IF(tblDowntime[[#This Row],[Maintenance Downtime Hours]]="","",tblDowntime[[#This Row],[Equipment ID]])</f>
        <v/>
      </c>
      <c r="N762" s="1">
        <f>IF(tblDowntime[[#This Row],[Failure Type]]="Production",tblDowntime[[#This Row],[Downtime Hours]],"")</f>
        <v/>
      </c>
      <c r="O762">
        <f>IF(tblDowntime[[#This Row],[Production Downtime Hours]]="","",tblDowntime[[#This Row],[Equipment ID]])</f>
        <v/>
      </c>
      <c r="P762" s="10" t="n"/>
    </row>
    <row r="763">
      <c r="B763">
        <f t="array" ref="B763">_xlfn.XLOOKUP(C763,INDIRECT("tblEquipment[Equipment ID]"),INDIRECT("tblEquipment[Production Department]"),"")</f>
        <v/>
      </c>
      <c r="D763">
        <f t="array" ref="D763">_xlfn.XLOOKUP(C763,INDIRECT("tblEquipment[Equipment ID]"),INDIRECT("tblEquipment[Equipment Name]"),"")</f>
        <v/>
      </c>
      <c r="F763" s="16" t="n"/>
      <c r="G763" s="16" t="n"/>
      <c r="H763" s="1">
        <f>IF(OR(F763=0,G763=0),"",(G763-F763)*24)</f>
        <v/>
      </c>
      <c r="I763" s="10" t="n"/>
      <c r="J763" s="1">
        <f>IF(OR(tblDowntime[[#This Row],[Failure Type]]="Sawshop",tblDowntime[[#This Row],[Failure Type]]="Electrical",tblDowntime[[#This Row],[Failure Type]]="Mechanical"),tblDowntime[[#This Row],[Downtime Hours]],"")</f>
        <v/>
      </c>
      <c r="K763" s="10" t="n"/>
      <c r="L763" s="10" t="n"/>
      <c r="M763">
        <f>IF(tblDowntime[[#This Row],[Maintenance Downtime Hours]]="","",tblDowntime[[#This Row],[Equipment ID]])</f>
        <v/>
      </c>
      <c r="N763" s="1">
        <f>IF(tblDowntime[[#This Row],[Failure Type]]="Production",tblDowntime[[#This Row],[Downtime Hours]],"")</f>
        <v/>
      </c>
      <c r="O763">
        <f>IF(tblDowntime[[#This Row],[Production Downtime Hours]]="","",tblDowntime[[#This Row],[Equipment ID]])</f>
        <v/>
      </c>
      <c r="P763" s="10" t="n"/>
    </row>
    <row r="764">
      <c r="B764">
        <f t="array" ref="B764">_xlfn.XLOOKUP(C764,INDIRECT("tblEquipment[Equipment ID]"),INDIRECT("tblEquipment[Production Department]"),"")</f>
        <v/>
      </c>
      <c r="D764">
        <f t="array" ref="D764">_xlfn.XLOOKUP(C764,INDIRECT("tblEquipment[Equipment ID]"),INDIRECT("tblEquipment[Equipment Name]"),"")</f>
        <v/>
      </c>
      <c r="F764" s="16" t="n"/>
      <c r="G764" s="16" t="n"/>
      <c r="H764" s="1">
        <f>IF(OR(F764=0,G764=0),"",(G764-F764)*24)</f>
        <v/>
      </c>
      <c r="I764" s="10" t="n"/>
      <c r="J764" s="1">
        <f>IF(OR(tblDowntime[[#This Row],[Failure Type]]="Sawshop",tblDowntime[[#This Row],[Failure Type]]="Electrical",tblDowntime[[#This Row],[Failure Type]]="Mechanical"),tblDowntime[[#This Row],[Downtime Hours]],"")</f>
        <v/>
      </c>
      <c r="K764" s="10" t="n"/>
      <c r="L764" s="10" t="n"/>
      <c r="M764">
        <f>IF(tblDowntime[[#This Row],[Maintenance Downtime Hours]]="","",tblDowntime[[#This Row],[Equipment ID]])</f>
        <v/>
      </c>
      <c r="N764" s="1">
        <f>IF(tblDowntime[[#This Row],[Failure Type]]="Production",tblDowntime[[#This Row],[Downtime Hours]],"")</f>
        <v/>
      </c>
      <c r="O764">
        <f>IF(tblDowntime[[#This Row],[Production Downtime Hours]]="","",tblDowntime[[#This Row],[Equipment ID]])</f>
        <v/>
      </c>
      <c r="P764" s="10" t="n"/>
    </row>
    <row r="765">
      <c r="B765">
        <f t="array" ref="B765">_xlfn.XLOOKUP(C765,INDIRECT("tblEquipment[Equipment ID]"),INDIRECT("tblEquipment[Production Department]"),"")</f>
        <v/>
      </c>
      <c r="D765">
        <f t="array" ref="D765">_xlfn.XLOOKUP(C765,INDIRECT("tblEquipment[Equipment ID]"),INDIRECT("tblEquipment[Equipment Name]"),"")</f>
        <v/>
      </c>
      <c r="F765" s="16" t="n"/>
      <c r="G765" s="16" t="n"/>
      <c r="H765" s="1">
        <f>IF(OR(F765=0,G765=0),"",(G765-F765)*24)</f>
        <v/>
      </c>
      <c r="I765" s="10" t="n"/>
      <c r="J765" s="1">
        <f>IF(OR(tblDowntime[[#This Row],[Failure Type]]="Sawshop",tblDowntime[[#This Row],[Failure Type]]="Electrical",tblDowntime[[#This Row],[Failure Type]]="Mechanical"),tblDowntime[[#This Row],[Downtime Hours]],"")</f>
        <v/>
      </c>
      <c r="K765" s="10" t="n"/>
      <c r="L765" s="10" t="n"/>
      <c r="M765">
        <f>IF(tblDowntime[[#This Row],[Maintenance Downtime Hours]]="","",tblDowntime[[#This Row],[Equipment ID]])</f>
        <v/>
      </c>
      <c r="N765" s="1">
        <f>IF(tblDowntime[[#This Row],[Failure Type]]="Production",tblDowntime[[#This Row],[Downtime Hours]],"")</f>
        <v/>
      </c>
      <c r="O765">
        <f>IF(tblDowntime[[#This Row],[Production Downtime Hours]]="","",tblDowntime[[#This Row],[Equipment ID]])</f>
        <v/>
      </c>
      <c r="P765" s="10" t="n"/>
    </row>
    <row r="766">
      <c r="B766">
        <f t="array" ref="B766">_xlfn.XLOOKUP(C766,INDIRECT("tblEquipment[Equipment ID]"),INDIRECT("tblEquipment[Production Department]"),"")</f>
        <v/>
      </c>
      <c r="D766">
        <f t="array" ref="D766">_xlfn.XLOOKUP(C766,INDIRECT("tblEquipment[Equipment ID]"),INDIRECT("tblEquipment[Equipment Name]"),"")</f>
        <v/>
      </c>
      <c r="F766" s="16" t="n"/>
      <c r="G766" s="16" t="n"/>
      <c r="H766" s="1">
        <f>IF(OR(F766=0,G766=0),"",(G766-F766)*24)</f>
        <v/>
      </c>
      <c r="I766" s="10" t="n"/>
      <c r="J766" s="1">
        <f>IF(OR(tblDowntime[[#This Row],[Failure Type]]="Sawshop",tblDowntime[[#This Row],[Failure Type]]="Electrical",tblDowntime[[#This Row],[Failure Type]]="Mechanical"),tblDowntime[[#This Row],[Downtime Hours]],"")</f>
        <v/>
      </c>
      <c r="K766" s="10" t="n"/>
      <c r="L766" s="10" t="n"/>
      <c r="M766">
        <f>IF(tblDowntime[[#This Row],[Maintenance Downtime Hours]]="","",tblDowntime[[#This Row],[Equipment ID]])</f>
        <v/>
      </c>
      <c r="N766" s="1">
        <f>IF(tblDowntime[[#This Row],[Failure Type]]="Production",tblDowntime[[#This Row],[Downtime Hours]],"")</f>
        <v/>
      </c>
      <c r="O766">
        <f>IF(tblDowntime[[#This Row],[Production Downtime Hours]]="","",tblDowntime[[#This Row],[Equipment ID]])</f>
        <v/>
      </c>
      <c r="P766" s="10" t="n"/>
    </row>
    <row r="767">
      <c r="B767">
        <f t="array" ref="B767">_xlfn.XLOOKUP(C767,INDIRECT("tblEquipment[Equipment ID]"),INDIRECT("tblEquipment[Production Department]"),"")</f>
        <v/>
      </c>
      <c r="D767">
        <f t="array" ref="D767">_xlfn.XLOOKUP(C767,INDIRECT("tblEquipment[Equipment ID]"),INDIRECT("tblEquipment[Equipment Name]"),"")</f>
        <v/>
      </c>
      <c r="F767" s="16" t="n"/>
      <c r="G767" s="16" t="n"/>
      <c r="H767" s="1">
        <f>IF(OR(F767=0,G767=0),"",(G767-F767)*24)</f>
        <v/>
      </c>
      <c r="I767" s="10" t="n"/>
      <c r="J767" s="1">
        <f>IF(OR(tblDowntime[[#This Row],[Failure Type]]="Sawshop",tblDowntime[[#This Row],[Failure Type]]="Electrical",tblDowntime[[#This Row],[Failure Type]]="Mechanical"),tblDowntime[[#This Row],[Downtime Hours]],"")</f>
        <v/>
      </c>
      <c r="K767" s="10" t="n"/>
      <c r="L767" s="10" t="n"/>
      <c r="M767">
        <f>IF(tblDowntime[[#This Row],[Maintenance Downtime Hours]]="","",tblDowntime[[#This Row],[Equipment ID]])</f>
        <v/>
      </c>
      <c r="N767" s="1">
        <f>IF(tblDowntime[[#This Row],[Failure Type]]="Production",tblDowntime[[#This Row],[Downtime Hours]],"")</f>
        <v/>
      </c>
      <c r="O767">
        <f>IF(tblDowntime[[#This Row],[Production Downtime Hours]]="","",tblDowntime[[#This Row],[Equipment ID]])</f>
        <v/>
      </c>
      <c r="P767" s="10" t="n"/>
    </row>
    <row r="768">
      <c r="B768">
        <f t="array" ref="B768">_xlfn.XLOOKUP(C768,INDIRECT("tblEquipment[Equipment ID]"),INDIRECT("tblEquipment[Production Department]"),"")</f>
        <v/>
      </c>
      <c r="D768">
        <f t="array" ref="D768">_xlfn.XLOOKUP(C768,INDIRECT("tblEquipment[Equipment ID]"),INDIRECT("tblEquipment[Equipment Name]"),"")</f>
        <v/>
      </c>
      <c r="F768" s="16" t="n"/>
      <c r="G768" s="16" t="n"/>
      <c r="H768" s="1">
        <f>IF(OR(F768=0,G768=0),"",(G768-F768)*24)</f>
        <v/>
      </c>
      <c r="I768" s="10" t="n"/>
      <c r="J768" s="1">
        <f>IF(OR(tblDowntime[[#This Row],[Failure Type]]="Sawshop",tblDowntime[[#This Row],[Failure Type]]="Electrical",tblDowntime[[#This Row],[Failure Type]]="Mechanical"),tblDowntime[[#This Row],[Downtime Hours]],"")</f>
        <v/>
      </c>
      <c r="K768" s="10" t="n"/>
      <c r="L768" s="10" t="n"/>
      <c r="M768">
        <f>IF(tblDowntime[[#This Row],[Maintenance Downtime Hours]]="","",tblDowntime[[#This Row],[Equipment ID]])</f>
        <v/>
      </c>
      <c r="N768" s="1">
        <f>IF(tblDowntime[[#This Row],[Failure Type]]="Production",tblDowntime[[#This Row],[Downtime Hours]],"")</f>
        <v/>
      </c>
      <c r="O768">
        <f>IF(tblDowntime[[#This Row],[Production Downtime Hours]]="","",tblDowntime[[#This Row],[Equipment ID]])</f>
        <v/>
      </c>
      <c r="P768" s="10" t="n"/>
    </row>
    <row r="769">
      <c r="B769">
        <f t="array" ref="B769">_xlfn.XLOOKUP(C769,INDIRECT("tblEquipment[Equipment ID]"),INDIRECT("tblEquipment[Production Department]"),"")</f>
        <v/>
      </c>
      <c r="D769">
        <f t="array" ref="D769">_xlfn.XLOOKUP(C769,INDIRECT("tblEquipment[Equipment ID]"),INDIRECT("tblEquipment[Equipment Name]"),"")</f>
        <v/>
      </c>
      <c r="F769" s="16" t="n"/>
      <c r="G769" s="16" t="n"/>
      <c r="H769" s="1">
        <f>IF(OR(F769=0,G769=0),"",(G769-F769)*24)</f>
        <v/>
      </c>
      <c r="I769" s="10" t="n"/>
      <c r="J769" s="1">
        <f>IF(OR(tblDowntime[[#This Row],[Failure Type]]="Sawshop",tblDowntime[[#This Row],[Failure Type]]="Electrical",tblDowntime[[#This Row],[Failure Type]]="Mechanical"),tblDowntime[[#This Row],[Downtime Hours]],"")</f>
        <v/>
      </c>
      <c r="K769" s="10" t="n"/>
      <c r="L769" s="10" t="n"/>
      <c r="M769">
        <f>IF(tblDowntime[[#This Row],[Maintenance Downtime Hours]]="","",tblDowntime[[#This Row],[Equipment ID]])</f>
        <v/>
      </c>
      <c r="N769" s="1">
        <f>IF(tblDowntime[[#This Row],[Failure Type]]="Production",tblDowntime[[#This Row],[Downtime Hours]],"")</f>
        <v/>
      </c>
      <c r="O769">
        <f>IF(tblDowntime[[#This Row],[Production Downtime Hours]]="","",tblDowntime[[#This Row],[Equipment ID]])</f>
        <v/>
      </c>
      <c r="P769" s="10" t="n"/>
    </row>
    <row r="770">
      <c r="B770">
        <f t="array" ref="B770">_xlfn.XLOOKUP(C770,INDIRECT("tblEquipment[Equipment ID]"),INDIRECT("tblEquipment[Production Department]"),"")</f>
        <v/>
      </c>
      <c r="D770">
        <f t="array" ref="D770">_xlfn.XLOOKUP(C770,INDIRECT("tblEquipment[Equipment ID]"),INDIRECT("tblEquipment[Equipment Name]"),"")</f>
        <v/>
      </c>
      <c r="F770" s="16" t="n"/>
      <c r="G770" s="16" t="n"/>
      <c r="H770" s="1">
        <f>IF(OR(F770=0,G770=0),"",(G770-F770)*24)</f>
        <v/>
      </c>
      <c r="I770" s="10" t="n"/>
      <c r="J770" s="1">
        <f>IF(OR(tblDowntime[[#This Row],[Failure Type]]="Sawshop",tblDowntime[[#This Row],[Failure Type]]="Electrical",tblDowntime[[#This Row],[Failure Type]]="Mechanical"),tblDowntime[[#This Row],[Downtime Hours]],"")</f>
        <v/>
      </c>
      <c r="K770" s="10" t="n"/>
      <c r="L770" s="10" t="n"/>
      <c r="M770">
        <f>IF(tblDowntime[[#This Row],[Maintenance Downtime Hours]]="","",tblDowntime[[#This Row],[Equipment ID]])</f>
        <v/>
      </c>
      <c r="N770" s="1">
        <f>IF(tblDowntime[[#This Row],[Failure Type]]="Production",tblDowntime[[#This Row],[Downtime Hours]],"")</f>
        <v/>
      </c>
      <c r="O770">
        <f>IF(tblDowntime[[#This Row],[Production Downtime Hours]]="","",tblDowntime[[#This Row],[Equipment ID]])</f>
        <v/>
      </c>
      <c r="P770" s="10" t="n"/>
    </row>
    <row r="771">
      <c r="B771">
        <f t="array" ref="B771">_xlfn.XLOOKUP(C771,INDIRECT("tblEquipment[Equipment ID]"),INDIRECT("tblEquipment[Production Department]"),"")</f>
        <v/>
      </c>
      <c r="D771">
        <f t="array" ref="D771">_xlfn.XLOOKUP(C771,INDIRECT("tblEquipment[Equipment ID]"),INDIRECT("tblEquipment[Equipment Name]"),"")</f>
        <v/>
      </c>
      <c r="F771" s="16" t="n"/>
      <c r="G771" s="16" t="n"/>
      <c r="H771" s="1">
        <f>IF(OR(F771=0,G771=0),"",(G771-F771)*24)</f>
        <v/>
      </c>
      <c r="I771" s="10" t="n"/>
      <c r="J771" s="1">
        <f>IF(OR(tblDowntime[[#This Row],[Failure Type]]="Sawshop",tblDowntime[[#This Row],[Failure Type]]="Electrical",tblDowntime[[#This Row],[Failure Type]]="Mechanical"),tblDowntime[[#This Row],[Downtime Hours]],"")</f>
        <v/>
      </c>
      <c r="K771" s="10" t="n"/>
      <c r="L771" s="10" t="n"/>
      <c r="M771">
        <f>IF(tblDowntime[[#This Row],[Maintenance Downtime Hours]]="","",tblDowntime[[#This Row],[Equipment ID]])</f>
        <v/>
      </c>
      <c r="N771" s="1">
        <f>IF(tblDowntime[[#This Row],[Failure Type]]="Production",tblDowntime[[#This Row],[Downtime Hours]],"")</f>
        <v/>
      </c>
      <c r="O771">
        <f>IF(tblDowntime[[#This Row],[Production Downtime Hours]]="","",tblDowntime[[#This Row],[Equipment ID]])</f>
        <v/>
      </c>
      <c r="P771" s="10" t="n"/>
    </row>
    <row r="772">
      <c r="B772">
        <f t="array" ref="B772">_xlfn.XLOOKUP(C772,INDIRECT("tblEquipment[Equipment ID]"),INDIRECT("tblEquipment[Production Department]"),"")</f>
        <v/>
      </c>
      <c r="D772">
        <f t="array" ref="D772">_xlfn.XLOOKUP(C772,INDIRECT("tblEquipment[Equipment ID]"),INDIRECT("tblEquipment[Equipment Name]"),"")</f>
        <v/>
      </c>
      <c r="F772" s="16" t="n"/>
      <c r="G772" s="16" t="n"/>
      <c r="H772" s="1">
        <f>IF(OR(F772=0,G772=0),"",(G772-F772)*24)</f>
        <v/>
      </c>
      <c r="I772" s="10" t="n"/>
      <c r="J772" s="1">
        <f>IF(OR(tblDowntime[[#This Row],[Failure Type]]="Sawshop",tblDowntime[[#This Row],[Failure Type]]="Electrical",tblDowntime[[#This Row],[Failure Type]]="Mechanical"),tblDowntime[[#This Row],[Downtime Hours]],"")</f>
        <v/>
      </c>
      <c r="K772" s="10" t="n"/>
      <c r="L772" s="10" t="n"/>
      <c r="M772">
        <f>IF(tblDowntime[[#This Row],[Maintenance Downtime Hours]]="","",tblDowntime[[#This Row],[Equipment ID]])</f>
        <v/>
      </c>
      <c r="N772" s="1">
        <f>IF(tblDowntime[[#This Row],[Failure Type]]="Production",tblDowntime[[#This Row],[Downtime Hours]],"")</f>
        <v/>
      </c>
      <c r="O772">
        <f>IF(tblDowntime[[#This Row],[Production Downtime Hours]]="","",tblDowntime[[#This Row],[Equipment ID]])</f>
        <v/>
      </c>
      <c r="P772" s="10" t="n"/>
    </row>
    <row r="773">
      <c r="B773">
        <f t="array" ref="B773">_xlfn.XLOOKUP(C773,INDIRECT("tblEquipment[Equipment ID]"),INDIRECT("tblEquipment[Production Department]"),"")</f>
        <v/>
      </c>
      <c r="D773">
        <f t="array" ref="D773">_xlfn.XLOOKUP(C773,INDIRECT("tblEquipment[Equipment ID]"),INDIRECT("tblEquipment[Equipment Name]"),"")</f>
        <v/>
      </c>
      <c r="F773" s="16" t="n"/>
      <c r="G773" s="16" t="n"/>
      <c r="H773" s="1">
        <f>IF(OR(F773=0,G773=0),"",(G773-F773)*24)</f>
        <v/>
      </c>
      <c r="I773" s="10" t="n"/>
      <c r="J773" s="1">
        <f>IF(OR(tblDowntime[[#This Row],[Failure Type]]="Sawshop",tblDowntime[[#This Row],[Failure Type]]="Electrical",tblDowntime[[#This Row],[Failure Type]]="Mechanical"),tblDowntime[[#This Row],[Downtime Hours]],"")</f>
        <v/>
      </c>
      <c r="K773" s="10" t="n"/>
      <c r="L773" s="10" t="n"/>
      <c r="M773">
        <f>IF(tblDowntime[[#This Row],[Maintenance Downtime Hours]]="","",tblDowntime[[#This Row],[Equipment ID]])</f>
        <v/>
      </c>
      <c r="N773" s="1">
        <f>IF(tblDowntime[[#This Row],[Failure Type]]="Production",tblDowntime[[#This Row],[Downtime Hours]],"")</f>
        <v/>
      </c>
      <c r="O773">
        <f>IF(tblDowntime[[#This Row],[Production Downtime Hours]]="","",tblDowntime[[#This Row],[Equipment ID]])</f>
        <v/>
      </c>
      <c r="P773" s="10" t="n"/>
    </row>
    <row r="774">
      <c r="B774">
        <f t="array" ref="B774">_xlfn.XLOOKUP(C774,INDIRECT("tblEquipment[Equipment ID]"),INDIRECT("tblEquipment[Production Department]"),"")</f>
        <v/>
      </c>
      <c r="D774">
        <f t="array" ref="D774">_xlfn.XLOOKUP(C774,INDIRECT("tblEquipment[Equipment ID]"),INDIRECT("tblEquipment[Equipment Name]"),"")</f>
        <v/>
      </c>
      <c r="F774" s="16" t="n"/>
      <c r="G774" s="16" t="n"/>
      <c r="H774" s="1">
        <f>IF(OR(F774=0,G774=0),"",(G774-F774)*24)</f>
        <v/>
      </c>
      <c r="I774" s="10" t="n"/>
      <c r="J774" s="1">
        <f>IF(OR(tblDowntime[[#This Row],[Failure Type]]="Sawshop",tblDowntime[[#This Row],[Failure Type]]="Electrical",tblDowntime[[#This Row],[Failure Type]]="Mechanical"),tblDowntime[[#This Row],[Downtime Hours]],"")</f>
        <v/>
      </c>
      <c r="K774" s="10" t="n"/>
      <c r="L774" s="10" t="n"/>
      <c r="M774">
        <f>IF(tblDowntime[[#This Row],[Maintenance Downtime Hours]]="","",tblDowntime[[#This Row],[Equipment ID]])</f>
        <v/>
      </c>
      <c r="N774" s="1">
        <f>IF(tblDowntime[[#This Row],[Failure Type]]="Production",tblDowntime[[#This Row],[Downtime Hours]],"")</f>
        <v/>
      </c>
      <c r="O774">
        <f>IF(tblDowntime[[#This Row],[Production Downtime Hours]]="","",tblDowntime[[#This Row],[Equipment ID]])</f>
        <v/>
      </c>
      <c r="P774" s="10" t="n"/>
    </row>
    <row r="775">
      <c r="B775">
        <f t="array" ref="B775">_xlfn.XLOOKUP(C775,INDIRECT("tblEquipment[Equipment ID]"),INDIRECT("tblEquipment[Production Department]"),"")</f>
        <v/>
      </c>
      <c r="D775">
        <f t="array" ref="D775">_xlfn.XLOOKUP(C775,INDIRECT("tblEquipment[Equipment ID]"),INDIRECT("tblEquipment[Equipment Name]"),"")</f>
        <v/>
      </c>
      <c r="F775" s="16" t="n"/>
      <c r="G775" s="16" t="n"/>
      <c r="H775" s="1">
        <f>IF(OR(F775=0,G775=0),"",(G775-F775)*24)</f>
        <v/>
      </c>
      <c r="I775" s="10" t="n"/>
      <c r="J775" s="1">
        <f>IF(OR(tblDowntime[[#This Row],[Failure Type]]="Sawshop",tblDowntime[[#This Row],[Failure Type]]="Electrical",tblDowntime[[#This Row],[Failure Type]]="Mechanical"),tblDowntime[[#This Row],[Downtime Hours]],"")</f>
        <v/>
      </c>
      <c r="K775" s="10" t="n"/>
      <c r="L775" s="10" t="n"/>
      <c r="M775">
        <f>IF(tblDowntime[[#This Row],[Maintenance Downtime Hours]]="","",tblDowntime[[#This Row],[Equipment ID]])</f>
        <v/>
      </c>
      <c r="N775" s="1">
        <f>IF(tblDowntime[[#This Row],[Failure Type]]="Production",tblDowntime[[#This Row],[Downtime Hours]],"")</f>
        <v/>
      </c>
      <c r="O775">
        <f>IF(tblDowntime[[#This Row],[Production Downtime Hours]]="","",tblDowntime[[#This Row],[Equipment ID]])</f>
        <v/>
      </c>
      <c r="P775" s="10" t="n"/>
    </row>
    <row r="776">
      <c r="B776">
        <f t="array" ref="B776">_xlfn.XLOOKUP(C776,INDIRECT("tblEquipment[Equipment ID]"),INDIRECT("tblEquipment[Production Department]"),"")</f>
        <v/>
      </c>
      <c r="D776">
        <f t="array" ref="D776">_xlfn.XLOOKUP(C776,INDIRECT("tblEquipment[Equipment ID]"),INDIRECT("tblEquipment[Equipment Name]"),"")</f>
        <v/>
      </c>
      <c r="F776" s="16" t="n"/>
      <c r="G776" s="16" t="n"/>
      <c r="H776" s="1">
        <f>IF(OR(F776=0,G776=0),"",(G776-F776)*24)</f>
        <v/>
      </c>
      <c r="I776" s="10" t="n"/>
      <c r="J776" s="1">
        <f>IF(OR(tblDowntime[[#This Row],[Failure Type]]="Sawshop",tblDowntime[[#This Row],[Failure Type]]="Electrical",tblDowntime[[#This Row],[Failure Type]]="Mechanical"),tblDowntime[[#This Row],[Downtime Hours]],"")</f>
        <v/>
      </c>
      <c r="K776" s="10" t="n"/>
      <c r="L776" s="10" t="n"/>
      <c r="M776">
        <f>IF(tblDowntime[[#This Row],[Maintenance Downtime Hours]]="","",tblDowntime[[#This Row],[Equipment ID]])</f>
        <v/>
      </c>
      <c r="N776" s="1">
        <f>IF(tblDowntime[[#This Row],[Failure Type]]="Production",tblDowntime[[#This Row],[Downtime Hours]],"")</f>
        <v/>
      </c>
      <c r="O776">
        <f>IF(tblDowntime[[#This Row],[Production Downtime Hours]]="","",tblDowntime[[#This Row],[Equipment ID]])</f>
        <v/>
      </c>
      <c r="P776" s="10" t="n"/>
    </row>
    <row r="777">
      <c r="B777">
        <f t="array" ref="B777">_xlfn.XLOOKUP(C777,INDIRECT("tblEquipment[Equipment ID]"),INDIRECT("tblEquipment[Production Department]"),"")</f>
        <v/>
      </c>
      <c r="D777">
        <f t="array" ref="D777">_xlfn.XLOOKUP(C777,INDIRECT("tblEquipment[Equipment ID]"),INDIRECT("tblEquipment[Equipment Name]"),"")</f>
        <v/>
      </c>
      <c r="F777" s="16" t="n"/>
      <c r="G777" s="16" t="n"/>
      <c r="H777" s="1">
        <f>IF(OR(F777=0,G777=0),"",(G777-F777)*24)</f>
        <v/>
      </c>
      <c r="I777" s="10" t="n"/>
      <c r="J777" s="1">
        <f>IF(OR(tblDowntime[[#This Row],[Failure Type]]="Sawshop",tblDowntime[[#This Row],[Failure Type]]="Electrical",tblDowntime[[#This Row],[Failure Type]]="Mechanical"),tblDowntime[[#This Row],[Downtime Hours]],"")</f>
        <v/>
      </c>
      <c r="K777" s="10" t="n"/>
      <c r="L777" s="10" t="n"/>
      <c r="M777">
        <f>IF(tblDowntime[[#This Row],[Maintenance Downtime Hours]]="","",tblDowntime[[#This Row],[Equipment ID]])</f>
        <v/>
      </c>
      <c r="N777" s="1">
        <f>IF(tblDowntime[[#This Row],[Failure Type]]="Production",tblDowntime[[#This Row],[Downtime Hours]],"")</f>
        <v/>
      </c>
      <c r="O777">
        <f>IF(tblDowntime[[#This Row],[Production Downtime Hours]]="","",tblDowntime[[#This Row],[Equipment ID]])</f>
        <v/>
      </c>
      <c r="P777" s="10" t="n"/>
    </row>
    <row r="778">
      <c r="B778">
        <f t="array" ref="B778">_xlfn.XLOOKUP(C778,INDIRECT("tblEquipment[Equipment ID]"),INDIRECT("tblEquipment[Production Department]"),"")</f>
        <v/>
      </c>
      <c r="D778">
        <f t="array" ref="D778">_xlfn.XLOOKUP(C778,INDIRECT("tblEquipment[Equipment ID]"),INDIRECT("tblEquipment[Equipment Name]"),"")</f>
        <v/>
      </c>
      <c r="F778" s="16" t="n"/>
      <c r="G778" s="16" t="n"/>
      <c r="H778" s="1">
        <f>IF(OR(F778=0,G778=0),"",(G778-F778)*24)</f>
        <v/>
      </c>
      <c r="I778" s="10" t="n"/>
      <c r="J778" s="1">
        <f>IF(OR(tblDowntime[[#This Row],[Failure Type]]="Sawshop",tblDowntime[[#This Row],[Failure Type]]="Electrical",tblDowntime[[#This Row],[Failure Type]]="Mechanical"),tblDowntime[[#This Row],[Downtime Hours]],"")</f>
        <v/>
      </c>
      <c r="K778" s="10" t="n"/>
      <c r="L778" s="10" t="n"/>
      <c r="M778">
        <f>IF(tblDowntime[[#This Row],[Maintenance Downtime Hours]]="","",tblDowntime[[#This Row],[Equipment ID]])</f>
        <v/>
      </c>
      <c r="N778" s="1">
        <f>IF(tblDowntime[[#This Row],[Failure Type]]="Production",tblDowntime[[#This Row],[Downtime Hours]],"")</f>
        <v/>
      </c>
      <c r="O778">
        <f>IF(tblDowntime[[#This Row],[Production Downtime Hours]]="","",tblDowntime[[#This Row],[Equipment ID]])</f>
        <v/>
      </c>
      <c r="P778" s="10" t="n"/>
    </row>
    <row r="779">
      <c r="B779">
        <f t="array" ref="B779">_xlfn.XLOOKUP(C779,INDIRECT("tblEquipment[Equipment ID]"),INDIRECT("tblEquipment[Production Department]"),"")</f>
        <v/>
      </c>
      <c r="D779">
        <f t="array" ref="D779">_xlfn.XLOOKUP(C779,INDIRECT("tblEquipment[Equipment ID]"),INDIRECT("tblEquipment[Equipment Name]"),"")</f>
        <v/>
      </c>
      <c r="F779" s="16" t="n"/>
      <c r="G779" s="16" t="n"/>
      <c r="H779" s="1">
        <f>IF(OR(F779=0,G779=0),"",(G779-F779)*24)</f>
        <v/>
      </c>
      <c r="I779" s="10" t="n"/>
      <c r="J779" s="1">
        <f>IF(OR(tblDowntime[[#This Row],[Failure Type]]="Sawshop",tblDowntime[[#This Row],[Failure Type]]="Electrical",tblDowntime[[#This Row],[Failure Type]]="Mechanical"),tblDowntime[[#This Row],[Downtime Hours]],"")</f>
        <v/>
      </c>
      <c r="K779" s="10" t="n"/>
      <c r="L779" s="10" t="n"/>
      <c r="M779">
        <f>IF(tblDowntime[[#This Row],[Maintenance Downtime Hours]]="","",tblDowntime[[#This Row],[Equipment ID]])</f>
        <v/>
      </c>
      <c r="N779" s="1">
        <f>IF(tblDowntime[[#This Row],[Failure Type]]="Production",tblDowntime[[#This Row],[Downtime Hours]],"")</f>
        <v/>
      </c>
      <c r="O779">
        <f>IF(tblDowntime[[#This Row],[Production Downtime Hours]]="","",tblDowntime[[#This Row],[Equipment ID]])</f>
        <v/>
      </c>
      <c r="P779" s="10" t="n"/>
    </row>
    <row r="780">
      <c r="B780">
        <f t="array" ref="B780">_xlfn.XLOOKUP(C780,INDIRECT("tblEquipment[Equipment ID]"),INDIRECT("tblEquipment[Production Department]"),"")</f>
        <v/>
      </c>
      <c r="D780">
        <f t="array" ref="D780">_xlfn.XLOOKUP(C780,INDIRECT("tblEquipment[Equipment ID]"),INDIRECT("tblEquipment[Equipment Name]"),"")</f>
        <v/>
      </c>
      <c r="F780" s="16" t="n"/>
      <c r="G780" s="16" t="n"/>
      <c r="H780" s="1">
        <f>IF(OR(F780=0,G780=0),"",(G780-F780)*24)</f>
        <v/>
      </c>
      <c r="I780" s="10" t="n"/>
      <c r="J780" s="1">
        <f>IF(OR(tblDowntime[[#This Row],[Failure Type]]="Sawshop",tblDowntime[[#This Row],[Failure Type]]="Electrical",tblDowntime[[#This Row],[Failure Type]]="Mechanical"),tblDowntime[[#This Row],[Downtime Hours]],"")</f>
        <v/>
      </c>
      <c r="K780" s="10" t="n"/>
      <c r="L780" s="10" t="n"/>
      <c r="M780">
        <f>IF(tblDowntime[[#This Row],[Maintenance Downtime Hours]]="","",tblDowntime[[#This Row],[Equipment ID]])</f>
        <v/>
      </c>
      <c r="N780" s="1">
        <f>IF(tblDowntime[[#This Row],[Failure Type]]="Production",tblDowntime[[#This Row],[Downtime Hours]],"")</f>
        <v/>
      </c>
      <c r="O780">
        <f>IF(tblDowntime[[#This Row],[Production Downtime Hours]]="","",tblDowntime[[#This Row],[Equipment ID]])</f>
        <v/>
      </c>
      <c r="P780" s="10" t="n"/>
    </row>
    <row r="781">
      <c r="B781">
        <f t="array" ref="B781">_xlfn.XLOOKUP(C781,INDIRECT("tblEquipment[Equipment ID]"),INDIRECT("tblEquipment[Production Department]"),"")</f>
        <v/>
      </c>
      <c r="D781">
        <f t="array" ref="D781">_xlfn.XLOOKUP(C781,INDIRECT("tblEquipment[Equipment ID]"),INDIRECT("tblEquipment[Equipment Name]"),"")</f>
        <v/>
      </c>
      <c r="F781" s="16" t="n"/>
      <c r="G781" s="16" t="n"/>
      <c r="H781" s="1">
        <f>IF(OR(F781=0,G781=0),"",(G781-F781)*24)</f>
        <v/>
      </c>
      <c r="I781" s="10" t="n"/>
      <c r="J781" s="1">
        <f>IF(OR(tblDowntime[[#This Row],[Failure Type]]="Sawshop",tblDowntime[[#This Row],[Failure Type]]="Electrical",tblDowntime[[#This Row],[Failure Type]]="Mechanical"),tblDowntime[[#This Row],[Downtime Hours]],"")</f>
        <v/>
      </c>
      <c r="K781" s="10" t="n"/>
      <c r="L781" s="10" t="n"/>
      <c r="M781">
        <f>IF(tblDowntime[[#This Row],[Maintenance Downtime Hours]]="","",tblDowntime[[#This Row],[Equipment ID]])</f>
        <v/>
      </c>
      <c r="N781" s="1">
        <f>IF(tblDowntime[[#This Row],[Failure Type]]="Production",tblDowntime[[#This Row],[Downtime Hours]],"")</f>
        <v/>
      </c>
      <c r="O781">
        <f>IF(tblDowntime[[#This Row],[Production Downtime Hours]]="","",tblDowntime[[#This Row],[Equipment ID]])</f>
        <v/>
      </c>
      <c r="P781" s="10" t="n"/>
    </row>
    <row r="782">
      <c r="B782">
        <f t="array" ref="B782">_xlfn.XLOOKUP(C782,INDIRECT("tblEquipment[Equipment ID]"),INDIRECT("tblEquipment[Production Department]"),"")</f>
        <v/>
      </c>
      <c r="D782">
        <f t="array" ref="D782">_xlfn.XLOOKUP(C782,INDIRECT("tblEquipment[Equipment ID]"),INDIRECT("tblEquipment[Equipment Name]"),"")</f>
        <v/>
      </c>
      <c r="F782" s="16" t="n"/>
      <c r="G782" s="16" t="n"/>
      <c r="H782" s="1">
        <f>IF(OR(F782=0,G782=0),"",(G782-F782)*24)</f>
        <v/>
      </c>
      <c r="I782" s="10" t="n"/>
      <c r="J782" s="1">
        <f>IF(OR(tblDowntime[[#This Row],[Failure Type]]="Sawshop",tblDowntime[[#This Row],[Failure Type]]="Electrical",tblDowntime[[#This Row],[Failure Type]]="Mechanical"),tblDowntime[[#This Row],[Downtime Hours]],"")</f>
        <v/>
      </c>
      <c r="K782" s="10" t="n"/>
      <c r="L782" s="10" t="n"/>
      <c r="M782">
        <f>IF(tblDowntime[[#This Row],[Maintenance Downtime Hours]]="","",tblDowntime[[#This Row],[Equipment ID]])</f>
        <v/>
      </c>
      <c r="N782" s="1">
        <f>IF(tblDowntime[[#This Row],[Failure Type]]="Production",tblDowntime[[#This Row],[Downtime Hours]],"")</f>
        <v/>
      </c>
      <c r="O782">
        <f>IF(tblDowntime[[#This Row],[Production Downtime Hours]]="","",tblDowntime[[#This Row],[Equipment ID]])</f>
        <v/>
      </c>
      <c r="P782" s="10" t="n"/>
    </row>
    <row r="783">
      <c r="B783">
        <f t="array" ref="B783">_xlfn.XLOOKUP(C783,INDIRECT("tblEquipment[Equipment ID]"),INDIRECT("tblEquipment[Production Department]"),"")</f>
        <v/>
      </c>
      <c r="D783">
        <f t="array" ref="D783">_xlfn.XLOOKUP(C783,INDIRECT("tblEquipment[Equipment ID]"),INDIRECT("tblEquipment[Equipment Name]"),"")</f>
        <v/>
      </c>
      <c r="F783" s="16" t="n"/>
      <c r="G783" s="16" t="n"/>
      <c r="H783" s="1">
        <f>IF(OR(F783=0,G783=0),"",(G783-F783)*24)</f>
        <v/>
      </c>
      <c r="I783" s="10" t="n"/>
      <c r="J783" s="1">
        <f>IF(OR(tblDowntime[[#This Row],[Failure Type]]="Sawshop",tblDowntime[[#This Row],[Failure Type]]="Electrical",tblDowntime[[#This Row],[Failure Type]]="Mechanical"),tblDowntime[[#This Row],[Downtime Hours]],"")</f>
        <v/>
      </c>
      <c r="K783" s="10" t="n"/>
      <c r="L783" s="10" t="n"/>
      <c r="M783">
        <f>IF(tblDowntime[[#This Row],[Maintenance Downtime Hours]]="","",tblDowntime[[#This Row],[Equipment ID]])</f>
        <v/>
      </c>
      <c r="N783" s="1">
        <f>IF(tblDowntime[[#This Row],[Failure Type]]="Production",tblDowntime[[#This Row],[Downtime Hours]],"")</f>
        <v/>
      </c>
      <c r="O783">
        <f>IF(tblDowntime[[#This Row],[Production Downtime Hours]]="","",tblDowntime[[#This Row],[Equipment ID]])</f>
        <v/>
      </c>
      <c r="P783" s="10" t="n"/>
    </row>
    <row r="784">
      <c r="B784">
        <f t="array" ref="B784">_xlfn.XLOOKUP(C784,INDIRECT("tblEquipment[Equipment ID]"),INDIRECT("tblEquipment[Production Department]"),"")</f>
        <v/>
      </c>
      <c r="D784">
        <f t="array" ref="D784">_xlfn.XLOOKUP(C784,INDIRECT("tblEquipment[Equipment ID]"),INDIRECT("tblEquipment[Equipment Name]"),"")</f>
        <v/>
      </c>
      <c r="F784" s="16" t="n"/>
      <c r="G784" s="16" t="n"/>
      <c r="H784" s="1">
        <f>IF(OR(F784=0,G784=0),"",(G784-F784)*24)</f>
        <v/>
      </c>
      <c r="I784" s="10" t="n"/>
      <c r="J784" s="1">
        <f>IF(OR(tblDowntime[[#This Row],[Failure Type]]="Sawshop",tblDowntime[[#This Row],[Failure Type]]="Electrical",tblDowntime[[#This Row],[Failure Type]]="Mechanical"),tblDowntime[[#This Row],[Downtime Hours]],"")</f>
        <v/>
      </c>
      <c r="K784" s="10" t="n"/>
      <c r="L784" s="10" t="n"/>
      <c r="M784">
        <f>IF(tblDowntime[[#This Row],[Maintenance Downtime Hours]]="","",tblDowntime[[#This Row],[Equipment ID]])</f>
        <v/>
      </c>
      <c r="N784" s="1">
        <f>IF(tblDowntime[[#This Row],[Failure Type]]="Production",tblDowntime[[#This Row],[Downtime Hours]],"")</f>
        <v/>
      </c>
      <c r="O784">
        <f>IF(tblDowntime[[#This Row],[Production Downtime Hours]]="","",tblDowntime[[#This Row],[Equipment ID]])</f>
        <v/>
      </c>
      <c r="P784" s="10" t="n"/>
    </row>
    <row r="785">
      <c r="B785">
        <f t="array" ref="B785">_xlfn.XLOOKUP(C785,INDIRECT("tblEquipment[Equipment ID]"),INDIRECT("tblEquipment[Production Department]"),"")</f>
        <v/>
      </c>
      <c r="D785">
        <f t="array" ref="D785">_xlfn.XLOOKUP(C785,INDIRECT("tblEquipment[Equipment ID]"),INDIRECT("tblEquipment[Equipment Name]"),"")</f>
        <v/>
      </c>
      <c r="F785" s="16" t="n"/>
      <c r="G785" s="16" t="n"/>
      <c r="H785" s="1">
        <f>IF(OR(F785=0,G785=0),"",(G785-F785)*24)</f>
        <v/>
      </c>
      <c r="I785" s="10" t="n"/>
      <c r="J785" s="1">
        <f>IF(OR(tblDowntime[[#This Row],[Failure Type]]="Sawshop",tblDowntime[[#This Row],[Failure Type]]="Electrical",tblDowntime[[#This Row],[Failure Type]]="Mechanical"),tblDowntime[[#This Row],[Downtime Hours]],"")</f>
        <v/>
      </c>
      <c r="K785" s="10" t="n"/>
      <c r="L785" s="10" t="n"/>
      <c r="M785">
        <f>IF(tblDowntime[[#This Row],[Maintenance Downtime Hours]]="","",tblDowntime[[#This Row],[Equipment ID]])</f>
        <v/>
      </c>
      <c r="N785" s="1">
        <f>IF(tblDowntime[[#This Row],[Failure Type]]="Production",tblDowntime[[#This Row],[Downtime Hours]],"")</f>
        <v/>
      </c>
      <c r="O785">
        <f>IF(tblDowntime[[#This Row],[Production Downtime Hours]]="","",tblDowntime[[#This Row],[Equipment ID]])</f>
        <v/>
      </c>
      <c r="P785" s="10" t="n"/>
    </row>
    <row r="786">
      <c r="B786">
        <f t="array" ref="B786">_xlfn.XLOOKUP(C786,INDIRECT("tblEquipment[Equipment ID]"),INDIRECT("tblEquipment[Production Department]"),"")</f>
        <v/>
      </c>
      <c r="D786">
        <f t="array" ref="D786">_xlfn.XLOOKUP(C786,INDIRECT("tblEquipment[Equipment ID]"),INDIRECT("tblEquipment[Equipment Name]"),"")</f>
        <v/>
      </c>
      <c r="F786" s="16" t="n"/>
      <c r="G786" s="16" t="n"/>
      <c r="H786" s="1">
        <f>IF(OR(F786=0,G786=0),"",(G786-F786)*24)</f>
        <v/>
      </c>
      <c r="I786" s="10" t="n"/>
      <c r="J786" s="1">
        <f>IF(OR(tblDowntime[[#This Row],[Failure Type]]="Sawshop",tblDowntime[[#This Row],[Failure Type]]="Electrical",tblDowntime[[#This Row],[Failure Type]]="Mechanical"),tblDowntime[[#This Row],[Downtime Hours]],"")</f>
        <v/>
      </c>
      <c r="K786" s="10" t="n"/>
      <c r="L786" s="10" t="n"/>
      <c r="M786">
        <f>IF(tblDowntime[[#This Row],[Maintenance Downtime Hours]]="","",tblDowntime[[#This Row],[Equipment ID]])</f>
        <v/>
      </c>
      <c r="N786" s="1">
        <f>IF(tblDowntime[[#This Row],[Failure Type]]="Production",tblDowntime[[#This Row],[Downtime Hours]],"")</f>
        <v/>
      </c>
      <c r="O786">
        <f>IF(tblDowntime[[#This Row],[Production Downtime Hours]]="","",tblDowntime[[#This Row],[Equipment ID]])</f>
        <v/>
      </c>
      <c r="P786" s="10" t="n"/>
    </row>
    <row r="787">
      <c r="B787">
        <f t="array" ref="B787">_xlfn.XLOOKUP(C787,INDIRECT("tblEquipment[Equipment ID]"),INDIRECT("tblEquipment[Production Department]"),"")</f>
        <v/>
      </c>
      <c r="D787">
        <f t="array" ref="D787">_xlfn.XLOOKUP(C787,INDIRECT("tblEquipment[Equipment ID]"),INDIRECT("tblEquipment[Equipment Name]"),"")</f>
        <v/>
      </c>
      <c r="F787" s="16" t="n"/>
      <c r="G787" s="16" t="n"/>
      <c r="H787" s="1">
        <f>IF(OR(F787=0,G787=0),"",(G787-F787)*24)</f>
        <v/>
      </c>
      <c r="I787" s="10" t="n"/>
      <c r="J787" s="1">
        <f>IF(OR(tblDowntime[[#This Row],[Failure Type]]="Sawshop",tblDowntime[[#This Row],[Failure Type]]="Electrical",tblDowntime[[#This Row],[Failure Type]]="Mechanical"),tblDowntime[[#This Row],[Downtime Hours]],"")</f>
        <v/>
      </c>
      <c r="K787" s="10" t="n"/>
      <c r="L787" s="10" t="n"/>
      <c r="M787">
        <f>IF(tblDowntime[[#This Row],[Maintenance Downtime Hours]]="","",tblDowntime[[#This Row],[Equipment ID]])</f>
        <v/>
      </c>
      <c r="N787" s="1">
        <f>IF(tblDowntime[[#This Row],[Failure Type]]="Production",tblDowntime[[#This Row],[Downtime Hours]],"")</f>
        <v/>
      </c>
      <c r="O787">
        <f>IF(tblDowntime[[#This Row],[Production Downtime Hours]]="","",tblDowntime[[#This Row],[Equipment ID]])</f>
        <v/>
      </c>
      <c r="P787" s="10" t="n"/>
    </row>
    <row r="788">
      <c r="B788">
        <f t="array" ref="B788">_xlfn.XLOOKUP(C788,INDIRECT("tblEquipment[Equipment ID]"),INDIRECT("tblEquipment[Production Department]"),"")</f>
        <v/>
      </c>
      <c r="D788">
        <f t="array" ref="D788">_xlfn.XLOOKUP(C788,INDIRECT("tblEquipment[Equipment ID]"),INDIRECT("tblEquipment[Equipment Name]"),"")</f>
        <v/>
      </c>
      <c r="F788" s="16" t="n"/>
      <c r="G788" s="16" t="n"/>
      <c r="H788" s="1">
        <f>IF(OR(F788=0,G788=0),"",(G788-F788)*24)</f>
        <v/>
      </c>
      <c r="I788" s="10" t="n"/>
      <c r="J788" s="1">
        <f>IF(OR(tblDowntime[[#This Row],[Failure Type]]="Sawshop",tblDowntime[[#This Row],[Failure Type]]="Electrical",tblDowntime[[#This Row],[Failure Type]]="Mechanical"),tblDowntime[[#This Row],[Downtime Hours]],"")</f>
        <v/>
      </c>
      <c r="K788" s="10" t="n"/>
      <c r="L788" s="10" t="n"/>
      <c r="M788">
        <f>IF(tblDowntime[[#This Row],[Maintenance Downtime Hours]]="","",tblDowntime[[#This Row],[Equipment ID]])</f>
        <v/>
      </c>
      <c r="N788" s="1">
        <f>IF(tblDowntime[[#This Row],[Failure Type]]="Production",tblDowntime[[#This Row],[Downtime Hours]],"")</f>
        <v/>
      </c>
      <c r="O788">
        <f>IF(tblDowntime[[#This Row],[Production Downtime Hours]]="","",tblDowntime[[#This Row],[Equipment ID]])</f>
        <v/>
      </c>
      <c r="P788" s="10" t="n"/>
    </row>
    <row r="789">
      <c r="B789">
        <f t="array" ref="B789">_xlfn.XLOOKUP(C789,INDIRECT("tblEquipment[Equipment ID]"),INDIRECT("tblEquipment[Production Department]"),"")</f>
        <v/>
      </c>
      <c r="D789">
        <f t="array" ref="D789">_xlfn.XLOOKUP(C789,INDIRECT("tblEquipment[Equipment ID]"),INDIRECT("tblEquipment[Equipment Name]"),"")</f>
        <v/>
      </c>
      <c r="F789" s="16" t="n"/>
      <c r="G789" s="16" t="n"/>
      <c r="H789" s="1">
        <f>IF(OR(F789=0,G789=0),"",(G789-F789)*24)</f>
        <v/>
      </c>
      <c r="I789" s="10" t="n"/>
      <c r="J789" s="1">
        <f>IF(OR(tblDowntime[[#This Row],[Failure Type]]="Sawshop",tblDowntime[[#This Row],[Failure Type]]="Electrical",tblDowntime[[#This Row],[Failure Type]]="Mechanical"),tblDowntime[[#This Row],[Downtime Hours]],"")</f>
        <v/>
      </c>
      <c r="K789" s="10" t="n"/>
      <c r="L789" s="10" t="n"/>
      <c r="M789">
        <f>IF(tblDowntime[[#This Row],[Maintenance Downtime Hours]]="","",tblDowntime[[#This Row],[Equipment ID]])</f>
        <v/>
      </c>
      <c r="N789" s="1">
        <f>IF(tblDowntime[[#This Row],[Failure Type]]="Production",tblDowntime[[#This Row],[Downtime Hours]],"")</f>
        <v/>
      </c>
      <c r="O789">
        <f>IF(tblDowntime[[#This Row],[Production Downtime Hours]]="","",tblDowntime[[#This Row],[Equipment ID]])</f>
        <v/>
      </c>
      <c r="P789" s="10" t="n"/>
    </row>
    <row r="790">
      <c r="B790">
        <f t="array" ref="B790">_xlfn.XLOOKUP(C790,INDIRECT("tblEquipment[Equipment ID]"),INDIRECT("tblEquipment[Production Department]"),"")</f>
        <v/>
      </c>
      <c r="D790">
        <f t="array" ref="D790">_xlfn.XLOOKUP(C790,INDIRECT("tblEquipment[Equipment ID]"),INDIRECT("tblEquipment[Equipment Name]"),"")</f>
        <v/>
      </c>
      <c r="F790" s="16" t="n"/>
      <c r="G790" s="16" t="n"/>
      <c r="H790" s="1">
        <f>IF(OR(F790=0,G790=0),"",(G790-F790)*24)</f>
        <v/>
      </c>
      <c r="I790" s="10" t="n"/>
      <c r="J790" s="1">
        <f>IF(OR(tblDowntime[[#This Row],[Failure Type]]="Sawshop",tblDowntime[[#This Row],[Failure Type]]="Electrical",tblDowntime[[#This Row],[Failure Type]]="Mechanical"),tblDowntime[[#This Row],[Downtime Hours]],"")</f>
        <v/>
      </c>
      <c r="K790" s="10" t="n"/>
      <c r="L790" s="10" t="n"/>
      <c r="M790">
        <f>IF(tblDowntime[[#This Row],[Maintenance Downtime Hours]]="","",tblDowntime[[#This Row],[Equipment ID]])</f>
        <v/>
      </c>
      <c r="N790" s="1">
        <f>IF(tblDowntime[[#This Row],[Failure Type]]="Production",tblDowntime[[#This Row],[Downtime Hours]],"")</f>
        <v/>
      </c>
      <c r="O790">
        <f>IF(tblDowntime[[#This Row],[Production Downtime Hours]]="","",tblDowntime[[#This Row],[Equipment ID]])</f>
        <v/>
      </c>
      <c r="P790" s="10" t="n"/>
    </row>
    <row r="791">
      <c r="B791">
        <f t="array" ref="B791">_xlfn.XLOOKUP(C791,INDIRECT("tblEquipment[Equipment ID]"),INDIRECT("tblEquipment[Production Department]"),"")</f>
        <v/>
      </c>
      <c r="D791">
        <f t="array" ref="D791">_xlfn.XLOOKUP(C791,INDIRECT("tblEquipment[Equipment ID]"),INDIRECT("tblEquipment[Equipment Name]"),"")</f>
        <v/>
      </c>
      <c r="F791" s="16" t="n"/>
      <c r="G791" s="16" t="n"/>
      <c r="H791" s="1">
        <f>IF(OR(F791=0,G791=0),"",(G791-F791)*24)</f>
        <v/>
      </c>
      <c r="I791" s="10" t="n"/>
      <c r="J791" s="1">
        <f>IF(OR(tblDowntime[[#This Row],[Failure Type]]="Sawshop",tblDowntime[[#This Row],[Failure Type]]="Electrical",tblDowntime[[#This Row],[Failure Type]]="Mechanical"),tblDowntime[[#This Row],[Downtime Hours]],"")</f>
        <v/>
      </c>
      <c r="K791" s="10" t="n"/>
      <c r="L791" s="10" t="n"/>
      <c r="M791">
        <f>IF(tblDowntime[[#This Row],[Maintenance Downtime Hours]]="","",tblDowntime[[#This Row],[Equipment ID]])</f>
        <v/>
      </c>
      <c r="N791" s="1">
        <f>IF(tblDowntime[[#This Row],[Failure Type]]="Production",tblDowntime[[#This Row],[Downtime Hours]],"")</f>
        <v/>
      </c>
      <c r="O791">
        <f>IF(tblDowntime[[#This Row],[Production Downtime Hours]]="","",tblDowntime[[#This Row],[Equipment ID]])</f>
        <v/>
      </c>
      <c r="P791" s="10" t="n"/>
    </row>
    <row r="792">
      <c r="B792">
        <f t="array" ref="B792">_xlfn.XLOOKUP(C792,INDIRECT("tblEquipment[Equipment ID]"),INDIRECT("tblEquipment[Production Department]"),"")</f>
        <v/>
      </c>
      <c r="D792">
        <f t="array" ref="D792">_xlfn.XLOOKUP(C792,INDIRECT("tblEquipment[Equipment ID]"),INDIRECT("tblEquipment[Equipment Name]"),"")</f>
        <v/>
      </c>
      <c r="F792" s="16" t="n"/>
      <c r="G792" s="16" t="n"/>
      <c r="H792" s="1">
        <f>IF(OR(F792=0,G792=0),"",(G792-F792)*24)</f>
        <v/>
      </c>
      <c r="I792" s="10" t="n"/>
      <c r="J792" s="1">
        <f>IF(OR(tblDowntime[[#This Row],[Failure Type]]="Sawshop",tblDowntime[[#This Row],[Failure Type]]="Electrical",tblDowntime[[#This Row],[Failure Type]]="Mechanical"),tblDowntime[[#This Row],[Downtime Hours]],"")</f>
        <v/>
      </c>
      <c r="K792" s="10" t="n"/>
      <c r="L792" s="10" t="n"/>
      <c r="M792">
        <f>IF(tblDowntime[[#This Row],[Maintenance Downtime Hours]]="","",tblDowntime[[#This Row],[Equipment ID]])</f>
        <v/>
      </c>
      <c r="N792" s="1">
        <f>IF(tblDowntime[[#This Row],[Failure Type]]="Production",tblDowntime[[#This Row],[Downtime Hours]],"")</f>
        <v/>
      </c>
      <c r="O792">
        <f>IF(tblDowntime[[#This Row],[Production Downtime Hours]]="","",tblDowntime[[#This Row],[Equipment ID]])</f>
        <v/>
      </c>
      <c r="P792" s="10" t="n"/>
    </row>
    <row r="793">
      <c r="B793">
        <f t="array" ref="B793">_xlfn.XLOOKUP(C793,INDIRECT("tblEquipment[Equipment ID]"),INDIRECT("tblEquipment[Production Department]"),"")</f>
        <v/>
      </c>
      <c r="D793">
        <f t="array" ref="D793">_xlfn.XLOOKUP(C793,INDIRECT("tblEquipment[Equipment ID]"),INDIRECT("tblEquipment[Equipment Name]"),"")</f>
        <v/>
      </c>
      <c r="F793" s="16" t="n"/>
      <c r="G793" s="16" t="n"/>
      <c r="H793" s="1">
        <f>IF(OR(F793=0,G793=0),"",(G793-F793)*24)</f>
        <v/>
      </c>
      <c r="I793" s="10" t="n"/>
      <c r="J793" s="1">
        <f>IF(OR(tblDowntime[[#This Row],[Failure Type]]="Sawshop",tblDowntime[[#This Row],[Failure Type]]="Electrical",tblDowntime[[#This Row],[Failure Type]]="Mechanical"),tblDowntime[[#This Row],[Downtime Hours]],"")</f>
        <v/>
      </c>
      <c r="K793" s="10" t="n"/>
      <c r="L793" s="10" t="n"/>
      <c r="M793">
        <f>IF(tblDowntime[[#This Row],[Maintenance Downtime Hours]]="","",tblDowntime[[#This Row],[Equipment ID]])</f>
        <v/>
      </c>
      <c r="N793" s="1">
        <f>IF(tblDowntime[[#This Row],[Failure Type]]="Production",tblDowntime[[#This Row],[Downtime Hours]],"")</f>
        <v/>
      </c>
      <c r="O793">
        <f>IF(tblDowntime[[#This Row],[Production Downtime Hours]]="","",tblDowntime[[#This Row],[Equipment ID]])</f>
        <v/>
      </c>
      <c r="P793" s="10" t="n"/>
    </row>
    <row r="794">
      <c r="B794">
        <f t="array" ref="B794">_xlfn.XLOOKUP(C794,INDIRECT("tblEquipment[Equipment ID]"),INDIRECT("tblEquipment[Production Department]"),"")</f>
        <v/>
      </c>
      <c r="D794">
        <f t="array" ref="D794">_xlfn.XLOOKUP(C794,INDIRECT("tblEquipment[Equipment ID]"),INDIRECT("tblEquipment[Equipment Name]"),"")</f>
        <v/>
      </c>
      <c r="F794" s="16" t="n"/>
      <c r="G794" s="16" t="n"/>
      <c r="H794" s="1">
        <f>IF(OR(F794=0,G794=0),"",(G794-F794)*24)</f>
        <v/>
      </c>
      <c r="I794" s="10" t="n"/>
      <c r="J794" s="1">
        <f>IF(OR(tblDowntime[[#This Row],[Failure Type]]="Sawshop",tblDowntime[[#This Row],[Failure Type]]="Electrical",tblDowntime[[#This Row],[Failure Type]]="Mechanical"),tblDowntime[[#This Row],[Downtime Hours]],"")</f>
        <v/>
      </c>
      <c r="K794" s="10" t="n"/>
      <c r="L794" s="10" t="n"/>
      <c r="M794">
        <f>IF(tblDowntime[[#This Row],[Maintenance Downtime Hours]]="","",tblDowntime[[#This Row],[Equipment ID]])</f>
        <v/>
      </c>
      <c r="N794" s="1">
        <f>IF(tblDowntime[[#This Row],[Failure Type]]="Production",tblDowntime[[#This Row],[Downtime Hours]],"")</f>
        <v/>
      </c>
      <c r="O794">
        <f>IF(tblDowntime[[#This Row],[Production Downtime Hours]]="","",tblDowntime[[#This Row],[Equipment ID]])</f>
        <v/>
      </c>
      <c r="P794" s="10" t="n"/>
    </row>
    <row r="795">
      <c r="B795">
        <f t="array" ref="B795">_xlfn.XLOOKUP(C795,INDIRECT("tblEquipment[Equipment ID]"),INDIRECT("tblEquipment[Production Department]"),"")</f>
        <v/>
      </c>
      <c r="D795">
        <f t="array" ref="D795">_xlfn.XLOOKUP(C795,INDIRECT("tblEquipment[Equipment ID]"),INDIRECT("tblEquipment[Equipment Name]"),"")</f>
        <v/>
      </c>
      <c r="F795" s="16" t="n"/>
      <c r="G795" s="16" t="n"/>
      <c r="H795" s="1">
        <f>IF(OR(F795=0,G795=0),"",(G795-F795)*24)</f>
        <v/>
      </c>
      <c r="I795" s="10" t="n"/>
      <c r="J795" s="1">
        <f>IF(OR(tblDowntime[[#This Row],[Failure Type]]="Sawshop",tblDowntime[[#This Row],[Failure Type]]="Electrical",tblDowntime[[#This Row],[Failure Type]]="Mechanical"),tblDowntime[[#This Row],[Downtime Hours]],"")</f>
        <v/>
      </c>
      <c r="K795" s="10" t="n"/>
      <c r="L795" s="10" t="n"/>
      <c r="M795">
        <f>IF(tblDowntime[[#This Row],[Maintenance Downtime Hours]]="","",tblDowntime[[#This Row],[Equipment ID]])</f>
        <v/>
      </c>
      <c r="N795" s="1">
        <f>IF(tblDowntime[[#This Row],[Failure Type]]="Production",tblDowntime[[#This Row],[Downtime Hours]],"")</f>
        <v/>
      </c>
      <c r="O795">
        <f>IF(tblDowntime[[#This Row],[Production Downtime Hours]]="","",tblDowntime[[#This Row],[Equipment ID]])</f>
        <v/>
      </c>
      <c r="P795" s="10" t="n"/>
    </row>
    <row r="796">
      <c r="B796">
        <f t="array" ref="B796">_xlfn.XLOOKUP(C796,INDIRECT("tblEquipment[Equipment ID]"),INDIRECT("tblEquipment[Production Department]"),"")</f>
        <v/>
      </c>
      <c r="D796">
        <f t="array" ref="D796">_xlfn.XLOOKUP(C796,INDIRECT("tblEquipment[Equipment ID]"),INDIRECT("tblEquipment[Equipment Name]"),"")</f>
        <v/>
      </c>
      <c r="F796" s="16" t="n"/>
      <c r="G796" s="16" t="n"/>
      <c r="H796" s="1">
        <f>IF(OR(F796=0,G796=0),"",(G796-F796)*24)</f>
        <v/>
      </c>
      <c r="I796" s="10" t="n"/>
      <c r="J796" s="1">
        <f>IF(OR(tblDowntime[[#This Row],[Failure Type]]="Sawshop",tblDowntime[[#This Row],[Failure Type]]="Electrical",tblDowntime[[#This Row],[Failure Type]]="Mechanical"),tblDowntime[[#This Row],[Downtime Hours]],"")</f>
        <v/>
      </c>
      <c r="K796" s="10" t="n"/>
      <c r="L796" s="10" t="n"/>
      <c r="M796">
        <f>IF(tblDowntime[[#This Row],[Maintenance Downtime Hours]]="","",tblDowntime[[#This Row],[Equipment ID]])</f>
        <v/>
      </c>
      <c r="N796" s="1">
        <f>IF(tblDowntime[[#This Row],[Failure Type]]="Production",tblDowntime[[#This Row],[Downtime Hours]],"")</f>
        <v/>
      </c>
      <c r="O796">
        <f>IF(tblDowntime[[#This Row],[Production Downtime Hours]]="","",tblDowntime[[#This Row],[Equipment ID]])</f>
        <v/>
      </c>
      <c r="P796" s="10" t="n"/>
    </row>
    <row r="797">
      <c r="B797">
        <f t="array" ref="B797">_xlfn.XLOOKUP(C797,INDIRECT("tblEquipment[Equipment ID]"),INDIRECT("tblEquipment[Production Department]"),"")</f>
        <v/>
      </c>
      <c r="D797">
        <f t="array" ref="D797">_xlfn.XLOOKUP(C797,INDIRECT("tblEquipment[Equipment ID]"),INDIRECT("tblEquipment[Equipment Name]"),"")</f>
        <v/>
      </c>
      <c r="F797" s="16" t="n"/>
      <c r="G797" s="16" t="n"/>
      <c r="H797" s="1">
        <f>IF(OR(F797=0,G797=0),"",(G797-F797)*24)</f>
        <v/>
      </c>
      <c r="I797" s="10" t="n"/>
      <c r="J797" s="1">
        <f>IF(OR(tblDowntime[[#This Row],[Failure Type]]="Sawshop",tblDowntime[[#This Row],[Failure Type]]="Electrical",tblDowntime[[#This Row],[Failure Type]]="Mechanical"),tblDowntime[[#This Row],[Downtime Hours]],"")</f>
        <v/>
      </c>
      <c r="K797" s="10" t="n"/>
      <c r="L797" s="10" t="n"/>
      <c r="M797">
        <f>IF(tblDowntime[[#This Row],[Maintenance Downtime Hours]]="","",tblDowntime[[#This Row],[Equipment ID]])</f>
        <v/>
      </c>
      <c r="N797" s="1">
        <f>IF(tblDowntime[[#This Row],[Failure Type]]="Production",tblDowntime[[#This Row],[Downtime Hours]],"")</f>
        <v/>
      </c>
      <c r="O797">
        <f>IF(tblDowntime[[#This Row],[Production Downtime Hours]]="","",tblDowntime[[#This Row],[Equipment ID]])</f>
        <v/>
      </c>
      <c r="P797" s="10" t="n"/>
    </row>
    <row r="798">
      <c r="B798">
        <f t="array" ref="B798">_xlfn.XLOOKUP(C798,INDIRECT("tblEquipment[Equipment ID]"),INDIRECT("tblEquipment[Production Department]"),"")</f>
        <v/>
      </c>
      <c r="D798">
        <f t="array" ref="D798">_xlfn.XLOOKUP(C798,INDIRECT("tblEquipment[Equipment ID]"),INDIRECT("tblEquipment[Equipment Name]"),"")</f>
        <v/>
      </c>
      <c r="F798" s="16" t="n"/>
      <c r="G798" s="16" t="n"/>
      <c r="H798" s="1">
        <f>IF(OR(F798=0,G798=0),"",(G798-F798)*24)</f>
        <v/>
      </c>
      <c r="I798" s="10" t="n"/>
      <c r="J798" s="1">
        <f>IF(OR(tblDowntime[[#This Row],[Failure Type]]="Sawshop",tblDowntime[[#This Row],[Failure Type]]="Electrical",tblDowntime[[#This Row],[Failure Type]]="Mechanical"),tblDowntime[[#This Row],[Downtime Hours]],"")</f>
        <v/>
      </c>
      <c r="K798" s="10" t="n"/>
      <c r="L798" s="10" t="n"/>
      <c r="M798">
        <f>IF(tblDowntime[[#This Row],[Maintenance Downtime Hours]]="","",tblDowntime[[#This Row],[Equipment ID]])</f>
        <v/>
      </c>
      <c r="N798" s="1">
        <f>IF(tblDowntime[[#This Row],[Failure Type]]="Production",tblDowntime[[#This Row],[Downtime Hours]],"")</f>
        <v/>
      </c>
      <c r="O798">
        <f>IF(tblDowntime[[#This Row],[Production Downtime Hours]]="","",tblDowntime[[#This Row],[Equipment ID]])</f>
        <v/>
      </c>
      <c r="P798" s="10" t="n"/>
    </row>
    <row r="799">
      <c r="B799">
        <f t="array" ref="B799">_xlfn.XLOOKUP(C799,INDIRECT("tblEquipment[Equipment ID]"),INDIRECT("tblEquipment[Production Department]"),"")</f>
        <v/>
      </c>
      <c r="D799">
        <f t="array" ref="D799">_xlfn.XLOOKUP(C799,INDIRECT("tblEquipment[Equipment ID]"),INDIRECT("tblEquipment[Equipment Name]"),"")</f>
        <v/>
      </c>
      <c r="F799" s="16" t="n"/>
      <c r="G799" s="16" t="n"/>
      <c r="H799" s="1">
        <f>IF(OR(F799=0,G799=0),"",(G799-F799)*24)</f>
        <v/>
      </c>
      <c r="I799" s="10" t="n"/>
      <c r="J799" s="1">
        <f>IF(OR(tblDowntime[[#This Row],[Failure Type]]="Sawshop",tblDowntime[[#This Row],[Failure Type]]="Electrical",tblDowntime[[#This Row],[Failure Type]]="Mechanical"),tblDowntime[[#This Row],[Downtime Hours]],"")</f>
        <v/>
      </c>
      <c r="K799" s="10" t="n"/>
      <c r="L799" s="10" t="n"/>
      <c r="M799">
        <f>IF(tblDowntime[[#This Row],[Maintenance Downtime Hours]]="","",tblDowntime[[#This Row],[Equipment ID]])</f>
        <v/>
      </c>
      <c r="N799" s="1">
        <f>IF(tblDowntime[[#This Row],[Failure Type]]="Production",tblDowntime[[#This Row],[Downtime Hours]],"")</f>
        <v/>
      </c>
      <c r="O799">
        <f>IF(tblDowntime[[#This Row],[Production Downtime Hours]]="","",tblDowntime[[#This Row],[Equipment ID]])</f>
        <v/>
      </c>
      <c r="P799" s="10" t="n"/>
    </row>
    <row r="800">
      <c r="B800">
        <f t="array" ref="B800">_xlfn.XLOOKUP(C800,INDIRECT("tblEquipment[Equipment ID]"),INDIRECT("tblEquipment[Production Department]"),"")</f>
        <v/>
      </c>
      <c r="D800">
        <f t="array" ref="D800">_xlfn.XLOOKUP(C800,INDIRECT("tblEquipment[Equipment ID]"),INDIRECT("tblEquipment[Equipment Name]"),"")</f>
        <v/>
      </c>
      <c r="F800" s="16" t="n"/>
      <c r="G800" s="16" t="n"/>
      <c r="H800" s="1">
        <f>IF(OR(F800=0,G800=0),"",(G800-F800)*24)</f>
        <v/>
      </c>
      <c r="I800" s="10" t="n"/>
      <c r="J800" s="1">
        <f>IF(OR(tblDowntime[[#This Row],[Failure Type]]="Sawshop",tblDowntime[[#This Row],[Failure Type]]="Electrical",tblDowntime[[#This Row],[Failure Type]]="Mechanical"),tblDowntime[[#This Row],[Downtime Hours]],"")</f>
        <v/>
      </c>
      <c r="K800" s="10" t="n"/>
      <c r="L800" s="10" t="n"/>
      <c r="M800">
        <f>IF(tblDowntime[[#This Row],[Maintenance Downtime Hours]]="","",tblDowntime[[#This Row],[Equipment ID]])</f>
        <v/>
      </c>
      <c r="N800" s="1">
        <f>IF(tblDowntime[[#This Row],[Failure Type]]="Production",tblDowntime[[#This Row],[Downtime Hours]],"")</f>
        <v/>
      </c>
      <c r="O800">
        <f>IF(tblDowntime[[#This Row],[Production Downtime Hours]]="","",tblDowntime[[#This Row],[Equipment ID]])</f>
        <v/>
      </c>
      <c r="P800" s="10" t="n"/>
    </row>
    <row r="801">
      <c r="B801">
        <f t="array" ref="B801">_xlfn.XLOOKUP(C801,INDIRECT("tblEquipment[Equipment ID]"),INDIRECT("tblEquipment[Production Department]"),"")</f>
        <v/>
      </c>
      <c r="D801">
        <f t="array" ref="D801">_xlfn.XLOOKUP(C801,INDIRECT("tblEquipment[Equipment ID]"),INDIRECT("tblEquipment[Equipment Name]"),"")</f>
        <v/>
      </c>
      <c r="F801" s="16" t="n"/>
      <c r="G801" s="16" t="n"/>
      <c r="H801" s="1">
        <f>IF(OR(F801=0,G801=0),"",(G801-F801)*24)</f>
        <v/>
      </c>
      <c r="I801" s="10" t="n"/>
      <c r="J801" s="1">
        <f>IF(OR(tblDowntime[[#This Row],[Failure Type]]="Sawshop",tblDowntime[[#This Row],[Failure Type]]="Electrical",tblDowntime[[#This Row],[Failure Type]]="Mechanical"),tblDowntime[[#This Row],[Downtime Hours]],"")</f>
        <v/>
      </c>
      <c r="K801" s="10" t="n"/>
      <c r="L801" s="10" t="n"/>
      <c r="M801">
        <f>IF(tblDowntime[[#This Row],[Maintenance Downtime Hours]]="","",tblDowntime[[#This Row],[Equipment ID]])</f>
        <v/>
      </c>
      <c r="N801" s="1">
        <f>IF(tblDowntime[[#This Row],[Failure Type]]="Production",tblDowntime[[#This Row],[Downtime Hours]],"")</f>
        <v/>
      </c>
      <c r="O801">
        <f>IF(tblDowntime[[#This Row],[Production Downtime Hours]]="","",tblDowntime[[#This Row],[Equipment ID]])</f>
        <v/>
      </c>
      <c r="P801" s="10" t="n"/>
    </row>
    <row r="802">
      <c r="B802">
        <f t="array" ref="B802">_xlfn.XLOOKUP(C802,INDIRECT("tblEquipment[Equipment ID]"),INDIRECT("tblEquipment[Production Department]"),"")</f>
        <v/>
      </c>
      <c r="D802">
        <f t="array" ref="D802">_xlfn.XLOOKUP(C802,INDIRECT("tblEquipment[Equipment ID]"),INDIRECT("tblEquipment[Equipment Name]"),"")</f>
        <v/>
      </c>
      <c r="F802" s="16" t="n"/>
      <c r="G802" s="16" t="n"/>
      <c r="H802" s="1">
        <f>IF(OR(F802=0,G802=0),"",(G802-F802)*24)</f>
        <v/>
      </c>
      <c r="I802" s="10" t="n"/>
      <c r="J802" s="1">
        <f>IF(OR(tblDowntime[[#This Row],[Failure Type]]="Sawshop",tblDowntime[[#This Row],[Failure Type]]="Electrical",tblDowntime[[#This Row],[Failure Type]]="Mechanical"),tblDowntime[[#This Row],[Downtime Hours]],"")</f>
        <v/>
      </c>
      <c r="K802" s="10" t="n"/>
      <c r="L802" s="10" t="n"/>
      <c r="M802">
        <f>IF(tblDowntime[[#This Row],[Maintenance Downtime Hours]]="","",tblDowntime[[#This Row],[Equipment ID]])</f>
        <v/>
      </c>
      <c r="N802" s="1">
        <f>IF(tblDowntime[[#This Row],[Failure Type]]="Production",tblDowntime[[#This Row],[Downtime Hours]],"")</f>
        <v/>
      </c>
      <c r="O802">
        <f>IF(tblDowntime[[#This Row],[Production Downtime Hours]]="","",tblDowntime[[#This Row],[Equipment ID]])</f>
        <v/>
      </c>
      <c r="P802" s="10" t="n"/>
    </row>
    <row r="803">
      <c r="B803">
        <f t="array" ref="B803">_xlfn.XLOOKUP(C803,INDIRECT("tblEquipment[Equipment ID]"),INDIRECT("tblEquipment[Production Department]"),"")</f>
        <v/>
      </c>
      <c r="D803">
        <f t="array" ref="D803">_xlfn.XLOOKUP(C803,INDIRECT("tblEquipment[Equipment ID]"),INDIRECT("tblEquipment[Equipment Name]"),"")</f>
        <v/>
      </c>
      <c r="F803" s="16" t="n"/>
      <c r="G803" s="16" t="n"/>
      <c r="H803" s="1">
        <f>IF(OR(F803=0,G803=0),"",(G803-F803)*24)</f>
        <v/>
      </c>
      <c r="I803" s="10" t="n"/>
      <c r="J803" s="1">
        <f>IF(OR(tblDowntime[[#This Row],[Failure Type]]="Sawshop",tblDowntime[[#This Row],[Failure Type]]="Electrical",tblDowntime[[#This Row],[Failure Type]]="Mechanical"),tblDowntime[[#This Row],[Downtime Hours]],"")</f>
        <v/>
      </c>
      <c r="K803" s="10" t="n"/>
      <c r="L803" s="10" t="n"/>
      <c r="M803">
        <f>IF(tblDowntime[[#This Row],[Maintenance Downtime Hours]]="","",tblDowntime[[#This Row],[Equipment ID]])</f>
        <v/>
      </c>
      <c r="N803" s="1">
        <f>IF(tblDowntime[[#This Row],[Failure Type]]="Production",tblDowntime[[#This Row],[Downtime Hours]],"")</f>
        <v/>
      </c>
      <c r="O803">
        <f>IF(tblDowntime[[#This Row],[Production Downtime Hours]]="","",tblDowntime[[#This Row],[Equipment ID]])</f>
        <v/>
      </c>
      <c r="P803" s="10" t="n"/>
    </row>
    <row r="804">
      <c r="B804">
        <f t="array" ref="B804">_xlfn.XLOOKUP(C804,INDIRECT("tblEquipment[Equipment ID]"),INDIRECT("tblEquipment[Production Department]"),"")</f>
        <v/>
      </c>
      <c r="D804">
        <f t="array" ref="D804">_xlfn.XLOOKUP(C804,INDIRECT("tblEquipment[Equipment ID]"),INDIRECT("tblEquipment[Equipment Name]"),"")</f>
        <v/>
      </c>
      <c r="F804" s="16" t="n"/>
      <c r="G804" s="16" t="n"/>
      <c r="H804" s="1">
        <f>IF(OR(F804=0,G804=0),"",(G804-F804)*24)</f>
        <v/>
      </c>
      <c r="I804" s="10" t="n"/>
      <c r="J804" s="1">
        <f>IF(OR(tblDowntime[[#This Row],[Failure Type]]="Sawshop",tblDowntime[[#This Row],[Failure Type]]="Electrical",tblDowntime[[#This Row],[Failure Type]]="Mechanical"),tblDowntime[[#This Row],[Downtime Hours]],"")</f>
        <v/>
      </c>
      <c r="K804" s="10" t="n"/>
      <c r="L804" s="10" t="n"/>
      <c r="M804">
        <f>IF(tblDowntime[[#This Row],[Maintenance Downtime Hours]]="","",tblDowntime[[#This Row],[Equipment ID]])</f>
        <v/>
      </c>
      <c r="N804" s="1">
        <f>IF(tblDowntime[[#This Row],[Failure Type]]="Production",tblDowntime[[#This Row],[Downtime Hours]],"")</f>
        <v/>
      </c>
      <c r="O804">
        <f>IF(tblDowntime[[#This Row],[Production Downtime Hours]]="","",tblDowntime[[#This Row],[Equipment ID]])</f>
        <v/>
      </c>
      <c r="P804" s="10" t="n"/>
    </row>
    <row r="805">
      <c r="B805">
        <f t="array" ref="B805">_xlfn.XLOOKUP(C805,INDIRECT("tblEquipment[Equipment ID]"),INDIRECT("tblEquipment[Production Department]"),"")</f>
        <v/>
      </c>
      <c r="D805">
        <f t="array" ref="D805">_xlfn.XLOOKUP(C805,INDIRECT("tblEquipment[Equipment ID]"),INDIRECT("tblEquipment[Equipment Name]"),"")</f>
        <v/>
      </c>
      <c r="F805" s="16" t="n"/>
      <c r="G805" s="16" t="n"/>
      <c r="H805" s="1">
        <f>IF(OR(F805=0,G805=0),"",(G805-F805)*24)</f>
        <v/>
      </c>
      <c r="I805" s="10" t="n"/>
      <c r="J805" s="1">
        <f>IF(OR(tblDowntime[[#This Row],[Failure Type]]="Sawshop",tblDowntime[[#This Row],[Failure Type]]="Electrical",tblDowntime[[#This Row],[Failure Type]]="Mechanical"),tblDowntime[[#This Row],[Downtime Hours]],"")</f>
        <v/>
      </c>
      <c r="K805" s="10" t="n"/>
      <c r="L805" s="10" t="n"/>
      <c r="M805">
        <f>IF(tblDowntime[[#This Row],[Maintenance Downtime Hours]]="","",tblDowntime[[#This Row],[Equipment ID]])</f>
        <v/>
      </c>
      <c r="N805" s="1">
        <f>IF(tblDowntime[[#This Row],[Failure Type]]="Production",tblDowntime[[#This Row],[Downtime Hours]],"")</f>
        <v/>
      </c>
      <c r="O805">
        <f>IF(tblDowntime[[#This Row],[Production Downtime Hours]]="","",tblDowntime[[#This Row],[Equipment ID]])</f>
        <v/>
      </c>
      <c r="P805" s="10" t="n"/>
    </row>
    <row r="806">
      <c r="B806">
        <f t="array" ref="B806">_xlfn.XLOOKUP(C806,INDIRECT("tblEquipment[Equipment ID]"),INDIRECT("tblEquipment[Production Department]"),"")</f>
        <v/>
      </c>
      <c r="D806">
        <f t="array" ref="D806">_xlfn.XLOOKUP(C806,INDIRECT("tblEquipment[Equipment ID]"),INDIRECT("tblEquipment[Equipment Name]"),"")</f>
        <v/>
      </c>
      <c r="F806" s="16" t="n"/>
      <c r="G806" s="16" t="n"/>
      <c r="H806" s="1">
        <f>IF(OR(F806=0,G806=0),"",(G806-F806)*24)</f>
        <v/>
      </c>
      <c r="I806" s="10" t="n"/>
      <c r="J806" s="1">
        <f>IF(OR(tblDowntime[[#This Row],[Failure Type]]="Sawshop",tblDowntime[[#This Row],[Failure Type]]="Electrical",tblDowntime[[#This Row],[Failure Type]]="Mechanical"),tblDowntime[[#This Row],[Downtime Hours]],"")</f>
        <v/>
      </c>
      <c r="K806" s="10" t="n"/>
      <c r="L806" s="10" t="n"/>
      <c r="M806">
        <f>IF(tblDowntime[[#This Row],[Maintenance Downtime Hours]]="","",tblDowntime[[#This Row],[Equipment ID]])</f>
        <v/>
      </c>
      <c r="N806" s="1">
        <f>IF(tblDowntime[[#This Row],[Failure Type]]="Production",tblDowntime[[#This Row],[Downtime Hours]],"")</f>
        <v/>
      </c>
      <c r="O806">
        <f>IF(tblDowntime[[#This Row],[Production Downtime Hours]]="","",tblDowntime[[#This Row],[Equipment ID]])</f>
        <v/>
      </c>
      <c r="P806" s="10" t="n"/>
    </row>
    <row r="807">
      <c r="B807">
        <f t="array" ref="B807">_xlfn.XLOOKUP(C807,INDIRECT("tblEquipment[Equipment ID]"),INDIRECT("tblEquipment[Production Department]"),"")</f>
        <v/>
      </c>
      <c r="D807">
        <f t="array" ref="D807">_xlfn.XLOOKUP(C807,INDIRECT("tblEquipment[Equipment ID]"),INDIRECT("tblEquipment[Equipment Name]"),"")</f>
        <v/>
      </c>
      <c r="F807" s="16" t="n"/>
      <c r="G807" s="16" t="n"/>
      <c r="H807" s="1">
        <f>IF(OR(F807=0,G807=0),"",(G807-F807)*24)</f>
        <v/>
      </c>
      <c r="I807" s="10" t="n"/>
      <c r="J807" s="1">
        <f>IF(OR(tblDowntime[[#This Row],[Failure Type]]="Sawshop",tblDowntime[[#This Row],[Failure Type]]="Electrical",tblDowntime[[#This Row],[Failure Type]]="Mechanical"),tblDowntime[[#This Row],[Downtime Hours]],"")</f>
        <v/>
      </c>
      <c r="K807" s="10" t="n"/>
      <c r="L807" s="10" t="n"/>
      <c r="M807">
        <f>IF(tblDowntime[[#This Row],[Maintenance Downtime Hours]]="","",tblDowntime[[#This Row],[Equipment ID]])</f>
        <v/>
      </c>
      <c r="N807" s="1">
        <f>IF(tblDowntime[[#This Row],[Failure Type]]="Production",tblDowntime[[#This Row],[Downtime Hours]],"")</f>
        <v/>
      </c>
      <c r="O807">
        <f>IF(tblDowntime[[#This Row],[Production Downtime Hours]]="","",tblDowntime[[#This Row],[Equipment ID]])</f>
        <v/>
      </c>
      <c r="P807" s="10" t="n"/>
    </row>
    <row r="808">
      <c r="B808">
        <f t="array" ref="B808">_xlfn.XLOOKUP(C808,INDIRECT("tblEquipment[Equipment ID]"),INDIRECT("tblEquipment[Production Department]"),"")</f>
        <v/>
      </c>
      <c r="D808">
        <f t="array" ref="D808">_xlfn.XLOOKUP(C808,INDIRECT("tblEquipment[Equipment ID]"),INDIRECT("tblEquipment[Equipment Name]"),"")</f>
        <v/>
      </c>
      <c r="F808" s="16" t="n"/>
      <c r="G808" s="16" t="n"/>
      <c r="H808" s="1">
        <f>IF(OR(F808=0,G808=0),"",(G808-F808)*24)</f>
        <v/>
      </c>
      <c r="I808" s="10" t="n"/>
      <c r="J808" s="1">
        <f>IF(OR(tblDowntime[[#This Row],[Failure Type]]="Sawshop",tblDowntime[[#This Row],[Failure Type]]="Electrical",tblDowntime[[#This Row],[Failure Type]]="Mechanical"),tblDowntime[[#This Row],[Downtime Hours]],"")</f>
        <v/>
      </c>
      <c r="K808" s="10" t="n"/>
      <c r="L808" s="10" t="n"/>
      <c r="M808">
        <f>IF(tblDowntime[[#This Row],[Maintenance Downtime Hours]]="","",tblDowntime[[#This Row],[Equipment ID]])</f>
        <v/>
      </c>
      <c r="N808" s="1">
        <f>IF(tblDowntime[[#This Row],[Failure Type]]="Production",tblDowntime[[#This Row],[Downtime Hours]],"")</f>
        <v/>
      </c>
      <c r="O808">
        <f>IF(tblDowntime[[#This Row],[Production Downtime Hours]]="","",tblDowntime[[#This Row],[Equipment ID]])</f>
        <v/>
      </c>
      <c r="P808" s="10" t="n"/>
    </row>
    <row r="809">
      <c r="B809">
        <f t="array" ref="B809">_xlfn.XLOOKUP(C809,INDIRECT("tblEquipment[Equipment ID]"),INDIRECT("tblEquipment[Production Department]"),"")</f>
        <v/>
      </c>
      <c r="D809">
        <f t="array" ref="D809">_xlfn.XLOOKUP(C809,INDIRECT("tblEquipment[Equipment ID]"),INDIRECT("tblEquipment[Equipment Name]"),"")</f>
        <v/>
      </c>
      <c r="F809" s="16" t="n"/>
      <c r="G809" s="16" t="n"/>
      <c r="H809" s="1">
        <f>IF(OR(F809=0,G809=0),"",(G809-F809)*24)</f>
        <v/>
      </c>
      <c r="I809" s="10" t="n"/>
      <c r="J809" s="1">
        <f>IF(OR(tblDowntime[[#This Row],[Failure Type]]="Sawshop",tblDowntime[[#This Row],[Failure Type]]="Electrical",tblDowntime[[#This Row],[Failure Type]]="Mechanical"),tblDowntime[[#This Row],[Downtime Hours]],"")</f>
        <v/>
      </c>
      <c r="K809" s="10" t="n"/>
      <c r="L809" s="10" t="n"/>
      <c r="M809">
        <f>IF(tblDowntime[[#This Row],[Maintenance Downtime Hours]]="","",tblDowntime[[#This Row],[Equipment ID]])</f>
        <v/>
      </c>
      <c r="N809" s="1">
        <f>IF(tblDowntime[[#This Row],[Failure Type]]="Production",tblDowntime[[#This Row],[Downtime Hours]],"")</f>
        <v/>
      </c>
      <c r="O809">
        <f>IF(tblDowntime[[#This Row],[Production Downtime Hours]]="","",tblDowntime[[#This Row],[Equipment ID]])</f>
        <v/>
      </c>
      <c r="P809" s="10" t="n"/>
    </row>
    <row r="810">
      <c r="B810">
        <f t="array" ref="B810">_xlfn.XLOOKUP(C810,INDIRECT("tblEquipment[Equipment ID]"),INDIRECT("tblEquipment[Production Department]"),"")</f>
        <v/>
      </c>
      <c r="D810">
        <f t="array" ref="D810">_xlfn.XLOOKUP(C810,INDIRECT("tblEquipment[Equipment ID]"),INDIRECT("tblEquipment[Equipment Name]"),"")</f>
        <v/>
      </c>
      <c r="F810" s="16" t="n"/>
      <c r="G810" s="16" t="n"/>
      <c r="H810" s="1">
        <f>IF(OR(F810=0,G810=0),"",(G810-F810)*24)</f>
        <v/>
      </c>
      <c r="I810" s="10" t="n"/>
      <c r="J810" s="1">
        <f>IF(OR(tblDowntime[[#This Row],[Failure Type]]="Sawshop",tblDowntime[[#This Row],[Failure Type]]="Electrical",tblDowntime[[#This Row],[Failure Type]]="Mechanical"),tblDowntime[[#This Row],[Downtime Hours]],"")</f>
        <v/>
      </c>
      <c r="K810" s="10" t="n"/>
      <c r="L810" s="10" t="n"/>
      <c r="M810">
        <f>IF(tblDowntime[[#This Row],[Maintenance Downtime Hours]]="","",tblDowntime[[#This Row],[Equipment ID]])</f>
        <v/>
      </c>
      <c r="N810" s="1">
        <f>IF(tblDowntime[[#This Row],[Failure Type]]="Production",tblDowntime[[#This Row],[Downtime Hours]],"")</f>
        <v/>
      </c>
      <c r="O810">
        <f>IF(tblDowntime[[#This Row],[Production Downtime Hours]]="","",tblDowntime[[#This Row],[Equipment ID]])</f>
        <v/>
      </c>
      <c r="P810" s="10" t="n"/>
    </row>
    <row r="811">
      <c r="B811">
        <f t="array" ref="B811">_xlfn.XLOOKUP(C811,INDIRECT("tblEquipment[Equipment ID]"),INDIRECT("tblEquipment[Production Department]"),"")</f>
        <v/>
      </c>
      <c r="D811">
        <f t="array" ref="D811">_xlfn.XLOOKUP(C811,INDIRECT("tblEquipment[Equipment ID]"),INDIRECT("tblEquipment[Equipment Name]"),"")</f>
        <v/>
      </c>
      <c r="F811" s="16" t="n"/>
      <c r="G811" s="16" t="n"/>
      <c r="H811" s="1">
        <f>IF(OR(F811=0,G811=0),"",(G811-F811)*24)</f>
        <v/>
      </c>
      <c r="I811" s="10" t="n"/>
      <c r="J811" s="1">
        <f>IF(OR(tblDowntime[[#This Row],[Failure Type]]="Sawshop",tblDowntime[[#This Row],[Failure Type]]="Electrical",tblDowntime[[#This Row],[Failure Type]]="Mechanical"),tblDowntime[[#This Row],[Downtime Hours]],"")</f>
        <v/>
      </c>
      <c r="K811" s="10" t="n"/>
      <c r="L811" s="10" t="n"/>
      <c r="M811">
        <f>IF(tblDowntime[[#This Row],[Maintenance Downtime Hours]]="","",tblDowntime[[#This Row],[Equipment ID]])</f>
        <v/>
      </c>
      <c r="N811" s="1">
        <f>IF(tblDowntime[[#This Row],[Failure Type]]="Production",tblDowntime[[#This Row],[Downtime Hours]],"")</f>
        <v/>
      </c>
      <c r="O811">
        <f>IF(tblDowntime[[#This Row],[Production Downtime Hours]]="","",tblDowntime[[#This Row],[Equipment ID]])</f>
        <v/>
      </c>
      <c r="P811" s="10" t="n"/>
    </row>
    <row r="812">
      <c r="B812">
        <f t="array" ref="B812">_xlfn.XLOOKUP(C812,INDIRECT("tblEquipment[Equipment ID]"),INDIRECT("tblEquipment[Production Department]"),"")</f>
        <v/>
      </c>
      <c r="D812">
        <f t="array" ref="D812">_xlfn.XLOOKUP(C812,INDIRECT("tblEquipment[Equipment ID]"),INDIRECT("tblEquipment[Equipment Name]"),"")</f>
        <v/>
      </c>
      <c r="F812" s="16" t="n"/>
      <c r="G812" s="16" t="n"/>
      <c r="H812" s="1">
        <f>IF(OR(F812=0,G812=0),"",(G812-F812)*24)</f>
        <v/>
      </c>
      <c r="I812" s="10" t="n"/>
      <c r="J812" s="1">
        <f>IF(OR(tblDowntime[[#This Row],[Failure Type]]="Sawshop",tblDowntime[[#This Row],[Failure Type]]="Electrical",tblDowntime[[#This Row],[Failure Type]]="Mechanical"),tblDowntime[[#This Row],[Downtime Hours]],"")</f>
        <v/>
      </c>
      <c r="K812" s="10" t="n"/>
      <c r="L812" s="10" t="n"/>
      <c r="M812">
        <f>IF(tblDowntime[[#This Row],[Maintenance Downtime Hours]]="","",tblDowntime[[#This Row],[Equipment ID]])</f>
        <v/>
      </c>
      <c r="N812" s="1">
        <f>IF(tblDowntime[[#This Row],[Failure Type]]="Production",tblDowntime[[#This Row],[Downtime Hours]],"")</f>
        <v/>
      </c>
      <c r="O812">
        <f>IF(tblDowntime[[#This Row],[Production Downtime Hours]]="","",tblDowntime[[#This Row],[Equipment ID]])</f>
        <v/>
      </c>
      <c r="P812" s="10" t="n"/>
    </row>
    <row r="813">
      <c r="B813">
        <f t="array" ref="B813">_xlfn.XLOOKUP(C813,INDIRECT("tblEquipment[Equipment ID]"),INDIRECT("tblEquipment[Production Department]"),"")</f>
        <v/>
      </c>
      <c r="D813">
        <f t="array" ref="D813">_xlfn.XLOOKUP(C813,INDIRECT("tblEquipment[Equipment ID]"),INDIRECT("tblEquipment[Equipment Name]"),"")</f>
        <v/>
      </c>
      <c r="F813" s="16" t="n"/>
      <c r="G813" s="16" t="n"/>
      <c r="H813" s="1">
        <f>IF(OR(F813=0,G813=0),"",(G813-F813)*24)</f>
        <v/>
      </c>
      <c r="I813" s="10" t="n"/>
      <c r="J813" s="1">
        <f>IF(OR(tblDowntime[[#This Row],[Failure Type]]="Sawshop",tblDowntime[[#This Row],[Failure Type]]="Electrical",tblDowntime[[#This Row],[Failure Type]]="Mechanical"),tblDowntime[[#This Row],[Downtime Hours]],"")</f>
        <v/>
      </c>
      <c r="K813" s="10" t="n"/>
      <c r="L813" s="10" t="n"/>
      <c r="M813">
        <f>IF(tblDowntime[[#This Row],[Maintenance Downtime Hours]]="","",tblDowntime[[#This Row],[Equipment ID]])</f>
        <v/>
      </c>
      <c r="N813" s="1">
        <f>IF(tblDowntime[[#This Row],[Failure Type]]="Production",tblDowntime[[#This Row],[Downtime Hours]],"")</f>
        <v/>
      </c>
      <c r="O813">
        <f>IF(tblDowntime[[#This Row],[Production Downtime Hours]]="","",tblDowntime[[#This Row],[Equipment ID]])</f>
        <v/>
      </c>
      <c r="P813" s="10" t="n"/>
    </row>
    <row r="814">
      <c r="B814">
        <f t="array" ref="B814">_xlfn.XLOOKUP(C814,INDIRECT("tblEquipment[Equipment ID]"),INDIRECT("tblEquipment[Production Department]"),"")</f>
        <v/>
      </c>
      <c r="D814">
        <f t="array" ref="D814">_xlfn.XLOOKUP(C814,INDIRECT("tblEquipment[Equipment ID]"),INDIRECT("tblEquipment[Equipment Name]"),"")</f>
        <v/>
      </c>
      <c r="F814" s="16" t="n"/>
      <c r="G814" s="16" t="n"/>
      <c r="H814" s="1">
        <f>IF(OR(F814=0,G814=0),"",(G814-F814)*24)</f>
        <v/>
      </c>
      <c r="I814" s="10" t="n"/>
      <c r="J814" s="1">
        <f>IF(OR(tblDowntime[[#This Row],[Failure Type]]="Sawshop",tblDowntime[[#This Row],[Failure Type]]="Electrical",tblDowntime[[#This Row],[Failure Type]]="Mechanical"),tblDowntime[[#This Row],[Downtime Hours]],"")</f>
        <v/>
      </c>
      <c r="K814" s="10" t="n"/>
      <c r="L814" s="10" t="n"/>
      <c r="M814">
        <f>IF(tblDowntime[[#This Row],[Maintenance Downtime Hours]]="","",tblDowntime[[#This Row],[Equipment ID]])</f>
        <v/>
      </c>
      <c r="N814" s="1">
        <f>IF(tblDowntime[[#This Row],[Failure Type]]="Production",tblDowntime[[#This Row],[Downtime Hours]],"")</f>
        <v/>
      </c>
      <c r="O814">
        <f>IF(tblDowntime[[#This Row],[Production Downtime Hours]]="","",tblDowntime[[#This Row],[Equipment ID]])</f>
        <v/>
      </c>
      <c r="P814" s="10" t="n"/>
    </row>
    <row r="815">
      <c r="B815">
        <f t="array" ref="B815">_xlfn.XLOOKUP(C815,INDIRECT("tblEquipment[Equipment ID]"),INDIRECT("tblEquipment[Production Department]"),"")</f>
        <v/>
      </c>
      <c r="D815">
        <f t="array" ref="D815">_xlfn.XLOOKUP(C815,INDIRECT("tblEquipment[Equipment ID]"),INDIRECT("tblEquipment[Equipment Name]"),"")</f>
        <v/>
      </c>
      <c r="F815" s="16" t="n"/>
      <c r="G815" s="16" t="n"/>
      <c r="H815" s="1">
        <f>IF(OR(F815=0,G815=0),"",(G815-F815)*24)</f>
        <v/>
      </c>
      <c r="I815" s="10" t="n"/>
      <c r="J815" s="1">
        <f>IF(OR(tblDowntime[[#This Row],[Failure Type]]="Sawshop",tblDowntime[[#This Row],[Failure Type]]="Electrical",tblDowntime[[#This Row],[Failure Type]]="Mechanical"),tblDowntime[[#This Row],[Downtime Hours]],"")</f>
        <v/>
      </c>
      <c r="K815" s="10" t="n"/>
      <c r="L815" s="10" t="n"/>
      <c r="M815">
        <f>IF(tblDowntime[[#This Row],[Maintenance Downtime Hours]]="","",tblDowntime[[#This Row],[Equipment ID]])</f>
        <v/>
      </c>
      <c r="N815" s="1">
        <f>IF(tblDowntime[[#This Row],[Failure Type]]="Production",tblDowntime[[#This Row],[Downtime Hours]],"")</f>
        <v/>
      </c>
      <c r="O815">
        <f>IF(tblDowntime[[#This Row],[Production Downtime Hours]]="","",tblDowntime[[#This Row],[Equipment ID]])</f>
        <v/>
      </c>
      <c r="P815" s="10" t="n"/>
    </row>
    <row r="816">
      <c r="B816">
        <f t="array" ref="B816">_xlfn.XLOOKUP(C816,INDIRECT("tblEquipment[Equipment ID]"),INDIRECT("tblEquipment[Production Department]"),"")</f>
        <v/>
      </c>
      <c r="D816">
        <f t="array" ref="D816">_xlfn.XLOOKUP(C816,INDIRECT("tblEquipment[Equipment ID]"),INDIRECT("tblEquipment[Equipment Name]"),"")</f>
        <v/>
      </c>
      <c r="F816" s="16" t="n"/>
      <c r="G816" s="16" t="n"/>
      <c r="H816" s="1">
        <f>IF(OR(F816=0,G816=0),"",(G816-F816)*24)</f>
        <v/>
      </c>
      <c r="I816" s="10" t="n"/>
      <c r="J816" s="1">
        <f>IF(OR(tblDowntime[[#This Row],[Failure Type]]="Sawshop",tblDowntime[[#This Row],[Failure Type]]="Electrical",tblDowntime[[#This Row],[Failure Type]]="Mechanical"),tblDowntime[[#This Row],[Downtime Hours]],"")</f>
        <v/>
      </c>
      <c r="K816" s="10" t="n"/>
      <c r="L816" s="10" t="n"/>
      <c r="M816">
        <f>IF(tblDowntime[[#This Row],[Maintenance Downtime Hours]]="","",tblDowntime[[#This Row],[Equipment ID]])</f>
        <v/>
      </c>
      <c r="N816" s="1">
        <f>IF(tblDowntime[[#This Row],[Failure Type]]="Production",tblDowntime[[#This Row],[Downtime Hours]],"")</f>
        <v/>
      </c>
      <c r="O816">
        <f>IF(tblDowntime[[#This Row],[Production Downtime Hours]]="","",tblDowntime[[#This Row],[Equipment ID]])</f>
        <v/>
      </c>
      <c r="P816" s="10" t="n"/>
    </row>
    <row r="817">
      <c r="B817">
        <f t="array" ref="B817">_xlfn.XLOOKUP(C817,INDIRECT("tblEquipment[Equipment ID]"),INDIRECT("tblEquipment[Production Department]"),"")</f>
        <v/>
      </c>
      <c r="D817">
        <f t="array" ref="D817">_xlfn.XLOOKUP(C817,INDIRECT("tblEquipment[Equipment ID]"),INDIRECT("tblEquipment[Equipment Name]"),"")</f>
        <v/>
      </c>
      <c r="F817" s="16" t="n"/>
      <c r="G817" s="16" t="n"/>
      <c r="H817" s="1">
        <f>IF(OR(F817=0,G817=0),"",(G817-F817)*24)</f>
        <v/>
      </c>
      <c r="I817" s="10" t="n"/>
      <c r="J817" s="1">
        <f>IF(OR(tblDowntime[[#This Row],[Failure Type]]="Sawshop",tblDowntime[[#This Row],[Failure Type]]="Electrical",tblDowntime[[#This Row],[Failure Type]]="Mechanical"),tblDowntime[[#This Row],[Downtime Hours]],"")</f>
        <v/>
      </c>
      <c r="K817" s="10" t="n"/>
      <c r="L817" s="10" t="n"/>
      <c r="M817">
        <f>IF(tblDowntime[[#This Row],[Maintenance Downtime Hours]]="","",tblDowntime[[#This Row],[Equipment ID]])</f>
        <v/>
      </c>
      <c r="N817" s="1">
        <f>IF(tblDowntime[[#This Row],[Failure Type]]="Production",tblDowntime[[#This Row],[Downtime Hours]],"")</f>
        <v/>
      </c>
      <c r="O817">
        <f>IF(tblDowntime[[#This Row],[Production Downtime Hours]]="","",tblDowntime[[#This Row],[Equipment ID]])</f>
        <v/>
      </c>
      <c r="P817" s="10" t="n"/>
    </row>
    <row r="818">
      <c r="B818">
        <f t="array" ref="B818">_xlfn.XLOOKUP(C818,INDIRECT("tblEquipment[Equipment ID]"),INDIRECT("tblEquipment[Production Department]"),"")</f>
        <v/>
      </c>
      <c r="D818">
        <f t="array" ref="D818">_xlfn.XLOOKUP(C818,INDIRECT("tblEquipment[Equipment ID]"),INDIRECT("tblEquipment[Equipment Name]"),"")</f>
        <v/>
      </c>
      <c r="F818" s="16" t="n"/>
      <c r="G818" s="16" t="n"/>
      <c r="H818" s="1">
        <f>IF(OR(F818=0,G818=0),"",(G818-F818)*24)</f>
        <v/>
      </c>
      <c r="I818" s="10" t="n"/>
      <c r="J818" s="1">
        <f>IF(OR(tblDowntime[[#This Row],[Failure Type]]="Sawshop",tblDowntime[[#This Row],[Failure Type]]="Electrical",tblDowntime[[#This Row],[Failure Type]]="Mechanical"),tblDowntime[[#This Row],[Downtime Hours]],"")</f>
        <v/>
      </c>
      <c r="K818" s="10" t="n"/>
      <c r="L818" s="10" t="n"/>
      <c r="M818">
        <f>IF(tblDowntime[[#This Row],[Maintenance Downtime Hours]]="","",tblDowntime[[#This Row],[Equipment ID]])</f>
        <v/>
      </c>
      <c r="N818" s="1">
        <f>IF(tblDowntime[[#This Row],[Failure Type]]="Production",tblDowntime[[#This Row],[Downtime Hours]],"")</f>
        <v/>
      </c>
      <c r="O818">
        <f>IF(tblDowntime[[#This Row],[Production Downtime Hours]]="","",tblDowntime[[#This Row],[Equipment ID]])</f>
        <v/>
      </c>
      <c r="P818" s="10" t="n"/>
    </row>
    <row r="819">
      <c r="B819">
        <f t="array" ref="B819">_xlfn.XLOOKUP(C819,INDIRECT("tblEquipment[Equipment ID]"),INDIRECT("tblEquipment[Production Department]"),"")</f>
        <v/>
      </c>
      <c r="D819">
        <f t="array" ref="D819">_xlfn.XLOOKUP(C819,INDIRECT("tblEquipment[Equipment ID]"),INDIRECT("tblEquipment[Equipment Name]"),"")</f>
        <v/>
      </c>
      <c r="F819" s="16" t="n"/>
      <c r="G819" s="16" t="n"/>
      <c r="H819" s="1">
        <f>IF(OR(F819=0,G819=0),"",(G819-F819)*24)</f>
        <v/>
      </c>
      <c r="I819" s="10" t="n"/>
      <c r="J819" s="1">
        <f>IF(OR(tblDowntime[[#This Row],[Failure Type]]="Sawshop",tblDowntime[[#This Row],[Failure Type]]="Electrical",tblDowntime[[#This Row],[Failure Type]]="Mechanical"),tblDowntime[[#This Row],[Downtime Hours]],"")</f>
        <v/>
      </c>
      <c r="K819" s="10" t="n"/>
      <c r="L819" s="10" t="n"/>
      <c r="M819">
        <f>IF(tblDowntime[[#This Row],[Maintenance Downtime Hours]]="","",tblDowntime[[#This Row],[Equipment ID]])</f>
        <v/>
      </c>
      <c r="N819" s="1">
        <f>IF(tblDowntime[[#This Row],[Failure Type]]="Production",tblDowntime[[#This Row],[Downtime Hours]],"")</f>
        <v/>
      </c>
      <c r="O819">
        <f>IF(tblDowntime[[#This Row],[Production Downtime Hours]]="","",tblDowntime[[#This Row],[Equipment ID]])</f>
        <v/>
      </c>
      <c r="P819" s="10" t="n"/>
    </row>
    <row r="820">
      <c r="B820">
        <f t="array" ref="B820">_xlfn.XLOOKUP(C820,INDIRECT("tblEquipment[Equipment ID]"),INDIRECT("tblEquipment[Production Department]"),"")</f>
        <v/>
      </c>
      <c r="D820">
        <f t="array" ref="D820">_xlfn.XLOOKUP(C820,INDIRECT("tblEquipment[Equipment ID]"),INDIRECT("tblEquipment[Equipment Name]"),"")</f>
        <v/>
      </c>
      <c r="F820" s="16" t="n"/>
      <c r="G820" s="16" t="n"/>
      <c r="H820" s="1">
        <f>IF(OR(F820=0,G820=0),"",(G820-F820)*24)</f>
        <v/>
      </c>
      <c r="I820" s="10" t="n"/>
      <c r="J820" s="1">
        <f>IF(OR(tblDowntime[[#This Row],[Failure Type]]="Sawshop",tblDowntime[[#This Row],[Failure Type]]="Electrical",tblDowntime[[#This Row],[Failure Type]]="Mechanical"),tblDowntime[[#This Row],[Downtime Hours]],"")</f>
        <v/>
      </c>
      <c r="K820" s="10" t="n"/>
      <c r="L820" s="10" t="n"/>
      <c r="M820">
        <f>IF(tblDowntime[[#This Row],[Maintenance Downtime Hours]]="","",tblDowntime[[#This Row],[Equipment ID]])</f>
        <v/>
      </c>
      <c r="N820" s="1">
        <f>IF(tblDowntime[[#This Row],[Failure Type]]="Production",tblDowntime[[#This Row],[Downtime Hours]],"")</f>
        <v/>
      </c>
      <c r="O820">
        <f>IF(tblDowntime[[#This Row],[Production Downtime Hours]]="","",tblDowntime[[#This Row],[Equipment ID]])</f>
        <v/>
      </c>
      <c r="P820" s="10" t="n"/>
    </row>
    <row r="821">
      <c r="B821">
        <f t="array" ref="B821">_xlfn.XLOOKUP(C821,INDIRECT("tblEquipment[Equipment ID]"),INDIRECT("tblEquipment[Production Department]"),"")</f>
        <v/>
      </c>
      <c r="D821">
        <f t="array" ref="D821">_xlfn.XLOOKUP(C821,INDIRECT("tblEquipment[Equipment ID]"),INDIRECT("tblEquipment[Equipment Name]"),"")</f>
        <v/>
      </c>
      <c r="F821" s="16" t="n"/>
      <c r="G821" s="16" t="n"/>
      <c r="H821" s="1">
        <f>IF(OR(F821=0,G821=0),"",(G821-F821)*24)</f>
        <v/>
      </c>
      <c r="I821" s="10" t="n"/>
      <c r="J821" s="1">
        <f>IF(OR(tblDowntime[[#This Row],[Failure Type]]="Sawshop",tblDowntime[[#This Row],[Failure Type]]="Electrical",tblDowntime[[#This Row],[Failure Type]]="Mechanical"),tblDowntime[[#This Row],[Downtime Hours]],"")</f>
        <v/>
      </c>
      <c r="K821" s="10" t="n"/>
      <c r="L821" s="10" t="n"/>
      <c r="M821">
        <f>IF(tblDowntime[[#This Row],[Maintenance Downtime Hours]]="","",tblDowntime[[#This Row],[Equipment ID]])</f>
        <v/>
      </c>
      <c r="N821" s="1">
        <f>IF(tblDowntime[[#This Row],[Failure Type]]="Production",tblDowntime[[#This Row],[Downtime Hours]],"")</f>
        <v/>
      </c>
      <c r="O821">
        <f>IF(tblDowntime[[#This Row],[Production Downtime Hours]]="","",tblDowntime[[#This Row],[Equipment ID]])</f>
        <v/>
      </c>
      <c r="P821" s="10" t="n"/>
    </row>
    <row r="822">
      <c r="B822">
        <f t="array" ref="B822">_xlfn.XLOOKUP(C822,INDIRECT("tblEquipment[Equipment ID]"),INDIRECT("tblEquipment[Production Department]"),"")</f>
        <v/>
      </c>
      <c r="D822">
        <f t="array" ref="D822">_xlfn.XLOOKUP(C822,INDIRECT("tblEquipment[Equipment ID]"),INDIRECT("tblEquipment[Equipment Name]"),"")</f>
        <v/>
      </c>
      <c r="F822" s="16" t="n"/>
      <c r="G822" s="16" t="n"/>
      <c r="H822" s="1">
        <f>IF(OR(F822=0,G822=0),"",(G822-F822)*24)</f>
        <v/>
      </c>
      <c r="I822" s="10" t="n"/>
      <c r="J822" s="1">
        <f>IF(OR(tblDowntime[[#This Row],[Failure Type]]="Sawshop",tblDowntime[[#This Row],[Failure Type]]="Electrical",tblDowntime[[#This Row],[Failure Type]]="Mechanical"),tblDowntime[[#This Row],[Downtime Hours]],"")</f>
        <v/>
      </c>
      <c r="K822" s="10" t="n"/>
      <c r="L822" s="10" t="n"/>
      <c r="M822">
        <f>IF(tblDowntime[[#This Row],[Maintenance Downtime Hours]]="","",tblDowntime[[#This Row],[Equipment ID]])</f>
        <v/>
      </c>
      <c r="N822" s="1">
        <f>IF(tblDowntime[[#This Row],[Failure Type]]="Production",tblDowntime[[#This Row],[Downtime Hours]],"")</f>
        <v/>
      </c>
      <c r="O822">
        <f>IF(tblDowntime[[#This Row],[Production Downtime Hours]]="","",tblDowntime[[#This Row],[Equipment ID]])</f>
        <v/>
      </c>
      <c r="P822" s="10" t="n"/>
    </row>
    <row r="823">
      <c r="B823">
        <f t="array" ref="B823">_xlfn.XLOOKUP(C823,INDIRECT("tblEquipment[Equipment ID]"),INDIRECT("tblEquipment[Production Department]"),"")</f>
        <v/>
      </c>
      <c r="D823">
        <f t="array" ref="D823">_xlfn.XLOOKUP(C823,INDIRECT("tblEquipment[Equipment ID]"),INDIRECT("tblEquipment[Equipment Name]"),"")</f>
        <v/>
      </c>
      <c r="F823" s="16" t="n"/>
      <c r="G823" s="16" t="n"/>
      <c r="H823" s="1">
        <f>IF(OR(F823=0,G823=0),"",(G823-F823)*24)</f>
        <v/>
      </c>
      <c r="I823" s="10" t="n"/>
      <c r="J823" s="1">
        <f>IF(OR(tblDowntime[[#This Row],[Failure Type]]="Sawshop",tblDowntime[[#This Row],[Failure Type]]="Electrical",tblDowntime[[#This Row],[Failure Type]]="Mechanical"),tblDowntime[[#This Row],[Downtime Hours]],"")</f>
        <v/>
      </c>
      <c r="K823" s="10" t="n"/>
      <c r="L823" s="10" t="n"/>
      <c r="M823">
        <f>IF(tblDowntime[[#This Row],[Maintenance Downtime Hours]]="","",tblDowntime[[#This Row],[Equipment ID]])</f>
        <v/>
      </c>
      <c r="N823" s="1">
        <f>IF(tblDowntime[[#This Row],[Failure Type]]="Production",tblDowntime[[#This Row],[Downtime Hours]],"")</f>
        <v/>
      </c>
      <c r="O823">
        <f>IF(tblDowntime[[#This Row],[Production Downtime Hours]]="","",tblDowntime[[#This Row],[Equipment ID]])</f>
        <v/>
      </c>
      <c r="P823" s="10" t="n"/>
    </row>
    <row r="824">
      <c r="B824">
        <f t="array" ref="B824">_xlfn.XLOOKUP(C824,INDIRECT("tblEquipment[Equipment ID]"),INDIRECT("tblEquipment[Production Department]"),"")</f>
        <v/>
      </c>
      <c r="D824">
        <f t="array" ref="D824">_xlfn.XLOOKUP(C824,INDIRECT("tblEquipment[Equipment ID]"),INDIRECT("tblEquipment[Equipment Name]"),"")</f>
        <v/>
      </c>
      <c r="F824" s="16" t="n"/>
      <c r="G824" s="16" t="n"/>
      <c r="H824" s="1">
        <f>IF(OR(F824=0,G824=0),"",(G824-F824)*24)</f>
        <v/>
      </c>
      <c r="I824" s="10" t="n"/>
      <c r="J824" s="1">
        <f>IF(OR(tblDowntime[[#This Row],[Failure Type]]="Sawshop",tblDowntime[[#This Row],[Failure Type]]="Electrical",tblDowntime[[#This Row],[Failure Type]]="Mechanical"),tblDowntime[[#This Row],[Downtime Hours]],"")</f>
        <v/>
      </c>
      <c r="K824" s="10" t="n"/>
      <c r="L824" s="10" t="n"/>
      <c r="M824">
        <f>IF(tblDowntime[[#This Row],[Maintenance Downtime Hours]]="","",tblDowntime[[#This Row],[Equipment ID]])</f>
        <v/>
      </c>
      <c r="N824" s="1">
        <f>IF(tblDowntime[[#This Row],[Failure Type]]="Production",tblDowntime[[#This Row],[Downtime Hours]],"")</f>
        <v/>
      </c>
      <c r="O824">
        <f>IF(tblDowntime[[#This Row],[Production Downtime Hours]]="","",tblDowntime[[#This Row],[Equipment ID]])</f>
        <v/>
      </c>
      <c r="P824" s="10" t="n"/>
    </row>
    <row r="825">
      <c r="B825">
        <f t="array" ref="B825">_xlfn.XLOOKUP(C825,INDIRECT("tblEquipment[Equipment ID]"),INDIRECT("tblEquipment[Production Department]"),"")</f>
        <v/>
      </c>
      <c r="D825">
        <f t="array" ref="D825">_xlfn.XLOOKUP(C825,INDIRECT("tblEquipment[Equipment ID]"),INDIRECT("tblEquipment[Equipment Name]"),"")</f>
        <v/>
      </c>
      <c r="F825" s="16" t="n"/>
      <c r="G825" s="16" t="n"/>
      <c r="H825" s="1">
        <f>IF(OR(F825=0,G825=0),"",(G825-F825)*24)</f>
        <v/>
      </c>
      <c r="I825" s="10" t="n"/>
      <c r="J825" s="1">
        <f>IF(OR(tblDowntime[[#This Row],[Failure Type]]="Sawshop",tblDowntime[[#This Row],[Failure Type]]="Electrical",tblDowntime[[#This Row],[Failure Type]]="Mechanical"),tblDowntime[[#This Row],[Downtime Hours]],"")</f>
        <v/>
      </c>
      <c r="K825" s="10" t="n"/>
      <c r="L825" s="10" t="n"/>
      <c r="M825">
        <f>IF(tblDowntime[[#This Row],[Maintenance Downtime Hours]]="","",tblDowntime[[#This Row],[Equipment ID]])</f>
        <v/>
      </c>
      <c r="N825" s="1">
        <f>IF(tblDowntime[[#This Row],[Failure Type]]="Production",tblDowntime[[#This Row],[Downtime Hours]],"")</f>
        <v/>
      </c>
      <c r="O825">
        <f>IF(tblDowntime[[#This Row],[Production Downtime Hours]]="","",tblDowntime[[#This Row],[Equipment ID]])</f>
        <v/>
      </c>
      <c r="P825" s="10" t="n"/>
    </row>
    <row r="826">
      <c r="B826">
        <f t="array" ref="B826">_xlfn.XLOOKUP(C826,INDIRECT("tblEquipment[Equipment ID]"),INDIRECT("tblEquipment[Production Department]"),"")</f>
        <v/>
      </c>
      <c r="D826">
        <f t="array" ref="D826">_xlfn.XLOOKUP(C826,INDIRECT("tblEquipment[Equipment ID]"),INDIRECT("tblEquipment[Equipment Name]"),"")</f>
        <v/>
      </c>
      <c r="F826" s="16" t="n"/>
      <c r="G826" s="16" t="n"/>
      <c r="H826" s="1">
        <f>IF(OR(F826=0,G826=0),"",(G826-F826)*24)</f>
        <v/>
      </c>
      <c r="I826" s="10" t="n"/>
      <c r="J826" s="1">
        <f>IF(OR(tblDowntime[[#This Row],[Failure Type]]="Sawshop",tblDowntime[[#This Row],[Failure Type]]="Electrical",tblDowntime[[#This Row],[Failure Type]]="Mechanical"),tblDowntime[[#This Row],[Downtime Hours]],"")</f>
        <v/>
      </c>
      <c r="K826" s="10" t="n"/>
      <c r="L826" s="10" t="n"/>
      <c r="M826">
        <f>IF(tblDowntime[[#This Row],[Maintenance Downtime Hours]]="","",tblDowntime[[#This Row],[Equipment ID]])</f>
        <v/>
      </c>
      <c r="N826" s="1">
        <f>IF(tblDowntime[[#This Row],[Failure Type]]="Production",tblDowntime[[#This Row],[Downtime Hours]],"")</f>
        <v/>
      </c>
      <c r="O826">
        <f>IF(tblDowntime[[#This Row],[Production Downtime Hours]]="","",tblDowntime[[#This Row],[Equipment ID]])</f>
        <v/>
      </c>
      <c r="P826" s="10" t="n"/>
    </row>
    <row r="827">
      <c r="B827">
        <f t="array" ref="B827">_xlfn.XLOOKUP(C827,INDIRECT("tblEquipment[Equipment ID]"),INDIRECT("tblEquipment[Production Department]"),"")</f>
        <v/>
      </c>
      <c r="D827">
        <f t="array" ref="D827">_xlfn.XLOOKUP(C827,INDIRECT("tblEquipment[Equipment ID]"),INDIRECT("tblEquipment[Equipment Name]"),"")</f>
        <v/>
      </c>
      <c r="F827" s="16" t="n"/>
      <c r="G827" s="16" t="n"/>
      <c r="H827" s="1">
        <f>IF(OR(F827=0,G827=0),"",(G827-F827)*24)</f>
        <v/>
      </c>
      <c r="I827" s="10" t="n"/>
      <c r="J827" s="1">
        <f>IF(OR(tblDowntime[[#This Row],[Failure Type]]="Sawshop",tblDowntime[[#This Row],[Failure Type]]="Electrical",tblDowntime[[#This Row],[Failure Type]]="Mechanical"),tblDowntime[[#This Row],[Downtime Hours]],"")</f>
        <v/>
      </c>
      <c r="K827" s="10" t="n"/>
      <c r="L827" s="10" t="n"/>
      <c r="M827">
        <f>IF(tblDowntime[[#This Row],[Maintenance Downtime Hours]]="","",tblDowntime[[#This Row],[Equipment ID]])</f>
        <v/>
      </c>
      <c r="N827" s="1">
        <f>IF(tblDowntime[[#This Row],[Failure Type]]="Production",tblDowntime[[#This Row],[Downtime Hours]],"")</f>
        <v/>
      </c>
      <c r="O827">
        <f>IF(tblDowntime[[#This Row],[Production Downtime Hours]]="","",tblDowntime[[#This Row],[Equipment ID]])</f>
        <v/>
      </c>
      <c r="P827" s="10" t="n"/>
    </row>
    <row r="828">
      <c r="B828">
        <f t="array" ref="B828">_xlfn.XLOOKUP(C828,INDIRECT("tblEquipment[Equipment ID]"),INDIRECT("tblEquipment[Production Department]"),"")</f>
        <v/>
      </c>
      <c r="D828">
        <f t="array" ref="D828">_xlfn.XLOOKUP(C828,INDIRECT("tblEquipment[Equipment ID]"),INDIRECT("tblEquipment[Equipment Name]"),"")</f>
        <v/>
      </c>
      <c r="F828" s="16" t="n"/>
      <c r="G828" s="16" t="n"/>
      <c r="H828" s="1">
        <f>IF(OR(F828=0,G828=0),"",(G828-F828)*24)</f>
        <v/>
      </c>
      <c r="I828" s="10" t="n"/>
      <c r="J828" s="1">
        <f>IF(OR(tblDowntime[[#This Row],[Failure Type]]="Sawshop",tblDowntime[[#This Row],[Failure Type]]="Electrical",tblDowntime[[#This Row],[Failure Type]]="Mechanical"),tblDowntime[[#This Row],[Downtime Hours]],"")</f>
        <v/>
      </c>
      <c r="K828" s="10" t="n"/>
      <c r="L828" s="10" t="n"/>
      <c r="M828">
        <f>IF(tblDowntime[[#This Row],[Maintenance Downtime Hours]]="","",tblDowntime[[#This Row],[Equipment ID]])</f>
        <v/>
      </c>
      <c r="N828" s="1">
        <f>IF(tblDowntime[[#This Row],[Failure Type]]="Production",tblDowntime[[#This Row],[Downtime Hours]],"")</f>
        <v/>
      </c>
      <c r="O828">
        <f>IF(tblDowntime[[#This Row],[Production Downtime Hours]]="","",tblDowntime[[#This Row],[Equipment ID]])</f>
        <v/>
      </c>
      <c r="P828" s="10" t="n"/>
    </row>
    <row r="829">
      <c r="B829">
        <f t="array" ref="B829">_xlfn.XLOOKUP(C829,INDIRECT("tblEquipment[Equipment ID]"),INDIRECT("tblEquipment[Production Department]"),"")</f>
        <v/>
      </c>
      <c r="D829">
        <f t="array" ref="D829">_xlfn.XLOOKUP(C829,INDIRECT("tblEquipment[Equipment ID]"),INDIRECT("tblEquipment[Equipment Name]"),"")</f>
        <v/>
      </c>
      <c r="F829" s="16" t="n"/>
      <c r="G829" s="16" t="n"/>
      <c r="H829" s="1">
        <f>IF(OR(F829=0,G829=0),"",(G829-F829)*24)</f>
        <v/>
      </c>
      <c r="I829" s="10" t="n"/>
      <c r="J829" s="1">
        <f>IF(OR(tblDowntime[[#This Row],[Failure Type]]="Sawshop",tblDowntime[[#This Row],[Failure Type]]="Electrical",tblDowntime[[#This Row],[Failure Type]]="Mechanical"),tblDowntime[[#This Row],[Downtime Hours]],"")</f>
        <v/>
      </c>
      <c r="K829" s="10" t="n"/>
      <c r="L829" s="10" t="n"/>
      <c r="M829">
        <f>IF(tblDowntime[[#This Row],[Maintenance Downtime Hours]]="","",tblDowntime[[#This Row],[Equipment ID]])</f>
        <v/>
      </c>
      <c r="N829" s="1">
        <f>IF(tblDowntime[[#This Row],[Failure Type]]="Production",tblDowntime[[#This Row],[Downtime Hours]],"")</f>
        <v/>
      </c>
      <c r="O829">
        <f>IF(tblDowntime[[#This Row],[Production Downtime Hours]]="","",tblDowntime[[#This Row],[Equipment ID]])</f>
        <v/>
      </c>
      <c r="P829" s="10" t="n"/>
    </row>
    <row r="830">
      <c r="B830">
        <f t="array" ref="B830">_xlfn.XLOOKUP(C830,INDIRECT("tblEquipment[Equipment ID]"),INDIRECT("tblEquipment[Production Department]"),"")</f>
        <v/>
      </c>
      <c r="D830">
        <f t="array" ref="D830">_xlfn.XLOOKUP(C830,INDIRECT("tblEquipment[Equipment ID]"),INDIRECT("tblEquipment[Equipment Name]"),"")</f>
        <v/>
      </c>
      <c r="F830" s="16" t="n"/>
      <c r="G830" s="16" t="n"/>
      <c r="H830" s="1">
        <f>IF(OR(F830=0,G830=0),"",(G830-F830)*24)</f>
        <v/>
      </c>
      <c r="I830" s="10" t="n"/>
      <c r="J830" s="1">
        <f>IF(OR(tblDowntime[[#This Row],[Failure Type]]="Sawshop",tblDowntime[[#This Row],[Failure Type]]="Electrical",tblDowntime[[#This Row],[Failure Type]]="Mechanical"),tblDowntime[[#This Row],[Downtime Hours]],"")</f>
        <v/>
      </c>
      <c r="K830" s="10" t="n"/>
      <c r="L830" s="10" t="n"/>
      <c r="M830">
        <f>IF(tblDowntime[[#This Row],[Maintenance Downtime Hours]]="","",tblDowntime[[#This Row],[Equipment ID]])</f>
        <v/>
      </c>
      <c r="N830" s="1">
        <f>IF(tblDowntime[[#This Row],[Failure Type]]="Production",tblDowntime[[#This Row],[Downtime Hours]],"")</f>
        <v/>
      </c>
      <c r="O830">
        <f>IF(tblDowntime[[#This Row],[Production Downtime Hours]]="","",tblDowntime[[#This Row],[Equipment ID]])</f>
        <v/>
      </c>
      <c r="P830" s="10" t="n"/>
    </row>
    <row r="831">
      <c r="B831">
        <f t="array" ref="B831">_xlfn.XLOOKUP(C831,INDIRECT("tblEquipment[Equipment ID]"),INDIRECT("tblEquipment[Production Department]"),"")</f>
        <v/>
      </c>
      <c r="D831">
        <f t="array" ref="D831">_xlfn.XLOOKUP(C831,INDIRECT("tblEquipment[Equipment ID]"),INDIRECT("tblEquipment[Equipment Name]"),"")</f>
        <v/>
      </c>
      <c r="F831" s="16" t="n"/>
      <c r="G831" s="16" t="n"/>
      <c r="H831" s="1">
        <f>IF(OR(F831=0,G831=0),"",(G831-F831)*24)</f>
        <v/>
      </c>
      <c r="I831" s="10" t="n"/>
      <c r="J831" s="1">
        <f>IF(OR(tblDowntime[[#This Row],[Failure Type]]="Sawshop",tblDowntime[[#This Row],[Failure Type]]="Electrical",tblDowntime[[#This Row],[Failure Type]]="Mechanical"),tblDowntime[[#This Row],[Downtime Hours]],"")</f>
        <v/>
      </c>
      <c r="K831" s="10" t="n"/>
      <c r="L831" s="10" t="n"/>
      <c r="M831">
        <f>IF(tblDowntime[[#This Row],[Maintenance Downtime Hours]]="","",tblDowntime[[#This Row],[Equipment ID]])</f>
        <v/>
      </c>
      <c r="N831" s="1">
        <f>IF(tblDowntime[[#This Row],[Failure Type]]="Production",tblDowntime[[#This Row],[Downtime Hours]],"")</f>
        <v/>
      </c>
      <c r="O831">
        <f>IF(tblDowntime[[#This Row],[Production Downtime Hours]]="","",tblDowntime[[#This Row],[Equipment ID]])</f>
        <v/>
      </c>
      <c r="P831" s="10" t="n"/>
    </row>
    <row r="832">
      <c r="B832">
        <f t="array" ref="B832">_xlfn.XLOOKUP(C832,INDIRECT("tblEquipment[Equipment ID]"),INDIRECT("tblEquipment[Production Department]"),"")</f>
        <v/>
      </c>
      <c r="D832">
        <f t="array" ref="D832">_xlfn.XLOOKUP(C832,INDIRECT("tblEquipment[Equipment ID]"),INDIRECT("tblEquipment[Equipment Name]"),"")</f>
        <v/>
      </c>
      <c r="F832" s="16" t="n"/>
      <c r="G832" s="16" t="n"/>
      <c r="H832" s="1">
        <f>IF(OR(F832=0,G832=0),"",(G832-F832)*24)</f>
        <v/>
      </c>
      <c r="I832" s="10" t="n"/>
      <c r="J832" s="1">
        <f>IF(OR(tblDowntime[[#This Row],[Failure Type]]="Sawshop",tblDowntime[[#This Row],[Failure Type]]="Electrical",tblDowntime[[#This Row],[Failure Type]]="Mechanical"),tblDowntime[[#This Row],[Downtime Hours]],"")</f>
        <v/>
      </c>
      <c r="K832" s="10" t="n"/>
      <c r="L832" s="10" t="n"/>
      <c r="M832">
        <f>IF(tblDowntime[[#This Row],[Maintenance Downtime Hours]]="","",tblDowntime[[#This Row],[Equipment ID]])</f>
        <v/>
      </c>
      <c r="N832" s="1">
        <f>IF(tblDowntime[[#This Row],[Failure Type]]="Production",tblDowntime[[#This Row],[Downtime Hours]],"")</f>
        <v/>
      </c>
      <c r="O832">
        <f>IF(tblDowntime[[#This Row],[Production Downtime Hours]]="","",tblDowntime[[#This Row],[Equipment ID]])</f>
        <v/>
      </c>
      <c r="P832" s="10" t="n"/>
    </row>
    <row r="833">
      <c r="B833">
        <f t="array" ref="B833">_xlfn.XLOOKUP(C833,INDIRECT("tblEquipment[Equipment ID]"),INDIRECT("tblEquipment[Production Department]"),"")</f>
        <v/>
      </c>
      <c r="D833">
        <f t="array" ref="D833">_xlfn.XLOOKUP(C833,INDIRECT("tblEquipment[Equipment ID]"),INDIRECT("tblEquipment[Equipment Name]"),"")</f>
        <v/>
      </c>
      <c r="F833" s="16" t="n"/>
      <c r="G833" s="16" t="n"/>
      <c r="H833" s="1">
        <f>IF(OR(F833=0,G833=0),"",(G833-F833)*24)</f>
        <v/>
      </c>
      <c r="I833" s="10" t="n"/>
      <c r="J833" s="1">
        <f>IF(OR(tblDowntime[[#This Row],[Failure Type]]="Sawshop",tblDowntime[[#This Row],[Failure Type]]="Electrical",tblDowntime[[#This Row],[Failure Type]]="Mechanical"),tblDowntime[[#This Row],[Downtime Hours]],"")</f>
        <v/>
      </c>
      <c r="K833" s="10" t="n"/>
      <c r="L833" s="10" t="n"/>
      <c r="M833">
        <f>IF(tblDowntime[[#This Row],[Maintenance Downtime Hours]]="","",tblDowntime[[#This Row],[Equipment ID]])</f>
        <v/>
      </c>
      <c r="N833" s="1">
        <f>IF(tblDowntime[[#This Row],[Failure Type]]="Production",tblDowntime[[#This Row],[Downtime Hours]],"")</f>
        <v/>
      </c>
      <c r="O833">
        <f>IF(tblDowntime[[#This Row],[Production Downtime Hours]]="","",tblDowntime[[#This Row],[Equipment ID]])</f>
        <v/>
      </c>
      <c r="P833" s="10" t="n"/>
    </row>
    <row r="834">
      <c r="B834">
        <f t="array" ref="B834">_xlfn.XLOOKUP(C834,INDIRECT("tblEquipment[Equipment ID]"),INDIRECT("tblEquipment[Production Department]"),"")</f>
        <v/>
      </c>
      <c r="D834">
        <f t="array" ref="D834">_xlfn.XLOOKUP(C834,INDIRECT("tblEquipment[Equipment ID]"),INDIRECT("tblEquipment[Equipment Name]"),"")</f>
        <v/>
      </c>
      <c r="F834" s="16" t="n"/>
      <c r="G834" s="16" t="n"/>
      <c r="H834" s="1">
        <f>IF(OR(F834=0,G834=0),"",(G834-F834)*24)</f>
        <v/>
      </c>
      <c r="I834" s="10" t="n"/>
      <c r="J834" s="1">
        <f>IF(OR(tblDowntime[[#This Row],[Failure Type]]="Sawshop",tblDowntime[[#This Row],[Failure Type]]="Electrical",tblDowntime[[#This Row],[Failure Type]]="Mechanical"),tblDowntime[[#This Row],[Downtime Hours]],"")</f>
        <v/>
      </c>
      <c r="K834" s="10" t="n"/>
      <c r="L834" s="10" t="n"/>
      <c r="M834">
        <f>IF(tblDowntime[[#This Row],[Maintenance Downtime Hours]]="","",tblDowntime[[#This Row],[Equipment ID]])</f>
        <v/>
      </c>
      <c r="N834" s="1">
        <f>IF(tblDowntime[[#This Row],[Failure Type]]="Production",tblDowntime[[#This Row],[Downtime Hours]],"")</f>
        <v/>
      </c>
      <c r="O834">
        <f>IF(tblDowntime[[#This Row],[Production Downtime Hours]]="","",tblDowntime[[#This Row],[Equipment ID]])</f>
        <v/>
      </c>
      <c r="P834" s="10" t="n"/>
    </row>
    <row r="835">
      <c r="B835">
        <f t="array" ref="B835">_xlfn.XLOOKUP(C835,INDIRECT("tblEquipment[Equipment ID]"),INDIRECT("tblEquipment[Production Department]"),"")</f>
        <v/>
      </c>
      <c r="D835">
        <f t="array" ref="D835">_xlfn.XLOOKUP(C835,INDIRECT("tblEquipment[Equipment ID]"),INDIRECT("tblEquipment[Equipment Name]"),"")</f>
        <v/>
      </c>
      <c r="F835" s="16" t="n"/>
      <c r="G835" s="16" t="n"/>
      <c r="H835" s="1">
        <f>IF(OR(F835=0,G835=0),"",(G835-F835)*24)</f>
        <v/>
      </c>
      <c r="I835" s="10" t="n"/>
      <c r="J835" s="1">
        <f>IF(OR(tblDowntime[[#This Row],[Failure Type]]="Sawshop",tblDowntime[[#This Row],[Failure Type]]="Electrical",tblDowntime[[#This Row],[Failure Type]]="Mechanical"),tblDowntime[[#This Row],[Downtime Hours]],"")</f>
        <v/>
      </c>
      <c r="K835" s="10" t="n"/>
      <c r="L835" s="10" t="n"/>
      <c r="M835">
        <f>IF(tblDowntime[[#This Row],[Maintenance Downtime Hours]]="","",tblDowntime[[#This Row],[Equipment ID]])</f>
        <v/>
      </c>
      <c r="N835" s="1">
        <f>IF(tblDowntime[[#This Row],[Failure Type]]="Production",tblDowntime[[#This Row],[Downtime Hours]],"")</f>
        <v/>
      </c>
      <c r="O835">
        <f>IF(tblDowntime[[#This Row],[Production Downtime Hours]]="","",tblDowntime[[#This Row],[Equipment ID]])</f>
        <v/>
      </c>
      <c r="P835" s="10" t="n"/>
    </row>
    <row r="836">
      <c r="B836">
        <f t="array" ref="B836">_xlfn.XLOOKUP(C836,INDIRECT("tblEquipment[Equipment ID]"),INDIRECT("tblEquipment[Production Department]"),"")</f>
        <v/>
      </c>
      <c r="D836">
        <f t="array" ref="D836">_xlfn.XLOOKUP(C836,INDIRECT("tblEquipment[Equipment ID]"),INDIRECT("tblEquipment[Equipment Name]"),"")</f>
        <v/>
      </c>
      <c r="F836" s="16" t="n"/>
      <c r="G836" s="16" t="n"/>
      <c r="H836" s="1">
        <f>IF(OR(F836=0,G836=0),"",(G836-F836)*24)</f>
        <v/>
      </c>
      <c r="I836" s="10" t="n"/>
      <c r="J836" s="1">
        <f>IF(OR(tblDowntime[[#This Row],[Failure Type]]="Sawshop",tblDowntime[[#This Row],[Failure Type]]="Electrical",tblDowntime[[#This Row],[Failure Type]]="Mechanical"),tblDowntime[[#This Row],[Downtime Hours]],"")</f>
        <v/>
      </c>
      <c r="K836" s="10" t="n"/>
      <c r="L836" s="10" t="n"/>
      <c r="M836">
        <f>IF(tblDowntime[[#This Row],[Maintenance Downtime Hours]]="","",tblDowntime[[#This Row],[Equipment ID]])</f>
        <v/>
      </c>
      <c r="N836" s="1">
        <f>IF(tblDowntime[[#This Row],[Failure Type]]="Production",tblDowntime[[#This Row],[Downtime Hours]],"")</f>
        <v/>
      </c>
      <c r="O836">
        <f>IF(tblDowntime[[#This Row],[Production Downtime Hours]]="","",tblDowntime[[#This Row],[Equipment ID]])</f>
        <v/>
      </c>
      <c r="P836" s="10" t="n"/>
    </row>
    <row r="837">
      <c r="B837">
        <f t="array" ref="B837">_xlfn.XLOOKUP(C837,INDIRECT("tblEquipment[Equipment ID]"),INDIRECT("tblEquipment[Production Department]"),"")</f>
        <v/>
      </c>
      <c r="D837">
        <f t="array" ref="D837">_xlfn.XLOOKUP(C837,INDIRECT("tblEquipment[Equipment ID]"),INDIRECT("tblEquipment[Equipment Name]"),"")</f>
        <v/>
      </c>
      <c r="F837" s="16" t="n"/>
      <c r="G837" s="16" t="n"/>
      <c r="H837" s="1">
        <f>IF(OR(F837=0,G837=0),"",(G837-F837)*24)</f>
        <v/>
      </c>
      <c r="I837" s="10" t="n"/>
      <c r="J837" s="1">
        <f>IF(OR(tblDowntime[[#This Row],[Failure Type]]="Sawshop",tblDowntime[[#This Row],[Failure Type]]="Electrical",tblDowntime[[#This Row],[Failure Type]]="Mechanical"),tblDowntime[[#This Row],[Downtime Hours]],"")</f>
        <v/>
      </c>
      <c r="K837" s="10" t="n"/>
      <c r="L837" s="10" t="n"/>
      <c r="M837">
        <f>IF(tblDowntime[[#This Row],[Maintenance Downtime Hours]]="","",tblDowntime[[#This Row],[Equipment ID]])</f>
        <v/>
      </c>
      <c r="N837" s="1">
        <f>IF(tblDowntime[[#This Row],[Failure Type]]="Production",tblDowntime[[#This Row],[Downtime Hours]],"")</f>
        <v/>
      </c>
      <c r="O837">
        <f>IF(tblDowntime[[#This Row],[Production Downtime Hours]]="","",tblDowntime[[#This Row],[Equipment ID]])</f>
        <v/>
      </c>
      <c r="P837" s="10" t="n"/>
    </row>
    <row r="838">
      <c r="B838">
        <f t="array" ref="B838">_xlfn.XLOOKUP(C838,INDIRECT("tblEquipment[Equipment ID]"),INDIRECT("tblEquipment[Production Department]"),"")</f>
        <v/>
      </c>
      <c r="D838">
        <f t="array" ref="D838">_xlfn.XLOOKUP(C838,INDIRECT("tblEquipment[Equipment ID]"),INDIRECT("tblEquipment[Equipment Name]"),"")</f>
        <v/>
      </c>
      <c r="F838" s="16" t="n"/>
      <c r="G838" s="16" t="n"/>
      <c r="H838" s="1">
        <f>IF(OR(F838=0,G838=0),"",(G838-F838)*24)</f>
        <v/>
      </c>
      <c r="I838" s="10" t="n"/>
      <c r="J838" s="1">
        <f>IF(OR(tblDowntime[[#This Row],[Failure Type]]="Sawshop",tblDowntime[[#This Row],[Failure Type]]="Electrical",tblDowntime[[#This Row],[Failure Type]]="Mechanical"),tblDowntime[[#This Row],[Downtime Hours]],"")</f>
        <v/>
      </c>
      <c r="K838" s="10" t="n"/>
      <c r="L838" s="10" t="n"/>
      <c r="M838">
        <f>IF(tblDowntime[[#This Row],[Maintenance Downtime Hours]]="","",tblDowntime[[#This Row],[Equipment ID]])</f>
        <v/>
      </c>
      <c r="N838" s="1">
        <f>IF(tblDowntime[[#This Row],[Failure Type]]="Production",tblDowntime[[#This Row],[Downtime Hours]],"")</f>
        <v/>
      </c>
      <c r="O838">
        <f>IF(tblDowntime[[#This Row],[Production Downtime Hours]]="","",tblDowntime[[#This Row],[Equipment ID]])</f>
        <v/>
      </c>
      <c r="P838" s="10" t="n"/>
    </row>
    <row r="839">
      <c r="B839">
        <f t="array" ref="B839">_xlfn.XLOOKUP(C839,INDIRECT("tblEquipment[Equipment ID]"),INDIRECT("tblEquipment[Production Department]"),"")</f>
        <v/>
      </c>
      <c r="D839">
        <f t="array" ref="D839">_xlfn.XLOOKUP(C839,INDIRECT("tblEquipment[Equipment ID]"),INDIRECT("tblEquipment[Equipment Name]"),"")</f>
        <v/>
      </c>
      <c r="F839" s="16" t="n"/>
      <c r="G839" s="16" t="n"/>
      <c r="H839" s="1">
        <f>IF(OR(F839=0,G839=0),"",(G839-F839)*24)</f>
        <v/>
      </c>
      <c r="I839" s="10" t="n"/>
      <c r="J839" s="1">
        <f>IF(OR(tblDowntime[[#This Row],[Failure Type]]="Sawshop",tblDowntime[[#This Row],[Failure Type]]="Electrical",tblDowntime[[#This Row],[Failure Type]]="Mechanical"),tblDowntime[[#This Row],[Downtime Hours]],"")</f>
        <v/>
      </c>
      <c r="K839" s="10" t="n"/>
      <c r="L839" s="10" t="n"/>
      <c r="M839">
        <f>IF(tblDowntime[[#This Row],[Maintenance Downtime Hours]]="","",tblDowntime[[#This Row],[Equipment ID]])</f>
        <v/>
      </c>
      <c r="N839" s="1">
        <f>IF(tblDowntime[[#This Row],[Failure Type]]="Production",tblDowntime[[#This Row],[Downtime Hours]],"")</f>
        <v/>
      </c>
      <c r="O839">
        <f>IF(tblDowntime[[#This Row],[Production Downtime Hours]]="","",tblDowntime[[#This Row],[Equipment ID]])</f>
        <v/>
      </c>
      <c r="P839" s="10" t="n"/>
    </row>
    <row r="840">
      <c r="B840">
        <f t="array" ref="B840">_xlfn.XLOOKUP(C840,INDIRECT("tblEquipment[Equipment ID]"),INDIRECT("tblEquipment[Production Department]"),"")</f>
        <v/>
      </c>
      <c r="D840">
        <f t="array" ref="D840">_xlfn.XLOOKUP(C840,INDIRECT("tblEquipment[Equipment ID]"),INDIRECT("tblEquipment[Equipment Name]"),"")</f>
        <v/>
      </c>
      <c r="F840" s="16" t="n"/>
      <c r="G840" s="16" t="n"/>
      <c r="H840" s="1">
        <f>IF(OR(F840=0,G840=0),"",(G840-F840)*24)</f>
        <v/>
      </c>
      <c r="I840" s="10" t="n"/>
      <c r="J840" s="1">
        <f>IF(OR(tblDowntime[[#This Row],[Failure Type]]="Sawshop",tblDowntime[[#This Row],[Failure Type]]="Electrical",tblDowntime[[#This Row],[Failure Type]]="Mechanical"),tblDowntime[[#This Row],[Downtime Hours]],"")</f>
        <v/>
      </c>
      <c r="K840" s="10" t="n"/>
      <c r="L840" s="10" t="n"/>
      <c r="M840">
        <f>IF(tblDowntime[[#This Row],[Maintenance Downtime Hours]]="","",tblDowntime[[#This Row],[Equipment ID]])</f>
        <v/>
      </c>
      <c r="N840" s="1">
        <f>IF(tblDowntime[[#This Row],[Failure Type]]="Production",tblDowntime[[#This Row],[Downtime Hours]],"")</f>
        <v/>
      </c>
      <c r="O840">
        <f>IF(tblDowntime[[#This Row],[Production Downtime Hours]]="","",tblDowntime[[#This Row],[Equipment ID]])</f>
        <v/>
      </c>
      <c r="P840" s="10" t="n"/>
    </row>
    <row r="841">
      <c r="B841">
        <f t="array" ref="B841">_xlfn.XLOOKUP(C841,INDIRECT("tblEquipment[Equipment ID]"),INDIRECT("tblEquipment[Production Department]"),"")</f>
        <v/>
      </c>
      <c r="D841">
        <f t="array" ref="D841">_xlfn.XLOOKUP(C841,INDIRECT("tblEquipment[Equipment ID]"),INDIRECT("tblEquipment[Equipment Name]"),"")</f>
        <v/>
      </c>
      <c r="F841" s="16" t="n"/>
      <c r="G841" s="16" t="n"/>
      <c r="H841" s="1">
        <f>IF(OR(F841=0,G841=0),"",(G841-F841)*24)</f>
        <v/>
      </c>
      <c r="I841" s="10" t="n"/>
      <c r="J841" s="1">
        <f>IF(OR(tblDowntime[[#This Row],[Failure Type]]="Sawshop",tblDowntime[[#This Row],[Failure Type]]="Electrical",tblDowntime[[#This Row],[Failure Type]]="Mechanical"),tblDowntime[[#This Row],[Downtime Hours]],"")</f>
        <v/>
      </c>
      <c r="K841" s="10" t="n"/>
      <c r="L841" s="10" t="n"/>
      <c r="M841">
        <f>IF(tblDowntime[[#This Row],[Maintenance Downtime Hours]]="","",tblDowntime[[#This Row],[Equipment ID]])</f>
        <v/>
      </c>
      <c r="N841" s="1">
        <f>IF(tblDowntime[[#This Row],[Failure Type]]="Production",tblDowntime[[#This Row],[Downtime Hours]],"")</f>
        <v/>
      </c>
      <c r="O841">
        <f>IF(tblDowntime[[#This Row],[Production Downtime Hours]]="","",tblDowntime[[#This Row],[Equipment ID]])</f>
        <v/>
      </c>
      <c r="P841" s="10" t="n"/>
    </row>
    <row r="842">
      <c r="B842">
        <f t="array" ref="B842">_xlfn.XLOOKUP(C842,INDIRECT("tblEquipment[Equipment ID]"),INDIRECT("tblEquipment[Production Department]"),"")</f>
        <v/>
      </c>
      <c r="D842">
        <f t="array" ref="D842">_xlfn.XLOOKUP(C842,INDIRECT("tblEquipment[Equipment ID]"),INDIRECT("tblEquipment[Equipment Name]"),"")</f>
        <v/>
      </c>
      <c r="F842" s="16" t="n"/>
      <c r="G842" s="16" t="n"/>
      <c r="H842" s="1">
        <f>IF(OR(F842=0,G842=0),"",(G842-F842)*24)</f>
        <v/>
      </c>
      <c r="I842" s="10" t="n"/>
      <c r="J842" s="1">
        <f>IF(OR(tblDowntime[[#This Row],[Failure Type]]="Sawshop",tblDowntime[[#This Row],[Failure Type]]="Electrical",tblDowntime[[#This Row],[Failure Type]]="Mechanical"),tblDowntime[[#This Row],[Downtime Hours]],"")</f>
        <v/>
      </c>
      <c r="K842" s="10" t="n"/>
      <c r="L842" s="10" t="n"/>
      <c r="M842">
        <f>IF(tblDowntime[[#This Row],[Maintenance Downtime Hours]]="","",tblDowntime[[#This Row],[Equipment ID]])</f>
        <v/>
      </c>
      <c r="N842" s="1">
        <f>IF(tblDowntime[[#This Row],[Failure Type]]="Production",tblDowntime[[#This Row],[Downtime Hours]],"")</f>
        <v/>
      </c>
      <c r="O842">
        <f>IF(tblDowntime[[#This Row],[Production Downtime Hours]]="","",tblDowntime[[#This Row],[Equipment ID]])</f>
        <v/>
      </c>
      <c r="P842" s="10" t="n"/>
    </row>
    <row r="843">
      <c r="B843">
        <f t="array" ref="B843">_xlfn.XLOOKUP(C843,INDIRECT("tblEquipment[Equipment ID]"),INDIRECT("tblEquipment[Production Department]"),"")</f>
        <v/>
      </c>
      <c r="D843">
        <f t="array" ref="D843">_xlfn.XLOOKUP(C843,INDIRECT("tblEquipment[Equipment ID]"),INDIRECT("tblEquipment[Equipment Name]"),"")</f>
        <v/>
      </c>
      <c r="F843" s="16" t="n"/>
      <c r="G843" s="16" t="n"/>
      <c r="H843" s="1">
        <f>IF(OR(F843=0,G843=0),"",(G843-F843)*24)</f>
        <v/>
      </c>
      <c r="I843" s="10" t="n"/>
      <c r="J843" s="1">
        <f>IF(OR(tblDowntime[[#This Row],[Failure Type]]="Sawshop",tblDowntime[[#This Row],[Failure Type]]="Electrical",tblDowntime[[#This Row],[Failure Type]]="Mechanical"),tblDowntime[[#This Row],[Downtime Hours]],"")</f>
        <v/>
      </c>
      <c r="K843" s="10" t="n"/>
      <c r="L843" s="10" t="n"/>
      <c r="M843">
        <f>IF(tblDowntime[[#This Row],[Maintenance Downtime Hours]]="","",tblDowntime[[#This Row],[Equipment ID]])</f>
        <v/>
      </c>
      <c r="N843" s="1">
        <f>IF(tblDowntime[[#This Row],[Failure Type]]="Production",tblDowntime[[#This Row],[Downtime Hours]],"")</f>
        <v/>
      </c>
      <c r="O843">
        <f>IF(tblDowntime[[#This Row],[Production Downtime Hours]]="","",tblDowntime[[#This Row],[Equipment ID]])</f>
        <v/>
      </c>
      <c r="P843" s="10" t="n"/>
    </row>
    <row r="844">
      <c r="B844">
        <f t="array" ref="B844">_xlfn.XLOOKUP(C844,INDIRECT("tblEquipment[Equipment ID]"),INDIRECT("tblEquipment[Production Department]"),"")</f>
        <v/>
      </c>
      <c r="D844">
        <f t="array" ref="D844">_xlfn.XLOOKUP(C844,INDIRECT("tblEquipment[Equipment ID]"),INDIRECT("tblEquipment[Equipment Name]"),"")</f>
        <v/>
      </c>
      <c r="F844" s="16" t="n"/>
      <c r="G844" s="16" t="n"/>
      <c r="H844" s="1">
        <f>IF(OR(F844=0,G844=0),"",(G844-F844)*24)</f>
        <v/>
      </c>
      <c r="I844" s="10" t="n"/>
      <c r="J844" s="1">
        <f>IF(OR(tblDowntime[[#This Row],[Failure Type]]="Sawshop",tblDowntime[[#This Row],[Failure Type]]="Electrical",tblDowntime[[#This Row],[Failure Type]]="Mechanical"),tblDowntime[[#This Row],[Downtime Hours]],"")</f>
        <v/>
      </c>
      <c r="K844" s="10" t="n"/>
      <c r="L844" s="10" t="n"/>
      <c r="M844">
        <f>IF(tblDowntime[[#This Row],[Maintenance Downtime Hours]]="","",tblDowntime[[#This Row],[Equipment ID]])</f>
        <v/>
      </c>
      <c r="N844" s="1">
        <f>IF(tblDowntime[[#This Row],[Failure Type]]="Production",tblDowntime[[#This Row],[Downtime Hours]],"")</f>
        <v/>
      </c>
      <c r="O844">
        <f>IF(tblDowntime[[#This Row],[Production Downtime Hours]]="","",tblDowntime[[#This Row],[Equipment ID]])</f>
        <v/>
      </c>
      <c r="P844" s="10" t="n"/>
    </row>
    <row r="845">
      <c r="B845">
        <f t="array" ref="B845">_xlfn.XLOOKUP(C845,INDIRECT("tblEquipment[Equipment ID]"),INDIRECT("tblEquipment[Production Department]"),"")</f>
        <v/>
      </c>
      <c r="D845">
        <f t="array" ref="D845">_xlfn.XLOOKUP(C845,INDIRECT("tblEquipment[Equipment ID]"),INDIRECT("tblEquipment[Equipment Name]"),"")</f>
        <v/>
      </c>
      <c r="F845" s="16" t="n"/>
      <c r="G845" s="16" t="n"/>
      <c r="H845" s="1">
        <f>IF(OR(F845=0,G845=0),"",(G845-F845)*24)</f>
        <v/>
      </c>
      <c r="I845" s="10" t="n"/>
      <c r="J845" s="1">
        <f>IF(OR(tblDowntime[[#This Row],[Failure Type]]="Sawshop",tblDowntime[[#This Row],[Failure Type]]="Electrical",tblDowntime[[#This Row],[Failure Type]]="Mechanical"),tblDowntime[[#This Row],[Downtime Hours]],"")</f>
        <v/>
      </c>
      <c r="K845" s="10" t="n"/>
      <c r="L845" s="10" t="n"/>
      <c r="M845">
        <f>IF(tblDowntime[[#This Row],[Maintenance Downtime Hours]]="","",tblDowntime[[#This Row],[Equipment ID]])</f>
        <v/>
      </c>
      <c r="N845" s="1">
        <f>IF(tblDowntime[[#This Row],[Failure Type]]="Production",tblDowntime[[#This Row],[Downtime Hours]],"")</f>
        <v/>
      </c>
      <c r="O845">
        <f>IF(tblDowntime[[#This Row],[Production Downtime Hours]]="","",tblDowntime[[#This Row],[Equipment ID]])</f>
        <v/>
      </c>
      <c r="P845" s="10" t="n"/>
    </row>
    <row r="846">
      <c r="B846">
        <f t="array" ref="B846">_xlfn.XLOOKUP(C846,INDIRECT("tblEquipment[Equipment ID]"),INDIRECT("tblEquipment[Production Department]"),"")</f>
        <v/>
      </c>
      <c r="D846">
        <f t="array" ref="D846">_xlfn.XLOOKUP(C846,INDIRECT("tblEquipment[Equipment ID]"),INDIRECT("tblEquipment[Equipment Name]"),"")</f>
        <v/>
      </c>
      <c r="F846" s="16" t="n"/>
      <c r="G846" s="16" t="n"/>
      <c r="H846" s="1">
        <f>IF(OR(F846=0,G846=0),"",(G846-F846)*24)</f>
        <v/>
      </c>
      <c r="I846" s="10" t="n"/>
      <c r="J846" s="1">
        <f>IF(OR(tblDowntime[[#This Row],[Failure Type]]="Sawshop",tblDowntime[[#This Row],[Failure Type]]="Electrical",tblDowntime[[#This Row],[Failure Type]]="Mechanical"),tblDowntime[[#This Row],[Downtime Hours]],"")</f>
        <v/>
      </c>
      <c r="K846" s="10" t="n"/>
      <c r="L846" s="10" t="n"/>
      <c r="M846">
        <f>IF(tblDowntime[[#This Row],[Maintenance Downtime Hours]]="","",tblDowntime[[#This Row],[Equipment ID]])</f>
        <v/>
      </c>
      <c r="N846" s="1">
        <f>IF(tblDowntime[[#This Row],[Failure Type]]="Production",tblDowntime[[#This Row],[Downtime Hours]],"")</f>
        <v/>
      </c>
      <c r="O846">
        <f>IF(tblDowntime[[#This Row],[Production Downtime Hours]]="","",tblDowntime[[#This Row],[Equipment ID]])</f>
        <v/>
      </c>
      <c r="P846" s="10" t="n"/>
    </row>
    <row r="847">
      <c r="B847">
        <f t="array" ref="B847">_xlfn.XLOOKUP(C847,INDIRECT("tblEquipment[Equipment ID]"),INDIRECT("tblEquipment[Production Department]"),"")</f>
        <v/>
      </c>
      <c r="D847">
        <f t="array" ref="D847">_xlfn.XLOOKUP(C847,INDIRECT("tblEquipment[Equipment ID]"),INDIRECT("tblEquipment[Equipment Name]"),"")</f>
        <v/>
      </c>
      <c r="F847" s="16" t="n"/>
      <c r="G847" s="16" t="n"/>
      <c r="H847" s="1">
        <f>IF(OR(F847=0,G847=0),"",(G847-F847)*24)</f>
        <v/>
      </c>
      <c r="I847" s="10" t="n"/>
      <c r="J847" s="1">
        <f>IF(OR(tblDowntime[[#This Row],[Failure Type]]="Sawshop",tblDowntime[[#This Row],[Failure Type]]="Electrical",tblDowntime[[#This Row],[Failure Type]]="Mechanical"),tblDowntime[[#This Row],[Downtime Hours]],"")</f>
        <v/>
      </c>
      <c r="K847" s="10" t="n"/>
      <c r="L847" s="10" t="n"/>
      <c r="M847">
        <f>IF(tblDowntime[[#This Row],[Maintenance Downtime Hours]]="","",tblDowntime[[#This Row],[Equipment ID]])</f>
        <v/>
      </c>
      <c r="N847" s="1">
        <f>IF(tblDowntime[[#This Row],[Failure Type]]="Production",tblDowntime[[#This Row],[Downtime Hours]],"")</f>
        <v/>
      </c>
      <c r="O847">
        <f>IF(tblDowntime[[#This Row],[Production Downtime Hours]]="","",tblDowntime[[#This Row],[Equipment ID]])</f>
        <v/>
      </c>
      <c r="P847" s="10" t="n"/>
    </row>
    <row r="848">
      <c r="B848">
        <f t="array" ref="B848">_xlfn.XLOOKUP(C848,INDIRECT("tblEquipment[Equipment ID]"),INDIRECT("tblEquipment[Production Department]"),"")</f>
        <v/>
      </c>
      <c r="D848">
        <f t="array" ref="D848">_xlfn.XLOOKUP(C848,INDIRECT("tblEquipment[Equipment ID]"),INDIRECT("tblEquipment[Equipment Name]"),"")</f>
        <v/>
      </c>
      <c r="F848" s="16" t="n"/>
      <c r="G848" s="16" t="n"/>
      <c r="H848" s="1">
        <f>IF(OR(F848=0,G848=0),"",(G848-F848)*24)</f>
        <v/>
      </c>
      <c r="I848" s="10" t="n"/>
      <c r="J848" s="1">
        <f>IF(OR(tblDowntime[[#This Row],[Failure Type]]="Sawshop",tblDowntime[[#This Row],[Failure Type]]="Electrical",tblDowntime[[#This Row],[Failure Type]]="Mechanical"),tblDowntime[[#This Row],[Downtime Hours]],"")</f>
        <v/>
      </c>
      <c r="K848" s="10" t="n"/>
      <c r="L848" s="10" t="n"/>
      <c r="M848">
        <f>IF(tblDowntime[[#This Row],[Maintenance Downtime Hours]]="","",tblDowntime[[#This Row],[Equipment ID]])</f>
        <v/>
      </c>
      <c r="N848" s="1">
        <f>IF(tblDowntime[[#This Row],[Failure Type]]="Production",tblDowntime[[#This Row],[Downtime Hours]],"")</f>
        <v/>
      </c>
      <c r="O848">
        <f>IF(tblDowntime[[#This Row],[Production Downtime Hours]]="","",tblDowntime[[#This Row],[Equipment ID]])</f>
        <v/>
      </c>
      <c r="P848" s="10" t="n"/>
    </row>
    <row r="849">
      <c r="B849">
        <f t="array" ref="B849">_xlfn.XLOOKUP(C849,INDIRECT("tblEquipment[Equipment ID]"),INDIRECT("tblEquipment[Production Department]"),"")</f>
        <v/>
      </c>
      <c r="D849">
        <f t="array" ref="D849">_xlfn.XLOOKUP(C849,INDIRECT("tblEquipment[Equipment ID]"),INDIRECT("tblEquipment[Equipment Name]"),"")</f>
        <v/>
      </c>
      <c r="F849" s="16" t="n"/>
      <c r="G849" s="16" t="n"/>
      <c r="H849" s="1">
        <f>IF(OR(F849=0,G849=0),"",(G849-F849)*24)</f>
        <v/>
      </c>
      <c r="I849" s="10" t="n"/>
      <c r="J849" s="1">
        <f>IF(OR(tblDowntime[[#This Row],[Failure Type]]="Sawshop",tblDowntime[[#This Row],[Failure Type]]="Electrical",tblDowntime[[#This Row],[Failure Type]]="Mechanical"),tblDowntime[[#This Row],[Downtime Hours]],"")</f>
        <v/>
      </c>
      <c r="K849" s="10" t="n"/>
      <c r="L849" s="10" t="n"/>
      <c r="M849">
        <f>IF(tblDowntime[[#This Row],[Maintenance Downtime Hours]]="","",tblDowntime[[#This Row],[Equipment ID]])</f>
        <v/>
      </c>
      <c r="N849" s="1">
        <f>IF(tblDowntime[[#This Row],[Failure Type]]="Production",tblDowntime[[#This Row],[Downtime Hours]],"")</f>
        <v/>
      </c>
      <c r="O849">
        <f>IF(tblDowntime[[#This Row],[Production Downtime Hours]]="","",tblDowntime[[#This Row],[Equipment ID]])</f>
        <v/>
      </c>
      <c r="P849" s="10" t="n"/>
    </row>
    <row r="850">
      <c r="B850">
        <f t="array" ref="B850">_xlfn.XLOOKUP(C850,INDIRECT("tblEquipment[Equipment ID]"),INDIRECT("tblEquipment[Production Department]"),"")</f>
        <v/>
      </c>
      <c r="D850">
        <f t="array" ref="D850">_xlfn.XLOOKUP(C850,INDIRECT("tblEquipment[Equipment ID]"),INDIRECT("tblEquipment[Equipment Name]"),"")</f>
        <v/>
      </c>
      <c r="F850" s="16" t="n"/>
      <c r="G850" s="16" t="n"/>
      <c r="H850" s="1">
        <f>IF(OR(F850=0,G850=0),"",(G850-F850)*24)</f>
        <v/>
      </c>
      <c r="I850" s="10" t="n"/>
      <c r="J850" s="1">
        <f>IF(OR(tblDowntime[[#This Row],[Failure Type]]="Sawshop",tblDowntime[[#This Row],[Failure Type]]="Electrical",tblDowntime[[#This Row],[Failure Type]]="Mechanical"),tblDowntime[[#This Row],[Downtime Hours]],"")</f>
        <v/>
      </c>
      <c r="K850" s="10" t="n"/>
      <c r="L850" s="10" t="n"/>
      <c r="M850">
        <f>IF(tblDowntime[[#This Row],[Maintenance Downtime Hours]]="","",tblDowntime[[#This Row],[Equipment ID]])</f>
        <v/>
      </c>
      <c r="N850" s="1">
        <f>IF(tblDowntime[[#This Row],[Failure Type]]="Production",tblDowntime[[#This Row],[Downtime Hours]],"")</f>
        <v/>
      </c>
      <c r="O850">
        <f>IF(tblDowntime[[#This Row],[Production Downtime Hours]]="","",tblDowntime[[#This Row],[Equipment ID]])</f>
        <v/>
      </c>
      <c r="P850" s="10" t="n"/>
    </row>
    <row r="851">
      <c r="B851">
        <f t="array" ref="B851">_xlfn.XLOOKUP(C851,INDIRECT("tblEquipment[Equipment ID]"),INDIRECT("tblEquipment[Production Department]"),"")</f>
        <v/>
      </c>
      <c r="D851">
        <f t="array" ref="D851">_xlfn.XLOOKUP(C851,INDIRECT("tblEquipment[Equipment ID]"),INDIRECT("tblEquipment[Equipment Name]"),"")</f>
        <v/>
      </c>
      <c r="F851" s="16" t="n"/>
      <c r="G851" s="16" t="n"/>
      <c r="H851" s="1">
        <f>IF(OR(F851=0,G851=0),"",(G851-F851)*24)</f>
        <v/>
      </c>
      <c r="I851" s="10" t="n"/>
      <c r="J851" s="1">
        <f>IF(OR(tblDowntime[[#This Row],[Failure Type]]="Sawshop",tblDowntime[[#This Row],[Failure Type]]="Electrical",tblDowntime[[#This Row],[Failure Type]]="Mechanical"),tblDowntime[[#This Row],[Downtime Hours]],"")</f>
        <v/>
      </c>
      <c r="K851" s="10" t="n"/>
      <c r="L851" s="10" t="n"/>
      <c r="M851">
        <f>IF(tblDowntime[[#This Row],[Maintenance Downtime Hours]]="","",tblDowntime[[#This Row],[Equipment ID]])</f>
        <v/>
      </c>
      <c r="N851" s="1">
        <f>IF(tblDowntime[[#This Row],[Failure Type]]="Production",tblDowntime[[#This Row],[Downtime Hours]],"")</f>
        <v/>
      </c>
      <c r="O851">
        <f>IF(tblDowntime[[#This Row],[Production Downtime Hours]]="","",tblDowntime[[#This Row],[Equipment ID]])</f>
        <v/>
      </c>
      <c r="P851" s="10" t="n"/>
    </row>
    <row r="852">
      <c r="B852">
        <f t="array" ref="B852">_xlfn.XLOOKUP(C852,INDIRECT("tblEquipment[Equipment ID]"),INDIRECT("tblEquipment[Production Department]"),"")</f>
        <v/>
      </c>
      <c r="D852">
        <f t="array" ref="D852">_xlfn.XLOOKUP(C852,INDIRECT("tblEquipment[Equipment ID]"),INDIRECT("tblEquipment[Equipment Name]"),"")</f>
        <v/>
      </c>
      <c r="F852" s="16" t="n"/>
      <c r="G852" s="16" t="n"/>
      <c r="H852" s="1">
        <f>IF(OR(F852=0,G852=0),"",(G852-F852)*24)</f>
        <v/>
      </c>
      <c r="I852" s="10" t="n"/>
      <c r="J852" s="1">
        <f>IF(OR(tblDowntime[[#This Row],[Failure Type]]="Sawshop",tblDowntime[[#This Row],[Failure Type]]="Electrical",tblDowntime[[#This Row],[Failure Type]]="Mechanical"),tblDowntime[[#This Row],[Downtime Hours]],"")</f>
        <v/>
      </c>
      <c r="K852" s="10" t="n"/>
      <c r="L852" s="10" t="n"/>
      <c r="M852">
        <f>IF(tblDowntime[[#This Row],[Maintenance Downtime Hours]]="","",tblDowntime[[#This Row],[Equipment ID]])</f>
        <v/>
      </c>
      <c r="N852" s="1">
        <f>IF(tblDowntime[[#This Row],[Failure Type]]="Production",tblDowntime[[#This Row],[Downtime Hours]],"")</f>
        <v/>
      </c>
      <c r="O852">
        <f>IF(tblDowntime[[#This Row],[Production Downtime Hours]]="","",tblDowntime[[#This Row],[Equipment ID]])</f>
        <v/>
      </c>
      <c r="P852" s="10" t="n"/>
    </row>
    <row r="853">
      <c r="B853">
        <f t="array" ref="B853">_xlfn.XLOOKUP(C853,INDIRECT("tblEquipment[Equipment ID]"),INDIRECT("tblEquipment[Production Department]"),"")</f>
        <v/>
      </c>
      <c r="D853">
        <f t="array" ref="D853">_xlfn.XLOOKUP(C853,INDIRECT("tblEquipment[Equipment ID]"),INDIRECT("tblEquipment[Equipment Name]"),"")</f>
        <v/>
      </c>
      <c r="F853" s="16" t="n"/>
      <c r="G853" s="16" t="n"/>
      <c r="H853" s="1">
        <f>IF(OR(F853=0,G853=0),"",(G853-F853)*24)</f>
        <v/>
      </c>
      <c r="I853" s="10" t="n"/>
      <c r="J853" s="1">
        <f>IF(OR(tblDowntime[[#This Row],[Failure Type]]="Sawshop",tblDowntime[[#This Row],[Failure Type]]="Electrical",tblDowntime[[#This Row],[Failure Type]]="Mechanical"),tblDowntime[[#This Row],[Downtime Hours]],"")</f>
        <v/>
      </c>
      <c r="K853" s="10" t="n"/>
      <c r="L853" s="10" t="n"/>
      <c r="M853">
        <f>IF(tblDowntime[[#This Row],[Maintenance Downtime Hours]]="","",tblDowntime[[#This Row],[Equipment ID]])</f>
        <v/>
      </c>
      <c r="N853" s="1">
        <f>IF(tblDowntime[[#This Row],[Failure Type]]="Production",tblDowntime[[#This Row],[Downtime Hours]],"")</f>
        <v/>
      </c>
      <c r="O853">
        <f>IF(tblDowntime[[#This Row],[Production Downtime Hours]]="","",tblDowntime[[#This Row],[Equipment ID]])</f>
        <v/>
      </c>
      <c r="P853" s="10" t="n"/>
    </row>
    <row r="854">
      <c r="B854">
        <f t="array" ref="B854">_xlfn.XLOOKUP(C854,INDIRECT("tblEquipment[Equipment ID]"),INDIRECT("tblEquipment[Production Department]"),"")</f>
        <v/>
      </c>
      <c r="D854">
        <f t="array" ref="D854">_xlfn.XLOOKUP(C854,INDIRECT("tblEquipment[Equipment ID]"),INDIRECT("tblEquipment[Equipment Name]"),"")</f>
        <v/>
      </c>
      <c r="F854" s="16" t="n"/>
      <c r="G854" s="16" t="n"/>
      <c r="H854" s="1">
        <f>IF(OR(F854=0,G854=0),"",(G854-F854)*24)</f>
        <v/>
      </c>
      <c r="I854" s="10" t="n"/>
      <c r="J854" s="1">
        <f>IF(OR(tblDowntime[[#This Row],[Failure Type]]="Sawshop",tblDowntime[[#This Row],[Failure Type]]="Electrical",tblDowntime[[#This Row],[Failure Type]]="Mechanical"),tblDowntime[[#This Row],[Downtime Hours]],"")</f>
        <v/>
      </c>
      <c r="K854" s="10" t="n"/>
      <c r="L854" s="10" t="n"/>
      <c r="M854">
        <f>IF(tblDowntime[[#This Row],[Maintenance Downtime Hours]]="","",tblDowntime[[#This Row],[Equipment ID]])</f>
        <v/>
      </c>
      <c r="N854" s="1">
        <f>IF(tblDowntime[[#This Row],[Failure Type]]="Production",tblDowntime[[#This Row],[Downtime Hours]],"")</f>
        <v/>
      </c>
      <c r="O854">
        <f>IF(tblDowntime[[#This Row],[Production Downtime Hours]]="","",tblDowntime[[#This Row],[Equipment ID]])</f>
        <v/>
      </c>
      <c r="P854" s="10" t="n"/>
    </row>
    <row r="855">
      <c r="B855">
        <f t="array" ref="B855">_xlfn.XLOOKUP(C855,INDIRECT("tblEquipment[Equipment ID]"),INDIRECT("tblEquipment[Production Department]"),"")</f>
        <v/>
      </c>
      <c r="D855">
        <f t="array" ref="D855">_xlfn.XLOOKUP(C855,INDIRECT("tblEquipment[Equipment ID]"),INDIRECT("tblEquipment[Equipment Name]"),"")</f>
        <v/>
      </c>
      <c r="F855" s="16" t="n"/>
      <c r="G855" s="16" t="n"/>
      <c r="H855" s="1">
        <f>IF(OR(F855=0,G855=0),"",(G855-F855)*24)</f>
        <v/>
      </c>
      <c r="I855" s="10" t="n"/>
      <c r="J855" s="1">
        <f>IF(OR(tblDowntime[[#This Row],[Failure Type]]="Sawshop",tblDowntime[[#This Row],[Failure Type]]="Electrical",tblDowntime[[#This Row],[Failure Type]]="Mechanical"),tblDowntime[[#This Row],[Downtime Hours]],"")</f>
        <v/>
      </c>
      <c r="K855" s="10" t="n"/>
      <c r="L855" s="10" t="n"/>
      <c r="M855">
        <f>IF(tblDowntime[[#This Row],[Maintenance Downtime Hours]]="","",tblDowntime[[#This Row],[Equipment ID]])</f>
        <v/>
      </c>
      <c r="N855" s="1">
        <f>IF(tblDowntime[[#This Row],[Failure Type]]="Production",tblDowntime[[#This Row],[Downtime Hours]],"")</f>
        <v/>
      </c>
      <c r="O855">
        <f>IF(tblDowntime[[#This Row],[Production Downtime Hours]]="","",tblDowntime[[#This Row],[Equipment ID]])</f>
        <v/>
      </c>
      <c r="P855" s="10" t="n"/>
    </row>
    <row r="856">
      <c r="B856">
        <f t="array" ref="B856">_xlfn.XLOOKUP(C856,INDIRECT("tblEquipment[Equipment ID]"),INDIRECT("tblEquipment[Production Department]"),"")</f>
        <v/>
      </c>
      <c r="D856">
        <f t="array" ref="D856">_xlfn.XLOOKUP(C856,INDIRECT("tblEquipment[Equipment ID]"),INDIRECT("tblEquipment[Equipment Name]"),"")</f>
        <v/>
      </c>
      <c r="F856" s="16" t="n"/>
      <c r="G856" s="16" t="n"/>
      <c r="H856" s="1">
        <f>IF(OR(F856=0,G856=0),"",(G856-F856)*24)</f>
        <v/>
      </c>
      <c r="I856" s="10" t="n"/>
      <c r="J856" s="1">
        <f>IF(OR(tblDowntime[[#This Row],[Failure Type]]="Sawshop",tblDowntime[[#This Row],[Failure Type]]="Electrical",tblDowntime[[#This Row],[Failure Type]]="Mechanical"),tblDowntime[[#This Row],[Downtime Hours]],"")</f>
        <v/>
      </c>
      <c r="K856" s="10" t="n"/>
      <c r="L856" s="10" t="n"/>
      <c r="M856">
        <f>IF(tblDowntime[[#This Row],[Maintenance Downtime Hours]]="","",tblDowntime[[#This Row],[Equipment ID]])</f>
        <v/>
      </c>
      <c r="N856" s="1">
        <f>IF(tblDowntime[[#This Row],[Failure Type]]="Production",tblDowntime[[#This Row],[Downtime Hours]],"")</f>
        <v/>
      </c>
      <c r="O856">
        <f>IF(tblDowntime[[#This Row],[Production Downtime Hours]]="","",tblDowntime[[#This Row],[Equipment ID]])</f>
        <v/>
      </c>
      <c r="P856" s="10" t="n"/>
    </row>
    <row r="857">
      <c r="B857">
        <f t="array" ref="B857">_xlfn.XLOOKUP(C857,INDIRECT("tblEquipment[Equipment ID]"),INDIRECT("tblEquipment[Production Department]"),"")</f>
        <v/>
      </c>
      <c r="D857">
        <f t="array" ref="D857">_xlfn.XLOOKUP(C857,INDIRECT("tblEquipment[Equipment ID]"),INDIRECT("tblEquipment[Equipment Name]"),"")</f>
        <v/>
      </c>
      <c r="F857" s="16" t="n"/>
      <c r="G857" s="16" t="n"/>
      <c r="H857" s="1">
        <f>IF(OR(F857=0,G857=0),"",(G857-F857)*24)</f>
        <v/>
      </c>
      <c r="I857" s="10" t="n"/>
      <c r="J857" s="1">
        <f>IF(OR(tblDowntime[[#This Row],[Failure Type]]="Sawshop",tblDowntime[[#This Row],[Failure Type]]="Electrical",tblDowntime[[#This Row],[Failure Type]]="Mechanical"),tblDowntime[[#This Row],[Downtime Hours]],"")</f>
        <v/>
      </c>
      <c r="K857" s="10" t="n"/>
      <c r="L857" s="10" t="n"/>
      <c r="M857">
        <f>IF(tblDowntime[[#This Row],[Maintenance Downtime Hours]]="","",tblDowntime[[#This Row],[Equipment ID]])</f>
        <v/>
      </c>
      <c r="N857" s="1">
        <f>IF(tblDowntime[[#This Row],[Failure Type]]="Production",tblDowntime[[#This Row],[Downtime Hours]],"")</f>
        <v/>
      </c>
      <c r="O857">
        <f>IF(tblDowntime[[#This Row],[Production Downtime Hours]]="","",tblDowntime[[#This Row],[Equipment ID]])</f>
        <v/>
      </c>
      <c r="P857" s="10" t="n"/>
    </row>
    <row r="858">
      <c r="B858">
        <f t="array" ref="B858">_xlfn.XLOOKUP(C858,INDIRECT("tblEquipment[Equipment ID]"),INDIRECT("tblEquipment[Production Department]"),"")</f>
        <v/>
      </c>
      <c r="D858">
        <f t="array" ref="D858">_xlfn.XLOOKUP(C858,INDIRECT("tblEquipment[Equipment ID]"),INDIRECT("tblEquipment[Equipment Name]"),"")</f>
        <v/>
      </c>
      <c r="F858" s="16" t="n"/>
      <c r="G858" s="16" t="n"/>
      <c r="H858" s="1">
        <f>IF(OR(F858=0,G858=0),"",(G858-F858)*24)</f>
        <v/>
      </c>
      <c r="I858" s="10" t="n"/>
      <c r="J858" s="1">
        <f>IF(OR(tblDowntime[[#This Row],[Failure Type]]="Sawshop",tblDowntime[[#This Row],[Failure Type]]="Electrical",tblDowntime[[#This Row],[Failure Type]]="Mechanical"),tblDowntime[[#This Row],[Downtime Hours]],"")</f>
        <v/>
      </c>
      <c r="K858" s="10" t="n"/>
      <c r="L858" s="10" t="n"/>
      <c r="M858">
        <f>IF(tblDowntime[[#This Row],[Maintenance Downtime Hours]]="","",tblDowntime[[#This Row],[Equipment ID]])</f>
        <v/>
      </c>
      <c r="N858" s="1">
        <f>IF(tblDowntime[[#This Row],[Failure Type]]="Production",tblDowntime[[#This Row],[Downtime Hours]],"")</f>
        <v/>
      </c>
      <c r="O858">
        <f>IF(tblDowntime[[#This Row],[Production Downtime Hours]]="","",tblDowntime[[#This Row],[Equipment ID]])</f>
        <v/>
      </c>
      <c r="P858" s="10" t="n"/>
    </row>
    <row r="859">
      <c r="B859">
        <f t="array" ref="B859">_xlfn.XLOOKUP(C859,INDIRECT("tblEquipment[Equipment ID]"),INDIRECT("tblEquipment[Production Department]"),"")</f>
        <v/>
      </c>
      <c r="D859">
        <f t="array" ref="D859">_xlfn.XLOOKUP(C859,INDIRECT("tblEquipment[Equipment ID]"),INDIRECT("tblEquipment[Equipment Name]"),"")</f>
        <v/>
      </c>
      <c r="F859" s="16" t="n"/>
      <c r="G859" s="16" t="n"/>
      <c r="H859" s="1">
        <f>IF(OR(F859=0,G859=0),"",(G859-F859)*24)</f>
        <v/>
      </c>
      <c r="I859" s="10" t="n"/>
      <c r="J859" s="1">
        <f>IF(OR(tblDowntime[[#This Row],[Failure Type]]="Sawshop",tblDowntime[[#This Row],[Failure Type]]="Electrical",tblDowntime[[#This Row],[Failure Type]]="Mechanical"),tblDowntime[[#This Row],[Downtime Hours]],"")</f>
        <v/>
      </c>
      <c r="K859" s="10" t="n"/>
      <c r="L859" s="10" t="n"/>
      <c r="M859">
        <f>IF(tblDowntime[[#This Row],[Maintenance Downtime Hours]]="","",tblDowntime[[#This Row],[Equipment ID]])</f>
        <v/>
      </c>
      <c r="N859" s="1">
        <f>IF(tblDowntime[[#This Row],[Failure Type]]="Production",tblDowntime[[#This Row],[Downtime Hours]],"")</f>
        <v/>
      </c>
      <c r="O859">
        <f>IF(tblDowntime[[#This Row],[Production Downtime Hours]]="","",tblDowntime[[#This Row],[Equipment ID]])</f>
        <v/>
      </c>
      <c r="P859" s="10" t="n"/>
    </row>
    <row r="860">
      <c r="B860">
        <f t="array" ref="B860">_xlfn.XLOOKUP(C860,INDIRECT("tblEquipment[Equipment ID]"),INDIRECT("tblEquipment[Production Department]"),"")</f>
        <v/>
      </c>
      <c r="D860">
        <f t="array" ref="D860">_xlfn.XLOOKUP(C860,INDIRECT("tblEquipment[Equipment ID]"),INDIRECT("tblEquipment[Equipment Name]"),"")</f>
        <v/>
      </c>
      <c r="F860" s="16" t="n"/>
      <c r="G860" s="16" t="n"/>
      <c r="H860" s="1">
        <f>IF(OR(F860=0,G860=0),"",(G860-F860)*24)</f>
        <v/>
      </c>
      <c r="I860" s="10" t="n"/>
      <c r="J860" s="1">
        <f>IF(OR(tblDowntime[[#This Row],[Failure Type]]="Sawshop",tblDowntime[[#This Row],[Failure Type]]="Electrical",tblDowntime[[#This Row],[Failure Type]]="Mechanical"),tblDowntime[[#This Row],[Downtime Hours]],"")</f>
        <v/>
      </c>
      <c r="K860" s="10" t="n"/>
      <c r="L860" s="10" t="n"/>
      <c r="M860">
        <f>IF(tblDowntime[[#This Row],[Maintenance Downtime Hours]]="","",tblDowntime[[#This Row],[Equipment ID]])</f>
        <v/>
      </c>
      <c r="N860" s="1">
        <f>IF(tblDowntime[[#This Row],[Failure Type]]="Production",tblDowntime[[#This Row],[Downtime Hours]],"")</f>
        <v/>
      </c>
      <c r="O860">
        <f>IF(tblDowntime[[#This Row],[Production Downtime Hours]]="","",tblDowntime[[#This Row],[Equipment ID]])</f>
        <v/>
      </c>
      <c r="P860" s="10" t="n"/>
    </row>
    <row r="861">
      <c r="B861">
        <f t="array" ref="B861">_xlfn.XLOOKUP(C861,INDIRECT("tblEquipment[Equipment ID]"),INDIRECT("tblEquipment[Production Department]"),"")</f>
        <v/>
      </c>
      <c r="D861">
        <f t="array" ref="D861">_xlfn.XLOOKUP(C861,INDIRECT("tblEquipment[Equipment ID]"),INDIRECT("tblEquipment[Equipment Name]"),"")</f>
        <v/>
      </c>
      <c r="F861" s="16" t="n"/>
      <c r="G861" s="16" t="n"/>
      <c r="H861" s="1">
        <f>IF(OR(F861=0,G861=0),"",(G861-F861)*24)</f>
        <v/>
      </c>
      <c r="I861" s="10" t="n"/>
      <c r="J861" s="1">
        <f>IF(OR(tblDowntime[[#This Row],[Failure Type]]="Sawshop",tblDowntime[[#This Row],[Failure Type]]="Electrical",tblDowntime[[#This Row],[Failure Type]]="Mechanical"),tblDowntime[[#This Row],[Downtime Hours]],"")</f>
        <v/>
      </c>
      <c r="K861" s="10" t="n"/>
      <c r="L861" s="10" t="n"/>
      <c r="M861">
        <f>IF(tblDowntime[[#This Row],[Maintenance Downtime Hours]]="","",tblDowntime[[#This Row],[Equipment ID]])</f>
        <v/>
      </c>
      <c r="N861" s="1">
        <f>IF(tblDowntime[[#This Row],[Failure Type]]="Production",tblDowntime[[#This Row],[Downtime Hours]],"")</f>
        <v/>
      </c>
      <c r="O861">
        <f>IF(tblDowntime[[#This Row],[Production Downtime Hours]]="","",tblDowntime[[#This Row],[Equipment ID]])</f>
        <v/>
      </c>
      <c r="P861" s="10" t="n"/>
    </row>
    <row r="862">
      <c r="B862">
        <f t="array" ref="B862">_xlfn.XLOOKUP(C862,INDIRECT("tblEquipment[Equipment ID]"),INDIRECT("tblEquipment[Production Department]"),"")</f>
        <v/>
      </c>
      <c r="D862">
        <f t="array" ref="D862">_xlfn.XLOOKUP(C862,INDIRECT("tblEquipment[Equipment ID]"),INDIRECT("tblEquipment[Equipment Name]"),"")</f>
        <v/>
      </c>
      <c r="F862" s="16" t="n"/>
      <c r="G862" s="16" t="n"/>
      <c r="H862" s="1">
        <f>IF(OR(F862=0,G862=0),"",(G862-F862)*24)</f>
        <v/>
      </c>
      <c r="I862" s="10" t="n"/>
      <c r="J862" s="1">
        <f>IF(OR(tblDowntime[[#This Row],[Failure Type]]="Sawshop",tblDowntime[[#This Row],[Failure Type]]="Electrical",tblDowntime[[#This Row],[Failure Type]]="Mechanical"),tblDowntime[[#This Row],[Downtime Hours]],"")</f>
        <v/>
      </c>
      <c r="K862" s="10" t="n"/>
      <c r="L862" s="10" t="n"/>
      <c r="M862">
        <f>IF(tblDowntime[[#This Row],[Maintenance Downtime Hours]]="","",tblDowntime[[#This Row],[Equipment ID]])</f>
        <v/>
      </c>
      <c r="N862" s="1">
        <f>IF(tblDowntime[[#This Row],[Failure Type]]="Production",tblDowntime[[#This Row],[Downtime Hours]],"")</f>
        <v/>
      </c>
      <c r="O862">
        <f>IF(tblDowntime[[#This Row],[Production Downtime Hours]]="","",tblDowntime[[#This Row],[Equipment ID]])</f>
        <v/>
      </c>
      <c r="P862" s="10" t="n"/>
    </row>
    <row r="863">
      <c r="B863">
        <f t="array" ref="B863">_xlfn.XLOOKUP(C863,INDIRECT("tblEquipment[Equipment ID]"),INDIRECT("tblEquipment[Production Department]"),"")</f>
        <v/>
      </c>
      <c r="D863">
        <f t="array" ref="D863">_xlfn.XLOOKUP(C863,INDIRECT("tblEquipment[Equipment ID]"),INDIRECT("tblEquipment[Equipment Name]"),"")</f>
        <v/>
      </c>
      <c r="F863" s="16" t="n"/>
      <c r="G863" s="16" t="n"/>
      <c r="H863" s="1">
        <f>IF(OR(F863=0,G863=0),"",(G863-F863)*24)</f>
        <v/>
      </c>
      <c r="I863" s="10" t="n"/>
      <c r="J863" s="1">
        <f>IF(OR(tblDowntime[[#This Row],[Failure Type]]="Sawshop",tblDowntime[[#This Row],[Failure Type]]="Electrical",tblDowntime[[#This Row],[Failure Type]]="Mechanical"),tblDowntime[[#This Row],[Downtime Hours]],"")</f>
        <v/>
      </c>
      <c r="K863" s="10" t="n"/>
      <c r="L863" s="10" t="n"/>
      <c r="M863">
        <f>IF(tblDowntime[[#This Row],[Maintenance Downtime Hours]]="","",tblDowntime[[#This Row],[Equipment ID]])</f>
        <v/>
      </c>
      <c r="N863" s="1">
        <f>IF(tblDowntime[[#This Row],[Failure Type]]="Production",tblDowntime[[#This Row],[Downtime Hours]],"")</f>
        <v/>
      </c>
      <c r="O863">
        <f>IF(tblDowntime[[#This Row],[Production Downtime Hours]]="","",tblDowntime[[#This Row],[Equipment ID]])</f>
        <v/>
      </c>
      <c r="P863" s="10" t="n"/>
    </row>
    <row r="864">
      <c r="B864">
        <f t="array" ref="B864">_xlfn.XLOOKUP(C864,INDIRECT("tblEquipment[Equipment ID]"),INDIRECT("tblEquipment[Production Department]"),"")</f>
        <v/>
      </c>
      <c r="D864">
        <f t="array" ref="D864">_xlfn.XLOOKUP(C864,INDIRECT("tblEquipment[Equipment ID]"),INDIRECT("tblEquipment[Equipment Name]"),"")</f>
        <v/>
      </c>
      <c r="F864" s="16" t="n"/>
      <c r="G864" s="16" t="n"/>
      <c r="H864" s="1">
        <f>IF(OR(F864=0,G864=0),"",(G864-F864)*24)</f>
        <v/>
      </c>
      <c r="I864" s="10" t="n"/>
      <c r="J864" s="1">
        <f>IF(OR(tblDowntime[[#This Row],[Failure Type]]="Sawshop",tblDowntime[[#This Row],[Failure Type]]="Electrical",tblDowntime[[#This Row],[Failure Type]]="Mechanical"),tblDowntime[[#This Row],[Downtime Hours]],"")</f>
        <v/>
      </c>
      <c r="K864" s="10" t="n"/>
      <c r="L864" s="10" t="n"/>
      <c r="M864">
        <f>IF(tblDowntime[[#This Row],[Maintenance Downtime Hours]]="","",tblDowntime[[#This Row],[Equipment ID]])</f>
        <v/>
      </c>
      <c r="N864" s="1">
        <f>IF(tblDowntime[[#This Row],[Failure Type]]="Production",tblDowntime[[#This Row],[Downtime Hours]],"")</f>
        <v/>
      </c>
      <c r="O864">
        <f>IF(tblDowntime[[#This Row],[Production Downtime Hours]]="","",tblDowntime[[#This Row],[Equipment ID]])</f>
        <v/>
      </c>
      <c r="P864" s="10" t="n"/>
    </row>
    <row r="865">
      <c r="B865">
        <f t="array" ref="B865">_xlfn.XLOOKUP(C865,INDIRECT("tblEquipment[Equipment ID]"),INDIRECT("tblEquipment[Production Department]"),"")</f>
        <v/>
      </c>
      <c r="D865">
        <f t="array" ref="D865">_xlfn.XLOOKUP(C865,INDIRECT("tblEquipment[Equipment ID]"),INDIRECT("tblEquipment[Equipment Name]"),"")</f>
        <v/>
      </c>
      <c r="F865" s="16" t="n"/>
      <c r="G865" s="16" t="n"/>
      <c r="H865" s="1">
        <f>IF(OR(F865=0,G865=0),"",(G865-F865)*24)</f>
        <v/>
      </c>
      <c r="I865" s="10" t="n"/>
      <c r="J865" s="1">
        <f>IF(OR(tblDowntime[[#This Row],[Failure Type]]="Sawshop",tblDowntime[[#This Row],[Failure Type]]="Electrical",tblDowntime[[#This Row],[Failure Type]]="Mechanical"),tblDowntime[[#This Row],[Downtime Hours]],"")</f>
        <v/>
      </c>
      <c r="K865" s="10" t="n"/>
      <c r="L865" s="10" t="n"/>
      <c r="M865">
        <f>IF(tblDowntime[[#This Row],[Maintenance Downtime Hours]]="","",tblDowntime[[#This Row],[Equipment ID]])</f>
        <v/>
      </c>
      <c r="N865" s="1">
        <f>IF(tblDowntime[[#This Row],[Failure Type]]="Production",tblDowntime[[#This Row],[Downtime Hours]],"")</f>
        <v/>
      </c>
      <c r="O865">
        <f>IF(tblDowntime[[#This Row],[Production Downtime Hours]]="","",tblDowntime[[#This Row],[Equipment ID]])</f>
        <v/>
      </c>
      <c r="P865" s="10" t="n"/>
    </row>
    <row r="866">
      <c r="B866">
        <f t="array" ref="B866">_xlfn.XLOOKUP(C866,INDIRECT("tblEquipment[Equipment ID]"),INDIRECT("tblEquipment[Production Department]"),"")</f>
        <v/>
      </c>
      <c r="D866">
        <f t="array" ref="D866">_xlfn.XLOOKUP(C866,INDIRECT("tblEquipment[Equipment ID]"),INDIRECT("tblEquipment[Equipment Name]"),"")</f>
        <v/>
      </c>
      <c r="F866" s="16" t="n"/>
      <c r="G866" s="16" t="n"/>
      <c r="H866" s="1">
        <f>IF(OR(F866=0,G866=0),"",(G866-F866)*24)</f>
        <v/>
      </c>
      <c r="I866" s="10" t="n"/>
      <c r="J866" s="1">
        <f>IF(OR(tblDowntime[[#This Row],[Failure Type]]="Sawshop",tblDowntime[[#This Row],[Failure Type]]="Electrical",tblDowntime[[#This Row],[Failure Type]]="Mechanical"),tblDowntime[[#This Row],[Downtime Hours]],"")</f>
        <v/>
      </c>
      <c r="K866" s="10" t="n"/>
      <c r="L866" s="10" t="n"/>
      <c r="M866">
        <f>IF(tblDowntime[[#This Row],[Maintenance Downtime Hours]]="","",tblDowntime[[#This Row],[Equipment ID]])</f>
        <v/>
      </c>
      <c r="N866" s="1">
        <f>IF(tblDowntime[[#This Row],[Failure Type]]="Production",tblDowntime[[#This Row],[Downtime Hours]],"")</f>
        <v/>
      </c>
      <c r="O866">
        <f>IF(tblDowntime[[#This Row],[Production Downtime Hours]]="","",tblDowntime[[#This Row],[Equipment ID]])</f>
        <v/>
      </c>
      <c r="P866" s="10" t="n"/>
    </row>
    <row r="867">
      <c r="B867">
        <f t="array" ref="B867">_xlfn.XLOOKUP(C867,INDIRECT("tblEquipment[Equipment ID]"),INDIRECT("tblEquipment[Production Department]"),"")</f>
        <v/>
      </c>
      <c r="D867">
        <f t="array" ref="D867">_xlfn.XLOOKUP(C867,INDIRECT("tblEquipment[Equipment ID]"),INDIRECT("tblEquipment[Equipment Name]"),"")</f>
        <v/>
      </c>
      <c r="F867" s="16" t="n"/>
      <c r="G867" s="16" t="n"/>
      <c r="H867" s="1">
        <f>IF(OR(F867=0,G867=0),"",(G867-F867)*24)</f>
        <v/>
      </c>
      <c r="I867" s="10" t="n"/>
      <c r="J867" s="1">
        <f>IF(OR(tblDowntime[[#This Row],[Failure Type]]="Sawshop",tblDowntime[[#This Row],[Failure Type]]="Electrical",tblDowntime[[#This Row],[Failure Type]]="Mechanical"),tblDowntime[[#This Row],[Downtime Hours]],"")</f>
        <v/>
      </c>
      <c r="K867" s="10" t="n"/>
      <c r="L867" s="10" t="n"/>
      <c r="M867">
        <f>IF(tblDowntime[[#This Row],[Maintenance Downtime Hours]]="","",tblDowntime[[#This Row],[Equipment ID]])</f>
        <v/>
      </c>
      <c r="N867" s="1">
        <f>IF(tblDowntime[[#This Row],[Failure Type]]="Production",tblDowntime[[#This Row],[Downtime Hours]],"")</f>
        <v/>
      </c>
      <c r="O867">
        <f>IF(tblDowntime[[#This Row],[Production Downtime Hours]]="","",tblDowntime[[#This Row],[Equipment ID]])</f>
        <v/>
      </c>
      <c r="P867" s="10" t="n"/>
    </row>
    <row r="868">
      <c r="B868">
        <f t="array" ref="B868">_xlfn.XLOOKUP(C868,INDIRECT("tblEquipment[Equipment ID]"),INDIRECT("tblEquipment[Production Department]"),"")</f>
        <v/>
      </c>
      <c r="D868">
        <f t="array" ref="D868">_xlfn.XLOOKUP(C868,INDIRECT("tblEquipment[Equipment ID]"),INDIRECT("tblEquipment[Equipment Name]"),"")</f>
        <v/>
      </c>
      <c r="F868" s="16" t="n"/>
      <c r="G868" s="16" t="n"/>
      <c r="H868" s="1">
        <f>IF(OR(F868=0,G868=0),"",(G868-F868)*24)</f>
        <v/>
      </c>
      <c r="I868" s="10" t="n"/>
      <c r="J868" s="1">
        <f>IF(OR(tblDowntime[[#This Row],[Failure Type]]="Sawshop",tblDowntime[[#This Row],[Failure Type]]="Electrical",tblDowntime[[#This Row],[Failure Type]]="Mechanical"),tblDowntime[[#This Row],[Downtime Hours]],"")</f>
        <v/>
      </c>
      <c r="K868" s="10" t="n"/>
      <c r="L868" s="10" t="n"/>
      <c r="M868">
        <f>IF(tblDowntime[[#This Row],[Maintenance Downtime Hours]]="","",tblDowntime[[#This Row],[Equipment ID]])</f>
        <v/>
      </c>
      <c r="N868" s="1">
        <f>IF(tblDowntime[[#This Row],[Failure Type]]="Production",tblDowntime[[#This Row],[Downtime Hours]],"")</f>
        <v/>
      </c>
      <c r="O868">
        <f>IF(tblDowntime[[#This Row],[Production Downtime Hours]]="","",tblDowntime[[#This Row],[Equipment ID]])</f>
        <v/>
      </c>
      <c r="P868" s="10" t="n"/>
    </row>
    <row r="869">
      <c r="B869">
        <f t="array" ref="B869">_xlfn.XLOOKUP(C869,INDIRECT("tblEquipment[Equipment ID]"),INDIRECT("tblEquipment[Production Department]"),"")</f>
        <v/>
      </c>
      <c r="D869">
        <f t="array" ref="D869">_xlfn.XLOOKUP(C869,INDIRECT("tblEquipment[Equipment ID]"),INDIRECT("tblEquipment[Equipment Name]"),"")</f>
        <v/>
      </c>
      <c r="F869" s="16" t="n"/>
      <c r="G869" s="16" t="n"/>
      <c r="H869" s="1">
        <f>IF(OR(F869=0,G869=0),"",(G869-F869)*24)</f>
        <v/>
      </c>
      <c r="I869" s="10" t="n"/>
      <c r="J869" s="1">
        <f>IF(OR(tblDowntime[[#This Row],[Failure Type]]="Sawshop",tblDowntime[[#This Row],[Failure Type]]="Electrical",tblDowntime[[#This Row],[Failure Type]]="Mechanical"),tblDowntime[[#This Row],[Downtime Hours]],"")</f>
        <v/>
      </c>
      <c r="K869" s="10" t="n"/>
      <c r="L869" s="10" t="n"/>
      <c r="M869">
        <f>IF(tblDowntime[[#This Row],[Maintenance Downtime Hours]]="","",tblDowntime[[#This Row],[Equipment ID]])</f>
        <v/>
      </c>
      <c r="N869" s="1">
        <f>IF(tblDowntime[[#This Row],[Failure Type]]="Production",tblDowntime[[#This Row],[Downtime Hours]],"")</f>
        <v/>
      </c>
      <c r="O869">
        <f>IF(tblDowntime[[#This Row],[Production Downtime Hours]]="","",tblDowntime[[#This Row],[Equipment ID]])</f>
        <v/>
      </c>
      <c r="P869" s="10" t="n"/>
    </row>
    <row r="870">
      <c r="B870">
        <f t="array" ref="B870">_xlfn.XLOOKUP(C870,INDIRECT("tblEquipment[Equipment ID]"),INDIRECT("tblEquipment[Production Department]"),"")</f>
        <v/>
      </c>
      <c r="D870">
        <f t="array" ref="D870">_xlfn.XLOOKUP(C870,INDIRECT("tblEquipment[Equipment ID]"),INDIRECT("tblEquipment[Equipment Name]"),"")</f>
        <v/>
      </c>
      <c r="F870" s="16" t="n"/>
      <c r="G870" s="16" t="n"/>
      <c r="H870" s="1">
        <f>IF(OR(F870=0,G870=0),"",(G870-F870)*24)</f>
        <v/>
      </c>
      <c r="I870" s="10" t="n"/>
      <c r="J870" s="1">
        <f>IF(OR(tblDowntime[[#This Row],[Failure Type]]="Sawshop",tblDowntime[[#This Row],[Failure Type]]="Electrical",tblDowntime[[#This Row],[Failure Type]]="Mechanical"),tblDowntime[[#This Row],[Downtime Hours]],"")</f>
        <v/>
      </c>
      <c r="K870" s="10" t="n"/>
      <c r="L870" s="10" t="n"/>
      <c r="M870">
        <f>IF(tblDowntime[[#This Row],[Maintenance Downtime Hours]]="","",tblDowntime[[#This Row],[Equipment ID]])</f>
        <v/>
      </c>
      <c r="N870" s="1">
        <f>IF(tblDowntime[[#This Row],[Failure Type]]="Production",tblDowntime[[#This Row],[Downtime Hours]],"")</f>
        <v/>
      </c>
      <c r="O870">
        <f>IF(tblDowntime[[#This Row],[Production Downtime Hours]]="","",tblDowntime[[#This Row],[Equipment ID]])</f>
        <v/>
      </c>
      <c r="P870" s="10" t="n"/>
    </row>
    <row r="871">
      <c r="B871">
        <f t="array" ref="B871">_xlfn.XLOOKUP(C871,INDIRECT("tblEquipment[Equipment ID]"),INDIRECT("tblEquipment[Production Department]"),"")</f>
        <v/>
      </c>
      <c r="D871">
        <f t="array" ref="D871">_xlfn.XLOOKUP(C871,INDIRECT("tblEquipment[Equipment ID]"),INDIRECT("tblEquipment[Equipment Name]"),"")</f>
        <v/>
      </c>
      <c r="F871" s="16" t="n"/>
      <c r="G871" s="16" t="n"/>
      <c r="H871" s="1">
        <f>IF(OR(F871=0,G871=0),"",(G871-F871)*24)</f>
        <v/>
      </c>
      <c r="I871" s="10" t="n"/>
      <c r="J871" s="1">
        <f>IF(OR(tblDowntime[[#This Row],[Failure Type]]="Sawshop",tblDowntime[[#This Row],[Failure Type]]="Electrical",tblDowntime[[#This Row],[Failure Type]]="Mechanical"),tblDowntime[[#This Row],[Downtime Hours]],"")</f>
        <v/>
      </c>
      <c r="K871" s="10" t="n"/>
      <c r="L871" s="10" t="n"/>
      <c r="M871">
        <f>IF(tblDowntime[[#This Row],[Maintenance Downtime Hours]]="","",tblDowntime[[#This Row],[Equipment ID]])</f>
        <v/>
      </c>
      <c r="N871" s="1">
        <f>IF(tblDowntime[[#This Row],[Failure Type]]="Production",tblDowntime[[#This Row],[Downtime Hours]],"")</f>
        <v/>
      </c>
      <c r="O871">
        <f>IF(tblDowntime[[#This Row],[Production Downtime Hours]]="","",tblDowntime[[#This Row],[Equipment ID]])</f>
        <v/>
      </c>
      <c r="P871" s="10" t="n"/>
    </row>
    <row r="872">
      <c r="B872">
        <f t="array" ref="B872">_xlfn.XLOOKUP(C872,INDIRECT("tblEquipment[Equipment ID]"),INDIRECT("tblEquipment[Production Department]"),"")</f>
        <v/>
      </c>
      <c r="D872">
        <f t="array" ref="D872">_xlfn.XLOOKUP(C872,INDIRECT("tblEquipment[Equipment ID]"),INDIRECT("tblEquipment[Equipment Name]"),"")</f>
        <v/>
      </c>
      <c r="F872" s="16" t="n"/>
      <c r="G872" s="16" t="n"/>
      <c r="H872" s="1">
        <f>IF(OR(F872=0,G872=0),"",(G872-F872)*24)</f>
        <v/>
      </c>
      <c r="I872" s="10" t="n"/>
      <c r="J872" s="1">
        <f>IF(OR(tblDowntime[[#This Row],[Failure Type]]="Sawshop",tblDowntime[[#This Row],[Failure Type]]="Electrical",tblDowntime[[#This Row],[Failure Type]]="Mechanical"),tblDowntime[[#This Row],[Downtime Hours]],"")</f>
        <v/>
      </c>
      <c r="K872" s="10" t="n"/>
      <c r="L872" s="10" t="n"/>
      <c r="M872">
        <f>IF(tblDowntime[[#This Row],[Maintenance Downtime Hours]]="","",tblDowntime[[#This Row],[Equipment ID]])</f>
        <v/>
      </c>
      <c r="N872" s="1">
        <f>IF(tblDowntime[[#This Row],[Failure Type]]="Production",tblDowntime[[#This Row],[Downtime Hours]],"")</f>
        <v/>
      </c>
      <c r="O872">
        <f>IF(tblDowntime[[#This Row],[Production Downtime Hours]]="","",tblDowntime[[#This Row],[Equipment ID]])</f>
        <v/>
      </c>
      <c r="P872" s="10" t="n"/>
    </row>
    <row r="873">
      <c r="B873">
        <f t="array" ref="B873">_xlfn.XLOOKUP(C873,INDIRECT("tblEquipment[Equipment ID]"),INDIRECT("tblEquipment[Production Department]"),"")</f>
        <v/>
      </c>
      <c r="D873">
        <f t="array" ref="D873">_xlfn.XLOOKUP(C873,INDIRECT("tblEquipment[Equipment ID]"),INDIRECT("tblEquipment[Equipment Name]"),"")</f>
        <v/>
      </c>
      <c r="F873" s="16" t="n"/>
      <c r="G873" s="16" t="n"/>
      <c r="H873" s="1">
        <f>IF(OR(F873=0,G873=0),"",(G873-F873)*24)</f>
        <v/>
      </c>
      <c r="I873" s="10" t="n"/>
      <c r="J873" s="1">
        <f>IF(OR(tblDowntime[[#This Row],[Failure Type]]="Sawshop",tblDowntime[[#This Row],[Failure Type]]="Electrical",tblDowntime[[#This Row],[Failure Type]]="Mechanical"),tblDowntime[[#This Row],[Downtime Hours]],"")</f>
        <v/>
      </c>
      <c r="K873" s="10" t="n"/>
      <c r="L873" s="10" t="n"/>
      <c r="M873">
        <f>IF(tblDowntime[[#This Row],[Maintenance Downtime Hours]]="","",tblDowntime[[#This Row],[Equipment ID]])</f>
        <v/>
      </c>
      <c r="N873" s="1">
        <f>IF(tblDowntime[[#This Row],[Failure Type]]="Production",tblDowntime[[#This Row],[Downtime Hours]],"")</f>
        <v/>
      </c>
      <c r="O873">
        <f>IF(tblDowntime[[#This Row],[Production Downtime Hours]]="","",tblDowntime[[#This Row],[Equipment ID]])</f>
        <v/>
      </c>
      <c r="P873" s="10" t="n"/>
    </row>
    <row r="874">
      <c r="B874">
        <f t="array" ref="B874">_xlfn.XLOOKUP(C874,INDIRECT("tblEquipment[Equipment ID]"),INDIRECT("tblEquipment[Production Department]"),"")</f>
        <v/>
      </c>
      <c r="D874">
        <f t="array" ref="D874">_xlfn.XLOOKUP(C874,INDIRECT("tblEquipment[Equipment ID]"),INDIRECT("tblEquipment[Equipment Name]"),"")</f>
        <v/>
      </c>
      <c r="F874" s="16" t="n"/>
      <c r="G874" s="16" t="n"/>
      <c r="H874" s="1">
        <f>IF(OR(F874=0,G874=0),"",(G874-F874)*24)</f>
        <v/>
      </c>
      <c r="I874" s="10" t="n"/>
      <c r="J874" s="1">
        <f>IF(OR(tblDowntime[[#This Row],[Failure Type]]="Sawshop",tblDowntime[[#This Row],[Failure Type]]="Electrical",tblDowntime[[#This Row],[Failure Type]]="Mechanical"),tblDowntime[[#This Row],[Downtime Hours]],"")</f>
        <v/>
      </c>
      <c r="K874" s="10" t="n"/>
      <c r="L874" s="10" t="n"/>
      <c r="M874">
        <f>IF(tblDowntime[[#This Row],[Maintenance Downtime Hours]]="","",tblDowntime[[#This Row],[Equipment ID]])</f>
        <v/>
      </c>
      <c r="N874" s="1">
        <f>IF(tblDowntime[[#This Row],[Failure Type]]="Production",tblDowntime[[#This Row],[Downtime Hours]],"")</f>
        <v/>
      </c>
      <c r="O874">
        <f>IF(tblDowntime[[#This Row],[Production Downtime Hours]]="","",tblDowntime[[#This Row],[Equipment ID]])</f>
        <v/>
      </c>
      <c r="P874" s="10" t="n"/>
    </row>
    <row r="875">
      <c r="B875">
        <f t="array" ref="B875">_xlfn.XLOOKUP(C875,INDIRECT("tblEquipment[Equipment ID]"),INDIRECT("tblEquipment[Production Department]"),"")</f>
        <v/>
      </c>
      <c r="D875">
        <f t="array" ref="D875">_xlfn.XLOOKUP(C875,INDIRECT("tblEquipment[Equipment ID]"),INDIRECT("tblEquipment[Equipment Name]"),"")</f>
        <v/>
      </c>
      <c r="F875" s="16" t="n"/>
      <c r="G875" s="16" t="n"/>
      <c r="H875" s="1">
        <f>IF(OR(F875=0,G875=0),"",(G875-F875)*24)</f>
        <v/>
      </c>
      <c r="I875" s="10" t="n"/>
      <c r="J875" s="1">
        <f>IF(OR(tblDowntime[[#This Row],[Failure Type]]="Sawshop",tblDowntime[[#This Row],[Failure Type]]="Electrical",tblDowntime[[#This Row],[Failure Type]]="Mechanical"),tblDowntime[[#This Row],[Downtime Hours]],"")</f>
        <v/>
      </c>
      <c r="K875" s="10" t="n"/>
      <c r="L875" s="10" t="n"/>
      <c r="M875">
        <f>IF(tblDowntime[[#This Row],[Maintenance Downtime Hours]]="","",tblDowntime[[#This Row],[Equipment ID]])</f>
        <v/>
      </c>
      <c r="N875" s="1">
        <f>IF(tblDowntime[[#This Row],[Failure Type]]="Production",tblDowntime[[#This Row],[Downtime Hours]],"")</f>
        <v/>
      </c>
      <c r="O875">
        <f>IF(tblDowntime[[#This Row],[Production Downtime Hours]]="","",tblDowntime[[#This Row],[Equipment ID]])</f>
        <v/>
      </c>
      <c r="P875" s="10" t="n"/>
    </row>
    <row r="876">
      <c r="B876">
        <f t="array" ref="B876">_xlfn.XLOOKUP(C876,INDIRECT("tblEquipment[Equipment ID]"),INDIRECT("tblEquipment[Production Department]"),"")</f>
        <v/>
      </c>
      <c r="D876">
        <f t="array" ref="D876">_xlfn.XLOOKUP(C876,INDIRECT("tblEquipment[Equipment ID]"),INDIRECT("tblEquipment[Equipment Name]"),"")</f>
        <v/>
      </c>
      <c r="F876" s="16" t="n"/>
      <c r="G876" s="16" t="n"/>
      <c r="H876" s="1">
        <f>IF(OR(F876=0,G876=0),"",(G876-F876)*24)</f>
        <v/>
      </c>
      <c r="I876" s="10" t="n"/>
      <c r="J876" s="1">
        <f>IF(OR(tblDowntime[[#This Row],[Failure Type]]="Sawshop",tblDowntime[[#This Row],[Failure Type]]="Electrical",tblDowntime[[#This Row],[Failure Type]]="Mechanical"),tblDowntime[[#This Row],[Downtime Hours]],"")</f>
        <v/>
      </c>
      <c r="K876" s="10" t="n"/>
      <c r="L876" s="10" t="n"/>
      <c r="M876">
        <f>IF(tblDowntime[[#This Row],[Maintenance Downtime Hours]]="","",tblDowntime[[#This Row],[Equipment ID]])</f>
        <v/>
      </c>
      <c r="N876" s="1">
        <f>IF(tblDowntime[[#This Row],[Failure Type]]="Production",tblDowntime[[#This Row],[Downtime Hours]],"")</f>
        <v/>
      </c>
      <c r="O876">
        <f>IF(tblDowntime[[#This Row],[Production Downtime Hours]]="","",tblDowntime[[#This Row],[Equipment ID]])</f>
        <v/>
      </c>
      <c r="P876" s="10" t="n"/>
    </row>
    <row r="877">
      <c r="B877">
        <f t="array" ref="B877">_xlfn.XLOOKUP(C877,INDIRECT("tblEquipment[Equipment ID]"),INDIRECT("tblEquipment[Production Department]"),"")</f>
        <v/>
      </c>
      <c r="D877">
        <f t="array" ref="D877">_xlfn.XLOOKUP(C877,INDIRECT("tblEquipment[Equipment ID]"),INDIRECT("tblEquipment[Equipment Name]"),"")</f>
        <v/>
      </c>
      <c r="F877" s="16" t="n"/>
      <c r="G877" s="16" t="n"/>
      <c r="H877" s="1">
        <f>IF(OR(F877=0,G877=0),"",(G877-F877)*24)</f>
        <v/>
      </c>
      <c r="I877" s="10" t="n"/>
      <c r="J877" s="1">
        <f>IF(OR(tblDowntime[[#This Row],[Failure Type]]="Sawshop",tblDowntime[[#This Row],[Failure Type]]="Electrical",tblDowntime[[#This Row],[Failure Type]]="Mechanical"),tblDowntime[[#This Row],[Downtime Hours]],"")</f>
        <v/>
      </c>
      <c r="K877" s="10" t="n"/>
      <c r="L877" s="10" t="n"/>
      <c r="M877">
        <f>IF(tblDowntime[[#This Row],[Maintenance Downtime Hours]]="","",tblDowntime[[#This Row],[Equipment ID]])</f>
        <v/>
      </c>
      <c r="N877" s="1">
        <f>IF(tblDowntime[[#This Row],[Failure Type]]="Production",tblDowntime[[#This Row],[Downtime Hours]],"")</f>
        <v/>
      </c>
      <c r="O877">
        <f>IF(tblDowntime[[#This Row],[Production Downtime Hours]]="","",tblDowntime[[#This Row],[Equipment ID]])</f>
        <v/>
      </c>
      <c r="P877" s="10" t="n"/>
    </row>
    <row r="878">
      <c r="B878">
        <f t="array" ref="B878">_xlfn.XLOOKUP(C878,INDIRECT("tblEquipment[Equipment ID]"),INDIRECT("tblEquipment[Production Department]"),"")</f>
        <v/>
      </c>
      <c r="D878">
        <f t="array" ref="D878">_xlfn.XLOOKUP(C878,INDIRECT("tblEquipment[Equipment ID]"),INDIRECT("tblEquipment[Equipment Name]"),"")</f>
        <v/>
      </c>
      <c r="F878" s="16" t="n"/>
      <c r="G878" s="16" t="n"/>
      <c r="H878" s="1">
        <f>IF(OR(F878=0,G878=0),"",(G878-F878)*24)</f>
        <v/>
      </c>
      <c r="I878" s="10" t="n"/>
      <c r="J878" s="1">
        <f>IF(OR(tblDowntime[[#This Row],[Failure Type]]="Sawshop",tblDowntime[[#This Row],[Failure Type]]="Electrical",tblDowntime[[#This Row],[Failure Type]]="Mechanical"),tblDowntime[[#This Row],[Downtime Hours]],"")</f>
        <v/>
      </c>
      <c r="K878" s="10" t="n"/>
      <c r="L878" s="10" t="n"/>
      <c r="M878">
        <f>IF(tblDowntime[[#This Row],[Maintenance Downtime Hours]]="","",tblDowntime[[#This Row],[Equipment ID]])</f>
        <v/>
      </c>
      <c r="N878" s="1">
        <f>IF(tblDowntime[[#This Row],[Failure Type]]="Production",tblDowntime[[#This Row],[Downtime Hours]],"")</f>
        <v/>
      </c>
      <c r="O878">
        <f>IF(tblDowntime[[#This Row],[Production Downtime Hours]]="","",tblDowntime[[#This Row],[Equipment ID]])</f>
        <v/>
      </c>
      <c r="P878" s="10" t="n"/>
    </row>
    <row r="879">
      <c r="B879">
        <f t="array" ref="B879">_xlfn.XLOOKUP(C879,INDIRECT("tblEquipment[Equipment ID]"),INDIRECT("tblEquipment[Production Department]"),"")</f>
        <v/>
      </c>
      <c r="D879">
        <f t="array" ref="D879">_xlfn.XLOOKUP(C879,INDIRECT("tblEquipment[Equipment ID]"),INDIRECT("tblEquipment[Equipment Name]"),"")</f>
        <v/>
      </c>
      <c r="F879" s="16" t="n"/>
      <c r="G879" s="16" t="n"/>
      <c r="H879" s="1">
        <f>IF(OR(F879=0,G879=0),"",(G879-F879)*24)</f>
        <v/>
      </c>
      <c r="I879" s="10" t="n"/>
      <c r="J879" s="1">
        <f>IF(OR(tblDowntime[[#This Row],[Failure Type]]="Sawshop",tblDowntime[[#This Row],[Failure Type]]="Electrical",tblDowntime[[#This Row],[Failure Type]]="Mechanical"),tblDowntime[[#This Row],[Downtime Hours]],"")</f>
        <v/>
      </c>
      <c r="K879" s="10" t="n"/>
      <c r="L879" s="10" t="n"/>
      <c r="M879">
        <f>IF(tblDowntime[[#This Row],[Maintenance Downtime Hours]]="","",tblDowntime[[#This Row],[Equipment ID]])</f>
        <v/>
      </c>
      <c r="N879" s="1">
        <f>IF(tblDowntime[[#This Row],[Failure Type]]="Production",tblDowntime[[#This Row],[Downtime Hours]],"")</f>
        <v/>
      </c>
      <c r="O879">
        <f>IF(tblDowntime[[#This Row],[Production Downtime Hours]]="","",tblDowntime[[#This Row],[Equipment ID]])</f>
        <v/>
      </c>
      <c r="P879" s="10" t="n"/>
    </row>
    <row r="880">
      <c r="B880">
        <f t="array" ref="B880">_xlfn.XLOOKUP(C880,INDIRECT("tblEquipment[Equipment ID]"),INDIRECT("tblEquipment[Production Department]"),"")</f>
        <v/>
      </c>
      <c r="D880">
        <f t="array" ref="D880">_xlfn.XLOOKUP(C880,INDIRECT("tblEquipment[Equipment ID]"),INDIRECT("tblEquipment[Equipment Name]"),"")</f>
        <v/>
      </c>
      <c r="F880" s="16" t="n"/>
      <c r="G880" s="16" t="n"/>
      <c r="H880" s="1">
        <f>IF(OR(F880=0,G880=0),"",(G880-F880)*24)</f>
        <v/>
      </c>
      <c r="I880" s="10" t="n"/>
      <c r="J880" s="1">
        <f>IF(OR(tblDowntime[[#This Row],[Failure Type]]="Sawshop",tblDowntime[[#This Row],[Failure Type]]="Electrical",tblDowntime[[#This Row],[Failure Type]]="Mechanical"),tblDowntime[[#This Row],[Downtime Hours]],"")</f>
        <v/>
      </c>
      <c r="K880" s="10" t="n"/>
      <c r="L880" s="10" t="n"/>
      <c r="M880">
        <f>IF(tblDowntime[[#This Row],[Maintenance Downtime Hours]]="","",tblDowntime[[#This Row],[Equipment ID]])</f>
        <v/>
      </c>
      <c r="N880" s="1">
        <f>IF(tblDowntime[[#This Row],[Failure Type]]="Production",tblDowntime[[#This Row],[Downtime Hours]],"")</f>
        <v/>
      </c>
      <c r="O880">
        <f>IF(tblDowntime[[#This Row],[Production Downtime Hours]]="","",tblDowntime[[#This Row],[Equipment ID]])</f>
        <v/>
      </c>
      <c r="P880" s="10" t="n"/>
    </row>
    <row r="881">
      <c r="B881">
        <f t="array" ref="B881">_xlfn.XLOOKUP(C881,INDIRECT("tblEquipment[Equipment ID]"),INDIRECT("tblEquipment[Production Department]"),"")</f>
        <v/>
      </c>
      <c r="D881">
        <f t="array" ref="D881">_xlfn.XLOOKUP(C881,INDIRECT("tblEquipment[Equipment ID]"),INDIRECT("tblEquipment[Equipment Name]"),"")</f>
        <v/>
      </c>
      <c r="F881" s="16" t="n"/>
      <c r="G881" s="16" t="n"/>
      <c r="H881" s="1">
        <f>IF(OR(F881=0,G881=0),"",(G881-F881)*24)</f>
        <v/>
      </c>
      <c r="I881" s="10" t="n"/>
      <c r="J881" s="1">
        <f>IF(OR(tblDowntime[[#This Row],[Failure Type]]="Sawshop",tblDowntime[[#This Row],[Failure Type]]="Electrical",tblDowntime[[#This Row],[Failure Type]]="Mechanical"),tblDowntime[[#This Row],[Downtime Hours]],"")</f>
        <v/>
      </c>
      <c r="K881" s="10" t="n"/>
      <c r="L881" s="10" t="n"/>
      <c r="M881">
        <f>IF(tblDowntime[[#This Row],[Maintenance Downtime Hours]]="","",tblDowntime[[#This Row],[Equipment ID]])</f>
        <v/>
      </c>
      <c r="N881" s="1">
        <f>IF(tblDowntime[[#This Row],[Failure Type]]="Production",tblDowntime[[#This Row],[Downtime Hours]],"")</f>
        <v/>
      </c>
      <c r="O881">
        <f>IF(tblDowntime[[#This Row],[Production Downtime Hours]]="","",tblDowntime[[#This Row],[Equipment ID]])</f>
        <v/>
      </c>
      <c r="P881" s="10" t="n"/>
    </row>
    <row r="882">
      <c r="B882">
        <f t="array" ref="B882">_xlfn.XLOOKUP(C882,INDIRECT("tblEquipment[Equipment ID]"),INDIRECT("tblEquipment[Production Department]"),"")</f>
        <v/>
      </c>
      <c r="D882">
        <f t="array" ref="D882">_xlfn.XLOOKUP(C882,INDIRECT("tblEquipment[Equipment ID]"),INDIRECT("tblEquipment[Equipment Name]"),"")</f>
        <v/>
      </c>
      <c r="F882" s="16" t="n"/>
      <c r="G882" s="16" t="n"/>
      <c r="H882" s="1">
        <f>IF(OR(F882=0,G882=0),"",(G882-F882)*24)</f>
        <v/>
      </c>
      <c r="I882" s="10" t="n"/>
      <c r="J882" s="1">
        <f>IF(OR(tblDowntime[[#This Row],[Failure Type]]="Sawshop",tblDowntime[[#This Row],[Failure Type]]="Electrical",tblDowntime[[#This Row],[Failure Type]]="Mechanical"),tblDowntime[[#This Row],[Downtime Hours]],"")</f>
        <v/>
      </c>
      <c r="K882" s="10" t="n"/>
      <c r="L882" s="10" t="n"/>
      <c r="M882">
        <f>IF(tblDowntime[[#This Row],[Maintenance Downtime Hours]]="","",tblDowntime[[#This Row],[Equipment ID]])</f>
        <v/>
      </c>
      <c r="N882" s="1">
        <f>IF(tblDowntime[[#This Row],[Failure Type]]="Production",tblDowntime[[#This Row],[Downtime Hours]],"")</f>
        <v/>
      </c>
      <c r="O882">
        <f>IF(tblDowntime[[#This Row],[Production Downtime Hours]]="","",tblDowntime[[#This Row],[Equipment ID]])</f>
        <v/>
      </c>
      <c r="P882" s="10" t="n"/>
    </row>
    <row r="883">
      <c r="B883">
        <f t="array" ref="B883">_xlfn.XLOOKUP(C883,INDIRECT("tblEquipment[Equipment ID]"),INDIRECT("tblEquipment[Production Department]"),"")</f>
        <v/>
      </c>
      <c r="D883">
        <f t="array" ref="D883">_xlfn.XLOOKUP(C883,INDIRECT("tblEquipment[Equipment ID]"),INDIRECT("tblEquipment[Equipment Name]"),"")</f>
        <v/>
      </c>
      <c r="F883" s="16" t="n"/>
      <c r="G883" s="16" t="n"/>
      <c r="H883" s="1">
        <f>IF(OR(F883=0,G883=0),"",(G883-F883)*24)</f>
        <v/>
      </c>
      <c r="I883" s="10" t="n"/>
      <c r="J883" s="1">
        <f>IF(OR(tblDowntime[[#This Row],[Failure Type]]="Sawshop",tblDowntime[[#This Row],[Failure Type]]="Electrical",tblDowntime[[#This Row],[Failure Type]]="Mechanical"),tblDowntime[[#This Row],[Downtime Hours]],"")</f>
        <v/>
      </c>
      <c r="K883" s="10" t="n"/>
      <c r="L883" s="10" t="n"/>
      <c r="M883">
        <f>IF(tblDowntime[[#This Row],[Maintenance Downtime Hours]]="","",tblDowntime[[#This Row],[Equipment ID]])</f>
        <v/>
      </c>
      <c r="N883" s="1">
        <f>IF(tblDowntime[[#This Row],[Failure Type]]="Production",tblDowntime[[#This Row],[Downtime Hours]],"")</f>
        <v/>
      </c>
      <c r="O883">
        <f>IF(tblDowntime[[#This Row],[Production Downtime Hours]]="","",tblDowntime[[#This Row],[Equipment ID]])</f>
        <v/>
      </c>
      <c r="P883" s="10" t="n"/>
    </row>
    <row r="884">
      <c r="B884">
        <f t="array" ref="B884">_xlfn.XLOOKUP(C884,INDIRECT("tblEquipment[Equipment ID]"),INDIRECT("tblEquipment[Production Department]"),"")</f>
        <v/>
      </c>
      <c r="D884">
        <f t="array" ref="D884">_xlfn.XLOOKUP(C884,INDIRECT("tblEquipment[Equipment ID]"),INDIRECT("tblEquipment[Equipment Name]"),"")</f>
        <v/>
      </c>
      <c r="F884" s="16" t="n"/>
      <c r="G884" s="16" t="n"/>
      <c r="H884" s="1">
        <f>IF(OR(F884=0,G884=0),"",(G884-F884)*24)</f>
        <v/>
      </c>
      <c r="I884" s="10" t="n"/>
      <c r="J884" s="1">
        <f>IF(OR(tblDowntime[[#This Row],[Failure Type]]="Sawshop",tblDowntime[[#This Row],[Failure Type]]="Electrical",tblDowntime[[#This Row],[Failure Type]]="Mechanical"),tblDowntime[[#This Row],[Downtime Hours]],"")</f>
        <v/>
      </c>
      <c r="K884" s="10" t="n"/>
      <c r="L884" s="10" t="n"/>
      <c r="M884">
        <f>IF(tblDowntime[[#This Row],[Maintenance Downtime Hours]]="","",tblDowntime[[#This Row],[Equipment ID]])</f>
        <v/>
      </c>
      <c r="N884" s="1">
        <f>IF(tblDowntime[[#This Row],[Failure Type]]="Production",tblDowntime[[#This Row],[Downtime Hours]],"")</f>
        <v/>
      </c>
      <c r="O884">
        <f>IF(tblDowntime[[#This Row],[Production Downtime Hours]]="","",tblDowntime[[#This Row],[Equipment ID]])</f>
        <v/>
      </c>
      <c r="P884" s="10" t="n"/>
    </row>
    <row r="885">
      <c r="B885">
        <f t="array" ref="B885">_xlfn.XLOOKUP(C885,INDIRECT("tblEquipment[Equipment ID]"),INDIRECT("tblEquipment[Production Department]"),"")</f>
        <v/>
      </c>
      <c r="D885">
        <f t="array" ref="D885">_xlfn.XLOOKUP(C885,INDIRECT("tblEquipment[Equipment ID]"),INDIRECT("tblEquipment[Equipment Name]"),"")</f>
        <v/>
      </c>
      <c r="F885" s="16" t="n"/>
      <c r="G885" s="16" t="n"/>
      <c r="H885" s="1">
        <f>IF(OR(F885=0,G885=0),"",(G885-F885)*24)</f>
        <v/>
      </c>
      <c r="I885" s="10" t="n"/>
      <c r="J885" s="1">
        <f>IF(OR(tblDowntime[[#This Row],[Failure Type]]="Sawshop",tblDowntime[[#This Row],[Failure Type]]="Electrical",tblDowntime[[#This Row],[Failure Type]]="Mechanical"),tblDowntime[[#This Row],[Downtime Hours]],"")</f>
        <v/>
      </c>
      <c r="K885" s="10" t="n"/>
      <c r="L885" s="10" t="n"/>
      <c r="M885">
        <f>IF(tblDowntime[[#This Row],[Maintenance Downtime Hours]]="","",tblDowntime[[#This Row],[Equipment ID]])</f>
        <v/>
      </c>
      <c r="N885" s="1">
        <f>IF(tblDowntime[[#This Row],[Failure Type]]="Production",tblDowntime[[#This Row],[Downtime Hours]],"")</f>
        <v/>
      </c>
      <c r="O885">
        <f>IF(tblDowntime[[#This Row],[Production Downtime Hours]]="","",tblDowntime[[#This Row],[Equipment ID]])</f>
        <v/>
      </c>
      <c r="P885" s="10" t="n"/>
    </row>
    <row r="886">
      <c r="B886">
        <f t="array" ref="B886">_xlfn.XLOOKUP(C886,INDIRECT("tblEquipment[Equipment ID]"),INDIRECT("tblEquipment[Production Department]"),"")</f>
        <v/>
      </c>
      <c r="D886">
        <f t="array" ref="D886">_xlfn.XLOOKUP(C886,INDIRECT("tblEquipment[Equipment ID]"),INDIRECT("tblEquipment[Equipment Name]"),"")</f>
        <v/>
      </c>
      <c r="F886" s="16" t="n"/>
      <c r="G886" s="16" t="n"/>
      <c r="H886" s="1">
        <f>IF(OR(F886=0,G886=0),"",(G886-F886)*24)</f>
        <v/>
      </c>
      <c r="I886" s="10" t="n"/>
      <c r="J886" s="1">
        <f>IF(OR(tblDowntime[[#This Row],[Failure Type]]="Sawshop",tblDowntime[[#This Row],[Failure Type]]="Electrical",tblDowntime[[#This Row],[Failure Type]]="Mechanical"),tblDowntime[[#This Row],[Downtime Hours]],"")</f>
        <v/>
      </c>
      <c r="K886" s="10" t="n"/>
      <c r="L886" s="10" t="n"/>
      <c r="M886">
        <f>IF(tblDowntime[[#This Row],[Maintenance Downtime Hours]]="","",tblDowntime[[#This Row],[Equipment ID]])</f>
        <v/>
      </c>
      <c r="N886" s="1">
        <f>IF(tblDowntime[[#This Row],[Failure Type]]="Production",tblDowntime[[#This Row],[Downtime Hours]],"")</f>
        <v/>
      </c>
      <c r="O886">
        <f>IF(tblDowntime[[#This Row],[Production Downtime Hours]]="","",tblDowntime[[#This Row],[Equipment ID]])</f>
        <v/>
      </c>
      <c r="P886" s="10" t="n"/>
    </row>
    <row r="887">
      <c r="B887">
        <f t="array" ref="B887">_xlfn.XLOOKUP(C887,INDIRECT("tblEquipment[Equipment ID]"),INDIRECT("tblEquipment[Production Department]"),"")</f>
        <v/>
      </c>
      <c r="D887">
        <f t="array" ref="D887">_xlfn.XLOOKUP(C887,INDIRECT("tblEquipment[Equipment ID]"),INDIRECT("tblEquipment[Equipment Name]"),"")</f>
        <v/>
      </c>
      <c r="F887" s="16" t="n"/>
      <c r="G887" s="16" t="n"/>
      <c r="H887" s="1">
        <f>IF(OR(F887=0,G887=0),"",(G887-F887)*24)</f>
        <v/>
      </c>
      <c r="I887" s="10" t="n"/>
      <c r="J887" s="1">
        <f>IF(OR(tblDowntime[[#This Row],[Failure Type]]="Sawshop",tblDowntime[[#This Row],[Failure Type]]="Electrical",tblDowntime[[#This Row],[Failure Type]]="Mechanical"),tblDowntime[[#This Row],[Downtime Hours]],"")</f>
        <v/>
      </c>
      <c r="K887" s="10" t="n"/>
      <c r="L887" s="10" t="n"/>
      <c r="M887">
        <f>IF(tblDowntime[[#This Row],[Maintenance Downtime Hours]]="","",tblDowntime[[#This Row],[Equipment ID]])</f>
        <v/>
      </c>
      <c r="N887" s="1">
        <f>IF(tblDowntime[[#This Row],[Failure Type]]="Production",tblDowntime[[#This Row],[Downtime Hours]],"")</f>
        <v/>
      </c>
      <c r="O887">
        <f>IF(tblDowntime[[#This Row],[Production Downtime Hours]]="","",tblDowntime[[#This Row],[Equipment ID]])</f>
        <v/>
      </c>
      <c r="P887" s="10" t="n"/>
    </row>
    <row r="888">
      <c r="B888">
        <f t="array" ref="B888">_xlfn.XLOOKUP(C888,INDIRECT("tblEquipment[Equipment ID]"),INDIRECT("tblEquipment[Production Department]"),"")</f>
        <v/>
      </c>
      <c r="D888">
        <f t="array" ref="D888">_xlfn.XLOOKUP(C888,INDIRECT("tblEquipment[Equipment ID]"),INDIRECT("tblEquipment[Equipment Name]"),"")</f>
        <v/>
      </c>
      <c r="F888" s="16" t="n"/>
      <c r="G888" s="16" t="n"/>
      <c r="H888" s="1">
        <f>IF(OR(F888=0,G888=0),"",(G888-F888)*24)</f>
        <v/>
      </c>
      <c r="I888" s="10" t="n"/>
      <c r="J888" s="1">
        <f>IF(OR(tblDowntime[[#This Row],[Failure Type]]="Sawshop",tblDowntime[[#This Row],[Failure Type]]="Electrical",tblDowntime[[#This Row],[Failure Type]]="Mechanical"),tblDowntime[[#This Row],[Downtime Hours]],"")</f>
        <v/>
      </c>
      <c r="K888" s="10" t="n"/>
      <c r="L888" s="10" t="n"/>
      <c r="M888">
        <f>IF(tblDowntime[[#This Row],[Maintenance Downtime Hours]]="","",tblDowntime[[#This Row],[Equipment ID]])</f>
        <v/>
      </c>
      <c r="N888" s="1">
        <f>IF(tblDowntime[[#This Row],[Failure Type]]="Production",tblDowntime[[#This Row],[Downtime Hours]],"")</f>
        <v/>
      </c>
      <c r="O888">
        <f>IF(tblDowntime[[#This Row],[Production Downtime Hours]]="","",tblDowntime[[#This Row],[Equipment ID]])</f>
        <v/>
      </c>
      <c r="P888" s="10" t="n"/>
    </row>
    <row r="889">
      <c r="B889">
        <f t="array" ref="B889">_xlfn.XLOOKUP(C889,INDIRECT("tblEquipment[Equipment ID]"),INDIRECT("tblEquipment[Production Department]"),"")</f>
        <v/>
      </c>
      <c r="D889">
        <f t="array" ref="D889">_xlfn.XLOOKUP(C889,INDIRECT("tblEquipment[Equipment ID]"),INDIRECT("tblEquipment[Equipment Name]"),"")</f>
        <v/>
      </c>
      <c r="F889" s="16" t="n"/>
      <c r="G889" s="16" t="n"/>
      <c r="H889" s="1">
        <f>IF(OR(F889=0,G889=0),"",(G889-F889)*24)</f>
        <v/>
      </c>
      <c r="I889" s="10" t="n"/>
      <c r="J889" s="1">
        <f>IF(OR(tblDowntime[[#This Row],[Failure Type]]="Sawshop",tblDowntime[[#This Row],[Failure Type]]="Electrical",tblDowntime[[#This Row],[Failure Type]]="Mechanical"),tblDowntime[[#This Row],[Downtime Hours]],"")</f>
        <v/>
      </c>
      <c r="K889" s="10" t="n"/>
      <c r="L889" s="10" t="n"/>
      <c r="M889">
        <f>IF(tblDowntime[[#This Row],[Maintenance Downtime Hours]]="","",tblDowntime[[#This Row],[Equipment ID]])</f>
        <v/>
      </c>
      <c r="N889" s="1">
        <f>IF(tblDowntime[[#This Row],[Failure Type]]="Production",tblDowntime[[#This Row],[Downtime Hours]],"")</f>
        <v/>
      </c>
      <c r="O889">
        <f>IF(tblDowntime[[#This Row],[Production Downtime Hours]]="","",tblDowntime[[#This Row],[Equipment ID]])</f>
        <v/>
      </c>
      <c r="P889" s="10" t="n"/>
    </row>
    <row r="890">
      <c r="B890">
        <f t="array" ref="B890">_xlfn.XLOOKUP(C890,INDIRECT("tblEquipment[Equipment ID]"),INDIRECT("tblEquipment[Production Department]"),"")</f>
        <v/>
      </c>
      <c r="D890">
        <f t="array" ref="D890">_xlfn.XLOOKUP(C890,INDIRECT("tblEquipment[Equipment ID]"),INDIRECT("tblEquipment[Equipment Name]"),"")</f>
        <v/>
      </c>
      <c r="F890" s="16" t="n"/>
      <c r="G890" s="16" t="n"/>
      <c r="H890" s="1">
        <f>IF(OR(F890=0,G890=0),"",(G890-F890)*24)</f>
        <v/>
      </c>
      <c r="I890" s="10" t="n"/>
      <c r="J890" s="1">
        <f>IF(OR(tblDowntime[[#This Row],[Failure Type]]="Sawshop",tblDowntime[[#This Row],[Failure Type]]="Electrical",tblDowntime[[#This Row],[Failure Type]]="Mechanical"),tblDowntime[[#This Row],[Downtime Hours]],"")</f>
        <v/>
      </c>
      <c r="K890" s="10" t="n"/>
      <c r="L890" s="10" t="n"/>
      <c r="M890">
        <f>IF(tblDowntime[[#This Row],[Maintenance Downtime Hours]]="","",tblDowntime[[#This Row],[Equipment ID]])</f>
        <v/>
      </c>
      <c r="N890" s="1">
        <f>IF(tblDowntime[[#This Row],[Failure Type]]="Production",tblDowntime[[#This Row],[Downtime Hours]],"")</f>
        <v/>
      </c>
      <c r="O890">
        <f>IF(tblDowntime[[#This Row],[Production Downtime Hours]]="","",tblDowntime[[#This Row],[Equipment ID]])</f>
        <v/>
      </c>
      <c r="P890" s="10" t="n"/>
    </row>
    <row r="891">
      <c r="B891">
        <f t="array" ref="B891">_xlfn.XLOOKUP(C891,INDIRECT("tblEquipment[Equipment ID]"),INDIRECT("tblEquipment[Production Department]"),"")</f>
        <v/>
      </c>
      <c r="D891">
        <f t="array" ref="D891">_xlfn.XLOOKUP(C891,INDIRECT("tblEquipment[Equipment ID]"),INDIRECT("tblEquipment[Equipment Name]"),"")</f>
        <v/>
      </c>
      <c r="F891" s="16" t="n"/>
      <c r="G891" s="16" t="n"/>
      <c r="H891" s="1">
        <f>IF(OR(F891=0,G891=0),"",(G891-F891)*24)</f>
        <v/>
      </c>
      <c r="I891" s="10" t="n"/>
      <c r="J891" s="1">
        <f>IF(OR(tblDowntime[[#This Row],[Failure Type]]="Sawshop",tblDowntime[[#This Row],[Failure Type]]="Electrical",tblDowntime[[#This Row],[Failure Type]]="Mechanical"),tblDowntime[[#This Row],[Downtime Hours]],"")</f>
        <v/>
      </c>
      <c r="K891" s="10" t="n"/>
      <c r="L891" s="10" t="n"/>
      <c r="M891">
        <f>IF(tblDowntime[[#This Row],[Maintenance Downtime Hours]]="","",tblDowntime[[#This Row],[Equipment ID]])</f>
        <v/>
      </c>
      <c r="N891" s="1">
        <f>IF(tblDowntime[[#This Row],[Failure Type]]="Production",tblDowntime[[#This Row],[Downtime Hours]],"")</f>
        <v/>
      </c>
      <c r="O891">
        <f>IF(tblDowntime[[#This Row],[Production Downtime Hours]]="","",tblDowntime[[#This Row],[Equipment ID]])</f>
        <v/>
      </c>
      <c r="P891" s="10" t="n"/>
    </row>
    <row r="892">
      <c r="B892">
        <f t="array" ref="B892">_xlfn.XLOOKUP(C892,INDIRECT("tblEquipment[Equipment ID]"),INDIRECT("tblEquipment[Production Department]"),"")</f>
        <v/>
      </c>
      <c r="D892">
        <f t="array" ref="D892">_xlfn.XLOOKUP(C892,INDIRECT("tblEquipment[Equipment ID]"),INDIRECT("tblEquipment[Equipment Name]"),"")</f>
        <v/>
      </c>
      <c r="F892" s="16" t="n"/>
      <c r="G892" s="16" t="n"/>
      <c r="H892" s="1">
        <f>IF(OR(F892=0,G892=0),"",(G892-F892)*24)</f>
        <v/>
      </c>
      <c r="I892" s="10" t="n"/>
      <c r="J892" s="1">
        <f>IF(OR(tblDowntime[[#This Row],[Failure Type]]="Sawshop",tblDowntime[[#This Row],[Failure Type]]="Electrical",tblDowntime[[#This Row],[Failure Type]]="Mechanical"),tblDowntime[[#This Row],[Downtime Hours]],"")</f>
        <v/>
      </c>
      <c r="K892" s="10" t="n"/>
      <c r="L892" s="10" t="n"/>
      <c r="M892">
        <f>IF(tblDowntime[[#This Row],[Maintenance Downtime Hours]]="","",tblDowntime[[#This Row],[Equipment ID]])</f>
        <v/>
      </c>
      <c r="N892" s="1">
        <f>IF(tblDowntime[[#This Row],[Failure Type]]="Production",tblDowntime[[#This Row],[Downtime Hours]],"")</f>
        <v/>
      </c>
      <c r="O892">
        <f>IF(tblDowntime[[#This Row],[Production Downtime Hours]]="","",tblDowntime[[#This Row],[Equipment ID]])</f>
        <v/>
      </c>
      <c r="P892" s="10" t="n"/>
    </row>
    <row r="893">
      <c r="B893">
        <f t="array" ref="B893">_xlfn.XLOOKUP(C893,INDIRECT("tblEquipment[Equipment ID]"),INDIRECT("tblEquipment[Production Department]"),"")</f>
        <v/>
      </c>
      <c r="D893">
        <f t="array" ref="D893">_xlfn.XLOOKUP(C893,INDIRECT("tblEquipment[Equipment ID]"),INDIRECT("tblEquipment[Equipment Name]"),"")</f>
        <v/>
      </c>
      <c r="F893" s="16" t="n"/>
      <c r="G893" s="16" t="n"/>
      <c r="H893" s="1">
        <f>IF(OR(F893=0,G893=0),"",(G893-F893)*24)</f>
        <v/>
      </c>
      <c r="I893" s="10" t="n"/>
      <c r="J893" s="1">
        <f>IF(OR(tblDowntime[[#This Row],[Failure Type]]="Sawshop",tblDowntime[[#This Row],[Failure Type]]="Electrical",tblDowntime[[#This Row],[Failure Type]]="Mechanical"),tblDowntime[[#This Row],[Downtime Hours]],"")</f>
        <v/>
      </c>
      <c r="K893" s="10" t="n"/>
      <c r="L893" s="10" t="n"/>
      <c r="M893">
        <f>IF(tblDowntime[[#This Row],[Maintenance Downtime Hours]]="","",tblDowntime[[#This Row],[Equipment ID]])</f>
        <v/>
      </c>
      <c r="N893" s="1">
        <f>IF(tblDowntime[[#This Row],[Failure Type]]="Production",tblDowntime[[#This Row],[Downtime Hours]],"")</f>
        <v/>
      </c>
      <c r="O893">
        <f>IF(tblDowntime[[#This Row],[Production Downtime Hours]]="","",tblDowntime[[#This Row],[Equipment ID]])</f>
        <v/>
      </c>
      <c r="P893" s="10" t="n"/>
    </row>
    <row r="894">
      <c r="B894">
        <f t="array" ref="B894">_xlfn.XLOOKUP(C894,INDIRECT("tblEquipment[Equipment ID]"),INDIRECT("tblEquipment[Production Department]"),"")</f>
        <v/>
      </c>
      <c r="D894">
        <f t="array" ref="D894">_xlfn.XLOOKUP(C894,INDIRECT("tblEquipment[Equipment ID]"),INDIRECT("tblEquipment[Equipment Name]"),"")</f>
        <v/>
      </c>
      <c r="F894" s="16" t="n"/>
      <c r="G894" s="16" t="n"/>
      <c r="H894" s="1">
        <f>IF(OR(F894=0,G894=0),"",(G894-F894)*24)</f>
        <v/>
      </c>
      <c r="I894" s="10" t="n"/>
      <c r="J894" s="1">
        <f>IF(OR(tblDowntime[[#This Row],[Failure Type]]="Sawshop",tblDowntime[[#This Row],[Failure Type]]="Electrical",tblDowntime[[#This Row],[Failure Type]]="Mechanical"),tblDowntime[[#This Row],[Downtime Hours]],"")</f>
        <v/>
      </c>
      <c r="K894" s="10" t="n"/>
      <c r="L894" s="10" t="n"/>
      <c r="M894">
        <f>IF(tblDowntime[[#This Row],[Maintenance Downtime Hours]]="","",tblDowntime[[#This Row],[Equipment ID]])</f>
        <v/>
      </c>
      <c r="N894" s="1">
        <f>IF(tblDowntime[[#This Row],[Failure Type]]="Production",tblDowntime[[#This Row],[Downtime Hours]],"")</f>
        <v/>
      </c>
      <c r="O894">
        <f>IF(tblDowntime[[#This Row],[Production Downtime Hours]]="","",tblDowntime[[#This Row],[Equipment ID]])</f>
        <v/>
      </c>
      <c r="P894" s="10" t="n"/>
    </row>
    <row r="895">
      <c r="B895">
        <f t="array" ref="B895">_xlfn.XLOOKUP(C895,INDIRECT("tblEquipment[Equipment ID]"),INDIRECT("tblEquipment[Production Department]"),"")</f>
        <v/>
      </c>
      <c r="D895">
        <f t="array" ref="D895">_xlfn.XLOOKUP(C895,INDIRECT("tblEquipment[Equipment ID]"),INDIRECT("tblEquipment[Equipment Name]"),"")</f>
        <v/>
      </c>
      <c r="F895" s="16" t="n"/>
      <c r="G895" s="16" t="n"/>
      <c r="H895" s="1">
        <f>IF(OR(F895=0,G895=0),"",(G895-F895)*24)</f>
        <v/>
      </c>
      <c r="I895" s="10" t="n"/>
      <c r="J895" s="1">
        <f>IF(OR(tblDowntime[[#This Row],[Failure Type]]="Sawshop",tblDowntime[[#This Row],[Failure Type]]="Electrical",tblDowntime[[#This Row],[Failure Type]]="Mechanical"),tblDowntime[[#This Row],[Downtime Hours]],"")</f>
        <v/>
      </c>
      <c r="K895" s="10" t="n"/>
      <c r="L895" s="10" t="n"/>
      <c r="M895">
        <f>IF(tblDowntime[[#This Row],[Maintenance Downtime Hours]]="","",tblDowntime[[#This Row],[Equipment ID]])</f>
        <v/>
      </c>
      <c r="N895" s="1">
        <f>IF(tblDowntime[[#This Row],[Failure Type]]="Production",tblDowntime[[#This Row],[Downtime Hours]],"")</f>
        <v/>
      </c>
      <c r="O895">
        <f>IF(tblDowntime[[#This Row],[Production Downtime Hours]]="","",tblDowntime[[#This Row],[Equipment ID]])</f>
        <v/>
      </c>
      <c r="P895" s="10" t="n"/>
    </row>
    <row r="896">
      <c r="B896">
        <f t="array" ref="B896">_xlfn.XLOOKUP(C896,INDIRECT("tblEquipment[Equipment ID]"),INDIRECT("tblEquipment[Production Department]"),"")</f>
        <v/>
      </c>
      <c r="D896">
        <f t="array" ref="D896">_xlfn.XLOOKUP(C896,INDIRECT("tblEquipment[Equipment ID]"),INDIRECT("tblEquipment[Equipment Name]"),"")</f>
        <v/>
      </c>
      <c r="F896" s="16" t="n"/>
      <c r="G896" s="16" t="n"/>
      <c r="H896" s="1">
        <f>IF(OR(F896=0,G896=0),"",(G896-F896)*24)</f>
        <v/>
      </c>
      <c r="I896" s="10" t="n"/>
      <c r="J896" s="1">
        <f>IF(OR(tblDowntime[[#This Row],[Failure Type]]="Sawshop",tblDowntime[[#This Row],[Failure Type]]="Electrical",tblDowntime[[#This Row],[Failure Type]]="Mechanical"),tblDowntime[[#This Row],[Downtime Hours]],"")</f>
        <v/>
      </c>
      <c r="K896" s="10" t="n"/>
      <c r="L896" s="10" t="n"/>
      <c r="M896">
        <f>IF(tblDowntime[[#This Row],[Maintenance Downtime Hours]]="","",tblDowntime[[#This Row],[Equipment ID]])</f>
        <v/>
      </c>
      <c r="N896" s="1">
        <f>IF(tblDowntime[[#This Row],[Failure Type]]="Production",tblDowntime[[#This Row],[Downtime Hours]],"")</f>
        <v/>
      </c>
      <c r="O896">
        <f>IF(tblDowntime[[#This Row],[Production Downtime Hours]]="","",tblDowntime[[#This Row],[Equipment ID]])</f>
        <v/>
      </c>
      <c r="P896" s="10" t="n"/>
    </row>
    <row r="897">
      <c r="B897">
        <f t="array" ref="B897">_xlfn.XLOOKUP(C897,INDIRECT("tblEquipment[Equipment ID]"),INDIRECT("tblEquipment[Production Department]"),"")</f>
        <v/>
      </c>
      <c r="D897">
        <f t="array" ref="D897">_xlfn.XLOOKUP(C897,INDIRECT("tblEquipment[Equipment ID]"),INDIRECT("tblEquipment[Equipment Name]"),"")</f>
        <v/>
      </c>
      <c r="F897" s="16" t="n"/>
      <c r="G897" s="16" t="n"/>
      <c r="H897" s="1">
        <f>IF(OR(F897=0,G897=0),"",(G897-F897)*24)</f>
        <v/>
      </c>
      <c r="I897" s="10" t="n"/>
      <c r="J897" s="1">
        <f>IF(OR(tblDowntime[[#This Row],[Failure Type]]="Sawshop",tblDowntime[[#This Row],[Failure Type]]="Electrical",tblDowntime[[#This Row],[Failure Type]]="Mechanical"),tblDowntime[[#This Row],[Downtime Hours]],"")</f>
        <v/>
      </c>
      <c r="K897" s="10" t="n"/>
      <c r="L897" s="10" t="n"/>
      <c r="M897">
        <f>IF(tblDowntime[[#This Row],[Maintenance Downtime Hours]]="","",tblDowntime[[#This Row],[Equipment ID]])</f>
        <v/>
      </c>
      <c r="N897" s="1">
        <f>IF(tblDowntime[[#This Row],[Failure Type]]="Production",tblDowntime[[#This Row],[Downtime Hours]],"")</f>
        <v/>
      </c>
      <c r="O897">
        <f>IF(tblDowntime[[#This Row],[Production Downtime Hours]]="","",tblDowntime[[#This Row],[Equipment ID]])</f>
        <v/>
      </c>
      <c r="P897" s="10" t="n"/>
    </row>
    <row r="898">
      <c r="B898">
        <f t="array" ref="B898">_xlfn.XLOOKUP(C898,INDIRECT("tblEquipment[Equipment ID]"),INDIRECT("tblEquipment[Production Department]"),"")</f>
        <v/>
      </c>
      <c r="D898">
        <f t="array" ref="D898">_xlfn.XLOOKUP(C898,INDIRECT("tblEquipment[Equipment ID]"),INDIRECT("tblEquipment[Equipment Name]"),"")</f>
        <v/>
      </c>
      <c r="F898" s="16" t="n"/>
      <c r="G898" s="16" t="n"/>
      <c r="H898" s="1">
        <f>IF(OR(F898=0,G898=0),"",(G898-F898)*24)</f>
        <v/>
      </c>
      <c r="I898" s="10" t="n"/>
      <c r="J898" s="1">
        <f>IF(OR(tblDowntime[[#This Row],[Failure Type]]="Sawshop",tblDowntime[[#This Row],[Failure Type]]="Electrical",tblDowntime[[#This Row],[Failure Type]]="Mechanical"),tblDowntime[[#This Row],[Downtime Hours]],"")</f>
        <v/>
      </c>
      <c r="K898" s="10" t="n"/>
      <c r="L898" s="10" t="n"/>
      <c r="M898">
        <f>IF(tblDowntime[[#This Row],[Maintenance Downtime Hours]]="","",tblDowntime[[#This Row],[Equipment ID]])</f>
        <v/>
      </c>
      <c r="N898" s="1">
        <f>IF(tblDowntime[[#This Row],[Failure Type]]="Production",tblDowntime[[#This Row],[Downtime Hours]],"")</f>
        <v/>
      </c>
      <c r="O898">
        <f>IF(tblDowntime[[#This Row],[Production Downtime Hours]]="","",tblDowntime[[#This Row],[Equipment ID]])</f>
        <v/>
      </c>
      <c r="P898" s="10" t="n"/>
    </row>
    <row r="899">
      <c r="B899">
        <f t="array" ref="B899">_xlfn.XLOOKUP(C899,INDIRECT("tblEquipment[Equipment ID]"),INDIRECT("tblEquipment[Production Department]"),"")</f>
        <v/>
      </c>
      <c r="D899">
        <f t="array" ref="D899">_xlfn.XLOOKUP(C899,INDIRECT("tblEquipment[Equipment ID]"),INDIRECT("tblEquipment[Equipment Name]"),"")</f>
        <v/>
      </c>
      <c r="F899" s="16" t="n"/>
      <c r="G899" s="16" t="n"/>
      <c r="H899" s="1">
        <f>IF(OR(F899=0,G899=0),"",(G899-F899)*24)</f>
        <v/>
      </c>
      <c r="I899" s="10" t="n"/>
      <c r="J899" s="1">
        <f>IF(OR(tblDowntime[[#This Row],[Failure Type]]="Sawshop",tblDowntime[[#This Row],[Failure Type]]="Electrical",tblDowntime[[#This Row],[Failure Type]]="Mechanical"),tblDowntime[[#This Row],[Downtime Hours]],"")</f>
        <v/>
      </c>
      <c r="K899" s="10" t="n"/>
      <c r="L899" s="10" t="n"/>
      <c r="M899">
        <f>IF(tblDowntime[[#This Row],[Maintenance Downtime Hours]]="","",tblDowntime[[#This Row],[Equipment ID]])</f>
        <v/>
      </c>
      <c r="N899" s="1">
        <f>IF(tblDowntime[[#This Row],[Failure Type]]="Production",tblDowntime[[#This Row],[Downtime Hours]],"")</f>
        <v/>
      </c>
      <c r="O899">
        <f>IF(tblDowntime[[#This Row],[Production Downtime Hours]]="","",tblDowntime[[#This Row],[Equipment ID]])</f>
        <v/>
      </c>
      <c r="P899" s="10" t="n"/>
    </row>
    <row r="900">
      <c r="B900">
        <f t="array" ref="B900">_xlfn.XLOOKUP(C900,INDIRECT("tblEquipment[Equipment ID]"),INDIRECT("tblEquipment[Production Department]"),"")</f>
        <v/>
      </c>
      <c r="D900">
        <f t="array" ref="D900">_xlfn.XLOOKUP(C900,INDIRECT("tblEquipment[Equipment ID]"),INDIRECT("tblEquipment[Equipment Name]"),"")</f>
        <v/>
      </c>
      <c r="F900" s="16" t="n"/>
      <c r="G900" s="16" t="n"/>
      <c r="H900" s="1">
        <f>IF(OR(F900=0,G900=0),"",(G900-F900)*24)</f>
        <v/>
      </c>
      <c r="I900" s="10" t="n"/>
      <c r="J900" s="1">
        <f>IF(OR(tblDowntime[[#This Row],[Failure Type]]="Sawshop",tblDowntime[[#This Row],[Failure Type]]="Electrical",tblDowntime[[#This Row],[Failure Type]]="Mechanical"),tblDowntime[[#This Row],[Downtime Hours]],"")</f>
        <v/>
      </c>
      <c r="K900" s="10" t="n"/>
      <c r="L900" s="10" t="n"/>
      <c r="M900">
        <f>IF(tblDowntime[[#This Row],[Maintenance Downtime Hours]]="","",tblDowntime[[#This Row],[Equipment ID]])</f>
        <v/>
      </c>
      <c r="N900" s="1">
        <f>IF(tblDowntime[[#This Row],[Failure Type]]="Production",tblDowntime[[#This Row],[Downtime Hours]],"")</f>
        <v/>
      </c>
      <c r="O900">
        <f>IF(tblDowntime[[#This Row],[Production Downtime Hours]]="","",tblDowntime[[#This Row],[Equipment ID]])</f>
        <v/>
      </c>
      <c r="P900" s="10" t="n"/>
    </row>
    <row r="901">
      <c r="B901">
        <f t="array" ref="B901">_xlfn.XLOOKUP(C901,INDIRECT("tblEquipment[Equipment ID]"),INDIRECT("tblEquipment[Production Department]"),"")</f>
        <v/>
      </c>
      <c r="D901">
        <f t="array" ref="D901">_xlfn.XLOOKUP(C901,INDIRECT("tblEquipment[Equipment ID]"),INDIRECT("tblEquipment[Equipment Name]"),"")</f>
        <v/>
      </c>
      <c r="F901" s="16" t="n"/>
      <c r="G901" s="16" t="n"/>
      <c r="H901" s="1">
        <f>IF(OR(F901=0,G901=0),"",(G901-F901)*24)</f>
        <v/>
      </c>
      <c r="I901" s="10" t="n"/>
      <c r="J901" s="1">
        <f>IF(OR(tblDowntime[[#This Row],[Failure Type]]="Sawshop",tblDowntime[[#This Row],[Failure Type]]="Electrical",tblDowntime[[#This Row],[Failure Type]]="Mechanical"),tblDowntime[[#This Row],[Downtime Hours]],"")</f>
        <v/>
      </c>
      <c r="K901" s="10" t="n"/>
      <c r="L901" s="10" t="n"/>
      <c r="M901">
        <f>IF(tblDowntime[[#This Row],[Maintenance Downtime Hours]]="","",tblDowntime[[#This Row],[Equipment ID]])</f>
        <v/>
      </c>
      <c r="N901" s="1">
        <f>IF(tblDowntime[[#This Row],[Failure Type]]="Production",tblDowntime[[#This Row],[Downtime Hours]],"")</f>
        <v/>
      </c>
      <c r="O901">
        <f>IF(tblDowntime[[#This Row],[Production Downtime Hours]]="","",tblDowntime[[#This Row],[Equipment ID]])</f>
        <v/>
      </c>
      <c r="P901" s="10" t="n"/>
    </row>
    <row r="902">
      <c r="B902">
        <f t="array" ref="B902">_xlfn.XLOOKUP(C902,INDIRECT("tblEquipment[Equipment ID]"),INDIRECT("tblEquipment[Production Department]"),"")</f>
        <v/>
      </c>
      <c r="D902">
        <f t="array" ref="D902">_xlfn.XLOOKUP(C902,INDIRECT("tblEquipment[Equipment ID]"),INDIRECT("tblEquipment[Equipment Name]"),"")</f>
        <v/>
      </c>
      <c r="F902" s="16" t="n"/>
      <c r="G902" s="16" t="n"/>
      <c r="H902" s="1">
        <f>IF(OR(F902=0,G902=0),"",(G902-F902)*24)</f>
        <v/>
      </c>
      <c r="I902" s="10" t="n"/>
      <c r="J902" s="1">
        <f>IF(OR(tblDowntime[[#This Row],[Failure Type]]="Sawshop",tblDowntime[[#This Row],[Failure Type]]="Electrical",tblDowntime[[#This Row],[Failure Type]]="Mechanical"),tblDowntime[[#This Row],[Downtime Hours]],"")</f>
        <v/>
      </c>
      <c r="K902" s="10" t="n"/>
      <c r="L902" s="10" t="n"/>
      <c r="M902">
        <f>IF(tblDowntime[[#This Row],[Maintenance Downtime Hours]]="","",tblDowntime[[#This Row],[Equipment ID]])</f>
        <v/>
      </c>
      <c r="N902" s="1">
        <f>IF(tblDowntime[[#This Row],[Failure Type]]="Production",tblDowntime[[#This Row],[Downtime Hours]],"")</f>
        <v/>
      </c>
      <c r="O902">
        <f>IF(tblDowntime[[#This Row],[Production Downtime Hours]]="","",tblDowntime[[#This Row],[Equipment ID]])</f>
        <v/>
      </c>
      <c r="P902" s="10" t="n"/>
    </row>
    <row r="903">
      <c r="B903">
        <f t="array" ref="B903">_xlfn.XLOOKUP(C903,INDIRECT("tblEquipment[Equipment ID]"),INDIRECT("tblEquipment[Production Department]"),"")</f>
        <v/>
      </c>
      <c r="D903">
        <f t="array" ref="D903">_xlfn.XLOOKUP(C903,INDIRECT("tblEquipment[Equipment ID]"),INDIRECT("tblEquipment[Equipment Name]"),"")</f>
        <v/>
      </c>
      <c r="F903" s="16" t="n"/>
      <c r="G903" s="16" t="n"/>
      <c r="H903" s="1">
        <f>IF(OR(F903=0,G903=0),"",(G903-F903)*24)</f>
        <v/>
      </c>
      <c r="I903" s="10" t="n"/>
      <c r="J903" s="1">
        <f>IF(OR(tblDowntime[[#This Row],[Failure Type]]="Sawshop",tblDowntime[[#This Row],[Failure Type]]="Electrical",tblDowntime[[#This Row],[Failure Type]]="Mechanical"),tblDowntime[[#This Row],[Downtime Hours]],"")</f>
        <v/>
      </c>
      <c r="K903" s="10" t="n"/>
      <c r="L903" s="10" t="n"/>
      <c r="M903">
        <f>IF(tblDowntime[[#This Row],[Maintenance Downtime Hours]]="","",tblDowntime[[#This Row],[Equipment ID]])</f>
        <v/>
      </c>
      <c r="N903" s="1">
        <f>IF(tblDowntime[[#This Row],[Failure Type]]="Production",tblDowntime[[#This Row],[Downtime Hours]],"")</f>
        <v/>
      </c>
      <c r="O903">
        <f>IF(tblDowntime[[#This Row],[Production Downtime Hours]]="","",tblDowntime[[#This Row],[Equipment ID]])</f>
        <v/>
      </c>
      <c r="P903" s="10" t="n"/>
    </row>
    <row r="904">
      <c r="B904">
        <f t="array" ref="B904">_xlfn.XLOOKUP(C904,INDIRECT("tblEquipment[Equipment ID]"),INDIRECT("tblEquipment[Production Department]"),"")</f>
        <v/>
      </c>
      <c r="D904">
        <f t="array" ref="D904">_xlfn.XLOOKUP(C904,INDIRECT("tblEquipment[Equipment ID]"),INDIRECT("tblEquipment[Equipment Name]"),"")</f>
        <v/>
      </c>
      <c r="F904" s="16" t="n"/>
      <c r="G904" s="16" t="n"/>
      <c r="H904" s="1">
        <f>IF(OR(F904=0,G904=0),"",(G904-F904)*24)</f>
        <v/>
      </c>
      <c r="I904" s="10" t="n"/>
      <c r="J904" s="1">
        <f>IF(OR(tblDowntime[[#This Row],[Failure Type]]="Sawshop",tblDowntime[[#This Row],[Failure Type]]="Electrical",tblDowntime[[#This Row],[Failure Type]]="Mechanical"),tblDowntime[[#This Row],[Downtime Hours]],"")</f>
        <v/>
      </c>
      <c r="K904" s="10" t="n"/>
      <c r="L904" s="10" t="n"/>
      <c r="M904">
        <f>IF(tblDowntime[[#This Row],[Maintenance Downtime Hours]]="","",tblDowntime[[#This Row],[Equipment ID]])</f>
        <v/>
      </c>
      <c r="N904" s="1">
        <f>IF(tblDowntime[[#This Row],[Failure Type]]="Production",tblDowntime[[#This Row],[Downtime Hours]],"")</f>
        <v/>
      </c>
      <c r="O904">
        <f>IF(tblDowntime[[#This Row],[Production Downtime Hours]]="","",tblDowntime[[#This Row],[Equipment ID]])</f>
        <v/>
      </c>
      <c r="P904" s="10" t="n"/>
    </row>
    <row r="905">
      <c r="B905">
        <f t="array" ref="B905">_xlfn.XLOOKUP(C905,INDIRECT("tblEquipment[Equipment ID]"),INDIRECT("tblEquipment[Production Department]"),"")</f>
        <v/>
      </c>
      <c r="D905">
        <f t="array" ref="D905">_xlfn.XLOOKUP(C905,INDIRECT("tblEquipment[Equipment ID]"),INDIRECT("tblEquipment[Equipment Name]"),"")</f>
        <v/>
      </c>
      <c r="F905" s="16" t="n"/>
      <c r="G905" s="16" t="n"/>
      <c r="H905" s="1">
        <f>IF(OR(F905=0,G905=0),"",(G905-F905)*24)</f>
        <v/>
      </c>
      <c r="I905" s="10" t="n"/>
      <c r="J905" s="1">
        <f>IF(OR(tblDowntime[[#This Row],[Failure Type]]="Sawshop",tblDowntime[[#This Row],[Failure Type]]="Electrical",tblDowntime[[#This Row],[Failure Type]]="Mechanical"),tblDowntime[[#This Row],[Downtime Hours]],"")</f>
        <v/>
      </c>
      <c r="K905" s="10" t="n"/>
      <c r="L905" s="10" t="n"/>
      <c r="M905">
        <f>IF(tblDowntime[[#This Row],[Maintenance Downtime Hours]]="","",tblDowntime[[#This Row],[Equipment ID]])</f>
        <v/>
      </c>
      <c r="N905" s="1">
        <f>IF(tblDowntime[[#This Row],[Failure Type]]="Production",tblDowntime[[#This Row],[Downtime Hours]],"")</f>
        <v/>
      </c>
      <c r="O905">
        <f>IF(tblDowntime[[#This Row],[Production Downtime Hours]]="","",tblDowntime[[#This Row],[Equipment ID]])</f>
        <v/>
      </c>
      <c r="P905" s="10" t="n"/>
    </row>
    <row r="906">
      <c r="B906">
        <f t="array" ref="B906">_xlfn.XLOOKUP(C906,INDIRECT("tblEquipment[Equipment ID]"),INDIRECT("tblEquipment[Production Department]"),"")</f>
        <v/>
      </c>
      <c r="D906">
        <f t="array" ref="D906">_xlfn.XLOOKUP(C906,INDIRECT("tblEquipment[Equipment ID]"),INDIRECT("tblEquipment[Equipment Name]"),"")</f>
        <v/>
      </c>
      <c r="F906" s="16" t="n"/>
      <c r="G906" s="16" t="n"/>
      <c r="H906" s="1">
        <f>IF(OR(F906=0,G906=0),"",(G906-F906)*24)</f>
        <v/>
      </c>
      <c r="I906" s="10" t="n"/>
      <c r="J906" s="1">
        <f>IF(OR(tblDowntime[[#This Row],[Failure Type]]="Sawshop",tblDowntime[[#This Row],[Failure Type]]="Electrical",tblDowntime[[#This Row],[Failure Type]]="Mechanical"),tblDowntime[[#This Row],[Downtime Hours]],"")</f>
        <v/>
      </c>
      <c r="K906" s="10" t="n"/>
      <c r="L906" s="10" t="n"/>
      <c r="M906">
        <f>IF(tblDowntime[[#This Row],[Maintenance Downtime Hours]]="","",tblDowntime[[#This Row],[Equipment ID]])</f>
        <v/>
      </c>
      <c r="N906" s="1">
        <f>IF(tblDowntime[[#This Row],[Failure Type]]="Production",tblDowntime[[#This Row],[Downtime Hours]],"")</f>
        <v/>
      </c>
      <c r="O906">
        <f>IF(tblDowntime[[#This Row],[Production Downtime Hours]]="","",tblDowntime[[#This Row],[Equipment ID]])</f>
        <v/>
      </c>
      <c r="P906" s="10" t="n"/>
    </row>
    <row r="907">
      <c r="B907">
        <f t="array" ref="B907">_xlfn.XLOOKUP(C907,INDIRECT("tblEquipment[Equipment ID]"),INDIRECT("tblEquipment[Production Department]"),"")</f>
        <v/>
      </c>
      <c r="D907">
        <f t="array" ref="D907">_xlfn.XLOOKUP(C907,INDIRECT("tblEquipment[Equipment ID]"),INDIRECT("tblEquipment[Equipment Name]"),"")</f>
        <v/>
      </c>
      <c r="F907" s="16" t="n"/>
      <c r="G907" s="16" t="n"/>
      <c r="H907" s="1">
        <f>IF(OR(F907=0,G907=0),"",(G907-F907)*24)</f>
        <v/>
      </c>
      <c r="I907" s="10" t="n"/>
      <c r="J907" s="1">
        <f>IF(OR(tblDowntime[[#This Row],[Failure Type]]="Sawshop",tblDowntime[[#This Row],[Failure Type]]="Electrical",tblDowntime[[#This Row],[Failure Type]]="Mechanical"),tblDowntime[[#This Row],[Downtime Hours]],"")</f>
        <v/>
      </c>
      <c r="K907" s="10" t="n"/>
      <c r="L907" s="10" t="n"/>
      <c r="M907">
        <f>IF(tblDowntime[[#This Row],[Maintenance Downtime Hours]]="","",tblDowntime[[#This Row],[Equipment ID]])</f>
        <v/>
      </c>
      <c r="N907" s="1">
        <f>IF(tblDowntime[[#This Row],[Failure Type]]="Production",tblDowntime[[#This Row],[Downtime Hours]],"")</f>
        <v/>
      </c>
      <c r="O907">
        <f>IF(tblDowntime[[#This Row],[Production Downtime Hours]]="","",tblDowntime[[#This Row],[Equipment ID]])</f>
        <v/>
      </c>
      <c r="P907" s="10" t="n"/>
    </row>
    <row r="908">
      <c r="B908">
        <f t="array" ref="B908">_xlfn.XLOOKUP(C908,INDIRECT("tblEquipment[Equipment ID]"),INDIRECT("tblEquipment[Production Department]"),"")</f>
        <v/>
      </c>
      <c r="D908">
        <f t="array" ref="D908">_xlfn.XLOOKUP(C908,INDIRECT("tblEquipment[Equipment ID]"),INDIRECT("tblEquipment[Equipment Name]"),"")</f>
        <v/>
      </c>
      <c r="F908" s="16" t="n"/>
      <c r="G908" s="16" t="n"/>
      <c r="H908" s="1">
        <f>IF(OR(F908=0,G908=0),"",(G908-F908)*24)</f>
        <v/>
      </c>
      <c r="I908" s="10" t="n"/>
      <c r="J908" s="1">
        <f>IF(OR(tblDowntime[[#This Row],[Failure Type]]="Sawshop",tblDowntime[[#This Row],[Failure Type]]="Electrical",tblDowntime[[#This Row],[Failure Type]]="Mechanical"),tblDowntime[[#This Row],[Downtime Hours]],"")</f>
        <v/>
      </c>
      <c r="K908" s="10" t="n"/>
      <c r="L908" s="10" t="n"/>
      <c r="M908">
        <f>IF(tblDowntime[[#This Row],[Maintenance Downtime Hours]]="","",tblDowntime[[#This Row],[Equipment ID]])</f>
        <v/>
      </c>
      <c r="N908" s="1">
        <f>IF(tblDowntime[[#This Row],[Failure Type]]="Production",tblDowntime[[#This Row],[Downtime Hours]],"")</f>
        <v/>
      </c>
      <c r="O908">
        <f>IF(tblDowntime[[#This Row],[Production Downtime Hours]]="","",tblDowntime[[#This Row],[Equipment ID]])</f>
        <v/>
      </c>
      <c r="P908" s="10" t="n"/>
    </row>
    <row r="909">
      <c r="B909">
        <f t="array" ref="B909">_xlfn.XLOOKUP(C909,INDIRECT("tblEquipment[Equipment ID]"),INDIRECT("tblEquipment[Production Department]"),"")</f>
        <v/>
      </c>
      <c r="D909">
        <f t="array" ref="D909">_xlfn.XLOOKUP(C909,INDIRECT("tblEquipment[Equipment ID]"),INDIRECT("tblEquipment[Equipment Name]"),"")</f>
        <v/>
      </c>
      <c r="F909" s="16" t="n"/>
      <c r="G909" s="16" t="n"/>
      <c r="H909" s="1">
        <f>IF(OR(F909=0,G909=0),"",(G909-F909)*24)</f>
        <v/>
      </c>
      <c r="I909" s="10" t="n"/>
      <c r="J909" s="1">
        <f>IF(OR(tblDowntime[[#This Row],[Failure Type]]="Sawshop",tblDowntime[[#This Row],[Failure Type]]="Electrical",tblDowntime[[#This Row],[Failure Type]]="Mechanical"),tblDowntime[[#This Row],[Downtime Hours]],"")</f>
        <v/>
      </c>
      <c r="K909" s="10" t="n"/>
      <c r="L909" s="10" t="n"/>
      <c r="M909">
        <f>IF(tblDowntime[[#This Row],[Maintenance Downtime Hours]]="","",tblDowntime[[#This Row],[Equipment ID]])</f>
        <v/>
      </c>
      <c r="N909" s="1">
        <f>IF(tblDowntime[[#This Row],[Failure Type]]="Production",tblDowntime[[#This Row],[Downtime Hours]],"")</f>
        <v/>
      </c>
      <c r="O909">
        <f>IF(tblDowntime[[#This Row],[Production Downtime Hours]]="","",tblDowntime[[#This Row],[Equipment ID]])</f>
        <v/>
      </c>
      <c r="P909" s="10" t="n"/>
    </row>
    <row r="910">
      <c r="B910">
        <f t="array" ref="B910">_xlfn.XLOOKUP(C910,INDIRECT("tblEquipment[Equipment ID]"),INDIRECT("tblEquipment[Production Department]"),"")</f>
        <v/>
      </c>
      <c r="D910">
        <f t="array" ref="D910">_xlfn.XLOOKUP(C910,INDIRECT("tblEquipment[Equipment ID]"),INDIRECT("tblEquipment[Equipment Name]"),"")</f>
        <v/>
      </c>
      <c r="F910" s="16" t="n"/>
      <c r="G910" s="16" t="n"/>
      <c r="H910" s="1">
        <f>IF(OR(F910=0,G910=0),"",(G910-F910)*24)</f>
        <v/>
      </c>
      <c r="I910" s="10" t="n"/>
      <c r="J910" s="1">
        <f>IF(OR(tblDowntime[[#This Row],[Failure Type]]="Sawshop",tblDowntime[[#This Row],[Failure Type]]="Electrical",tblDowntime[[#This Row],[Failure Type]]="Mechanical"),tblDowntime[[#This Row],[Downtime Hours]],"")</f>
        <v/>
      </c>
      <c r="K910" s="10" t="n"/>
      <c r="L910" s="10" t="n"/>
      <c r="M910">
        <f>IF(tblDowntime[[#This Row],[Maintenance Downtime Hours]]="","",tblDowntime[[#This Row],[Equipment ID]])</f>
        <v/>
      </c>
      <c r="N910" s="1">
        <f>IF(tblDowntime[[#This Row],[Failure Type]]="Production",tblDowntime[[#This Row],[Downtime Hours]],"")</f>
        <v/>
      </c>
      <c r="O910">
        <f>IF(tblDowntime[[#This Row],[Production Downtime Hours]]="","",tblDowntime[[#This Row],[Equipment ID]])</f>
        <v/>
      </c>
      <c r="P910" s="10" t="n"/>
    </row>
    <row r="911">
      <c r="B911">
        <f t="array" ref="B911">_xlfn.XLOOKUP(C911,INDIRECT("tblEquipment[Equipment ID]"),INDIRECT("tblEquipment[Production Department]"),"")</f>
        <v/>
      </c>
      <c r="D911">
        <f t="array" ref="D911">_xlfn.XLOOKUP(C911,INDIRECT("tblEquipment[Equipment ID]"),INDIRECT("tblEquipment[Equipment Name]"),"")</f>
        <v/>
      </c>
      <c r="F911" s="16" t="n"/>
      <c r="G911" s="16" t="n"/>
      <c r="H911" s="1">
        <f>IF(OR(F911=0,G911=0),"",(G911-F911)*24)</f>
        <v/>
      </c>
      <c r="I911" s="10" t="n"/>
      <c r="J911" s="1">
        <f>IF(OR(tblDowntime[[#This Row],[Failure Type]]="Sawshop",tblDowntime[[#This Row],[Failure Type]]="Electrical",tblDowntime[[#This Row],[Failure Type]]="Mechanical"),tblDowntime[[#This Row],[Downtime Hours]],"")</f>
        <v/>
      </c>
      <c r="K911" s="10" t="n"/>
      <c r="L911" s="10" t="n"/>
      <c r="M911">
        <f>IF(tblDowntime[[#This Row],[Maintenance Downtime Hours]]="","",tblDowntime[[#This Row],[Equipment ID]])</f>
        <v/>
      </c>
      <c r="N911" s="1">
        <f>IF(tblDowntime[[#This Row],[Failure Type]]="Production",tblDowntime[[#This Row],[Downtime Hours]],"")</f>
        <v/>
      </c>
      <c r="O911">
        <f>IF(tblDowntime[[#This Row],[Production Downtime Hours]]="","",tblDowntime[[#This Row],[Equipment ID]])</f>
        <v/>
      </c>
      <c r="P911" s="10" t="n"/>
    </row>
    <row r="912">
      <c r="B912">
        <f t="array" ref="B912">_xlfn.XLOOKUP(C912,INDIRECT("tblEquipment[Equipment ID]"),INDIRECT("tblEquipment[Production Department]"),"")</f>
        <v/>
      </c>
      <c r="D912">
        <f t="array" ref="D912">_xlfn.XLOOKUP(C912,INDIRECT("tblEquipment[Equipment ID]"),INDIRECT("tblEquipment[Equipment Name]"),"")</f>
        <v/>
      </c>
      <c r="F912" s="16" t="n"/>
      <c r="G912" s="16" t="n"/>
      <c r="H912" s="1">
        <f>IF(OR(F912=0,G912=0),"",(G912-F912)*24)</f>
        <v/>
      </c>
      <c r="I912" s="10" t="n"/>
      <c r="J912" s="1">
        <f>IF(OR(tblDowntime[[#This Row],[Failure Type]]="Sawshop",tblDowntime[[#This Row],[Failure Type]]="Electrical",tblDowntime[[#This Row],[Failure Type]]="Mechanical"),tblDowntime[[#This Row],[Downtime Hours]],"")</f>
        <v/>
      </c>
      <c r="K912" s="10" t="n"/>
      <c r="L912" s="10" t="n"/>
      <c r="M912">
        <f>IF(tblDowntime[[#This Row],[Maintenance Downtime Hours]]="","",tblDowntime[[#This Row],[Equipment ID]])</f>
        <v/>
      </c>
      <c r="N912" s="1">
        <f>IF(tblDowntime[[#This Row],[Failure Type]]="Production",tblDowntime[[#This Row],[Downtime Hours]],"")</f>
        <v/>
      </c>
      <c r="O912">
        <f>IF(tblDowntime[[#This Row],[Production Downtime Hours]]="","",tblDowntime[[#This Row],[Equipment ID]])</f>
        <v/>
      </c>
      <c r="P912" s="10" t="n"/>
    </row>
    <row r="913">
      <c r="B913">
        <f t="array" ref="B913">_xlfn.XLOOKUP(C913,INDIRECT("tblEquipment[Equipment ID]"),INDIRECT("tblEquipment[Production Department]"),"")</f>
        <v/>
      </c>
      <c r="D913">
        <f t="array" ref="D913">_xlfn.XLOOKUP(C913,INDIRECT("tblEquipment[Equipment ID]"),INDIRECT("tblEquipment[Equipment Name]"),"")</f>
        <v/>
      </c>
      <c r="F913" s="16" t="n"/>
      <c r="G913" s="16" t="n"/>
      <c r="H913" s="1">
        <f>IF(OR(F913=0,G913=0),"",(G913-F913)*24)</f>
        <v/>
      </c>
      <c r="I913" s="10" t="n"/>
      <c r="J913" s="1">
        <f>IF(OR(tblDowntime[[#This Row],[Failure Type]]="Sawshop",tblDowntime[[#This Row],[Failure Type]]="Electrical",tblDowntime[[#This Row],[Failure Type]]="Mechanical"),tblDowntime[[#This Row],[Downtime Hours]],"")</f>
        <v/>
      </c>
      <c r="K913" s="10" t="n"/>
      <c r="L913" s="10" t="n"/>
      <c r="M913">
        <f>IF(tblDowntime[[#This Row],[Maintenance Downtime Hours]]="","",tblDowntime[[#This Row],[Equipment ID]])</f>
        <v/>
      </c>
      <c r="N913" s="1">
        <f>IF(tblDowntime[[#This Row],[Failure Type]]="Production",tblDowntime[[#This Row],[Downtime Hours]],"")</f>
        <v/>
      </c>
      <c r="O913">
        <f>IF(tblDowntime[[#This Row],[Production Downtime Hours]]="","",tblDowntime[[#This Row],[Equipment ID]])</f>
        <v/>
      </c>
      <c r="P913" s="10" t="n"/>
    </row>
    <row r="914">
      <c r="B914">
        <f t="array" ref="B914">_xlfn.XLOOKUP(C914,INDIRECT("tblEquipment[Equipment ID]"),INDIRECT("tblEquipment[Production Department]"),"")</f>
        <v/>
      </c>
      <c r="D914">
        <f t="array" ref="D914">_xlfn.XLOOKUP(C914,INDIRECT("tblEquipment[Equipment ID]"),INDIRECT("tblEquipment[Equipment Name]"),"")</f>
        <v/>
      </c>
      <c r="F914" s="16" t="n"/>
      <c r="G914" s="16" t="n"/>
      <c r="H914" s="1">
        <f>IF(OR(F914=0,G914=0),"",(G914-F914)*24)</f>
        <v/>
      </c>
      <c r="I914" s="10" t="n"/>
      <c r="J914" s="1">
        <f>IF(OR(tblDowntime[[#This Row],[Failure Type]]="Sawshop",tblDowntime[[#This Row],[Failure Type]]="Electrical",tblDowntime[[#This Row],[Failure Type]]="Mechanical"),tblDowntime[[#This Row],[Downtime Hours]],"")</f>
        <v/>
      </c>
      <c r="K914" s="10" t="n"/>
      <c r="L914" s="10" t="n"/>
      <c r="M914">
        <f>IF(tblDowntime[[#This Row],[Maintenance Downtime Hours]]="","",tblDowntime[[#This Row],[Equipment ID]])</f>
        <v/>
      </c>
      <c r="N914" s="1">
        <f>IF(tblDowntime[[#This Row],[Failure Type]]="Production",tblDowntime[[#This Row],[Downtime Hours]],"")</f>
        <v/>
      </c>
      <c r="O914">
        <f>IF(tblDowntime[[#This Row],[Production Downtime Hours]]="","",tblDowntime[[#This Row],[Equipment ID]])</f>
        <v/>
      </c>
      <c r="P914" s="10" t="n"/>
    </row>
    <row r="915">
      <c r="B915">
        <f t="array" ref="B915">_xlfn.XLOOKUP(C915,INDIRECT("tblEquipment[Equipment ID]"),INDIRECT("tblEquipment[Production Department]"),"")</f>
        <v/>
      </c>
      <c r="D915">
        <f t="array" ref="D915">_xlfn.XLOOKUP(C915,INDIRECT("tblEquipment[Equipment ID]"),INDIRECT("tblEquipment[Equipment Name]"),"")</f>
        <v/>
      </c>
      <c r="F915" s="16" t="n"/>
      <c r="G915" s="16" t="n"/>
      <c r="H915" s="1">
        <f>IF(OR(F915=0,G915=0),"",(G915-F915)*24)</f>
        <v/>
      </c>
      <c r="I915" s="10" t="n"/>
      <c r="J915" s="1">
        <f>IF(OR(tblDowntime[[#This Row],[Failure Type]]="Sawshop",tblDowntime[[#This Row],[Failure Type]]="Electrical",tblDowntime[[#This Row],[Failure Type]]="Mechanical"),tblDowntime[[#This Row],[Downtime Hours]],"")</f>
        <v/>
      </c>
      <c r="K915" s="10" t="n"/>
      <c r="L915" s="10" t="n"/>
      <c r="M915">
        <f>IF(tblDowntime[[#This Row],[Maintenance Downtime Hours]]="","",tblDowntime[[#This Row],[Equipment ID]])</f>
        <v/>
      </c>
      <c r="N915" s="1">
        <f>IF(tblDowntime[[#This Row],[Failure Type]]="Production",tblDowntime[[#This Row],[Downtime Hours]],"")</f>
        <v/>
      </c>
      <c r="O915">
        <f>IF(tblDowntime[[#This Row],[Production Downtime Hours]]="","",tblDowntime[[#This Row],[Equipment ID]])</f>
        <v/>
      </c>
      <c r="P915" s="10" t="n"/>
    </row>
    <row r="916">
      <c r="B916">
        <f t="array" ref="B916">_xlfn.XLOOKUP(C916,INDIRECT("tblEquipment[Equipment ID]"),INDIRECT("tblEquipment[Production Department]"),"")</f>
        <v/>
      </c>
      <c r="D916">
        <f t="array" ref="D916">_xlfn.XLOOKUP(C916,INDIRECT("tblEquipment[Equipment ID]"),INDIRECT("tblEquipment[Equipment Name]"),"")</f>
        <v/>
      </c>
      <c r="F916" s="16" t="n"/>
      <c r="G916" s="16" t="n"/>
      <c r="H916" s="1">
        <f>IF(OR(F916=0,G916=0),"",(G916-F916)*24)</f>
        <v/>
      </c>
      <c r="I916" s="10" t="n"/>
      <c r="J916" s="1">
        <f>IF(OR(tblDowntime[[#This Row],[Failure Type]]="Sawshop",tblDowntime[[#This Row],[Failure Type]]="Electrical",tblDowntime[[#This Row],[Failure Type]]="Mechanical"),tblDowntime[[#This Row],[Downtime Hours]],"")</f>
        <v/>
      </c>
      <c r="K916" s="10" t="n"/>
      <c r="L916" s="10" t="n"/>
      <c r="M916">
        <f>IF(tblDowntime[[#This Row],[Maintenance Downtime Hours]]="","",tblDowntime[[#This Row],[Equipment ID]])</f>
        <v/>
      </c>
      <c r="N916" s="1">
        <f>IF(tblDowntime[[#This Row],[Failure Type]]="Production",tblDowntime[[#This Row],[Downtime Hours]],"")</f>
        <v/>
      </c>
      <c r="O916">
        <f>IF(tblDowntime[[#This Row],[Production Downtime Hours]]="","",tblDowntime[[#This Row],[Equipment ID]])</f>
        <v/>
      </c>
      <c r="P916" s="10" t="n"/>
    </row>
    <row r="917">
      <c r="B917">
        <f t="array" ref="B917">_xlfn.XLOOKUP(C917,INDIRECT("tblEquipment[Equipment ID]"),INDIRECT("tblEquipment[Production Department]"),"")</f>
        <v/>
      </c>
      <c r="D917">
        <f t="array" ref="D917">_xlfn.XLOOKUP(C917,INDIRECT("tblEquipment[Equipment ID]"),INDIRECT("tblEquipment[Equipment Name]"),"")</f>
        <v/>
      </c>
      <c r="F917" s="16" t="n"/>
      <c r="G917" s="16" t="n"/>
      <c r="H917" s="1">
        <f>IF(OR(F917=0,G917=0),"",(G917-F917)*24)</f>
        <v/>
      </c>
      <c r="I917" s="10" t="n"/>
      <c r="J917" s="1">
        <f>IF(OR(tblDowntime[[#This Row],[Failure Type]]="Sawshop",tblDowntime[[#This Row],[Failure Type]]="Electrical",tblDowntime[[#This Row],[Failure Type]]="Mechanical"),tblDowntime[[#This Row],[Downtime Hours]],"")</f>
        <v/>
      </c>
      <c r="K917" s="10" t="n"/>
      <c r="L917" s="10" t="n"/>
      <c r="M917">
        <f>IF(tblDowntime[[#This Row],[Maintenance Downtime Hours]]="","",tblDowntime[[#This Row],[Equipment ID]])</f>
        <v/>
      </c>
      <c r="N917" s="1">
        <f>IF(tblDowntime[[#This Row],[Failure Type]]="Production",tblDowntime[[#This Row],[Downtime Hours]],"")</f>
        <v/>
      </c>
      <c r="O917">
        <f>IF(tblDowntime[[#This Row],[Production Downtime Hours]]="","",tblDowntime[[#This Row],[Equipment ID]])</f>
        <v/>
      </c>
      <c r="P917" s="10" t="n"/>
    </row>
    <row r="918">
      <c r="B918">
        <f t="array" ref="B918">_xlfn.XLOOKUP(C918,INDIRECT("tblEquipment[Equipment ID]"),INDIRECT("tblEquipment[Production Department]"),"")</f>
        <v/>
      </c>
      <c r="D918">
        <f t="array" ref="D918">_xlfn.XLOOKUP(C918,INDIRECT("tblEquipment[Equipment ID]"),INDIRECT("tblEquipment[Equipment Name]"),"")</f>
        <v/>
      </c>
      <c r="F918" s="16" t="n"/>
      <c r="G918" s="16" t="n"/>
      <c r="H918" s="1">
        <f>IF(OR(F918=0,G918=0),"",(G918-F918)*24)</f>
        <v/>
      </c>
      <c r="I918" s="10" t="n"/>
      <c r="J918" s="1">
        <f>IF(OR(tblDowntime[[#This Row],[Failure Type]]="Sawshop",tblDowntime[[#This Row],[Failure Type]]="Electrical",tblDowntime[[#This Row],[Failure Type]]="Mechanical"),tblDowntime[[#This Row],[Downtime Hours]],"")</f>
        <v/>
      </c>
      <c r="K918" s="10" t="n"/>
      <c r="L918" s="10" t="n"/>
      <c r="M918">
        <f>IF(tblDowntime[[#This Row],[Maintenance Downtime Hours]]="","",tblDowntime[[#This Row],[Equipment ID]])</f>
        <v/>
      </c>
      <c r="N918" s="1">
        <f>IF(tblDowntime[[#This Row],[Failure Type]]="Production",tblDowntime[[#This Row],[Downtime Hours]],"")</f>
        <v/>
      </c>
      <c r="O918">
        <f>IF(tblDowntime[[#This Row],[Production Downtime Hours]]="","",tblDowntime[[#This Row],[Equipment ID]])</f>
        <v/>
      </c>
      <c r="P918" s="10" t="n"/>
    </row>
    <row r="919">
      <c r="B919">
        <f t="array" ref="B919">_xlfn.XLOOKUP(C919,INDIRECT("tblEquipment[Equipment ID]"),INDIRECT("tblEquipment[Production Department]"),"")</f>
        <v/>
      </c>
      <c r="D919">
        <f t="array" ref="D919">_xlfn.XLOOKUP(C919,INDIRECT("tblEquipment[Equipment ID]"),INDIRECT("tblEquipment[Equipment Name]"),"")</f>
        <v/>
      </c>
      <c r="F919" s="16" t="n"/>
      <c r="G919" s="16" t="n"/>
      <c r="H919" s="1">
        <f>IF(OR(F919=0,G919=0),"",(G919-F919)*24)</f>
        <v/>
      </c>
      <c r="I919" s="10" t="n"/>
      <c r="J919" s="1">
        <f>IF(OR(tblDowntime[[#This Row],[Failure Type]]="Sawshop",tblDowntime[[#This Row],[Failure Type]]="Electrical",tblDowntime[[#This Row],[Failure Type]]="Mechanical"),tblDowntime[[#This Row],[Downtime Hours]],"")</f>
        <v/>
      </c>
      <c r="K919" s="10" t="n"/>
      <c r="L919" s="10" t="n"/>
      <c r="M919">
        <f>IF(tblDowntime[[#This Row],[Maintenance Downtime Hours]]="","",tblDowntime[[#This Row],[Equipment ID]])</f>
        <v/>
      </c>
      <c r="N919" s="1">
        <f>IF(tblDowntime[[#This Row],[Failure Type]]="Production",tblDowntime[[#This Row],[Downtime Hours]],"")</f>
        <v/>
      </c>
      <c r="O919">
        <f>IF(tblDowntime[[#This Row],[Production Downtime Hours]]="","",tblDowntime[[#This Row],[Equipment ID]])</f>
        <v/>
      </c>
      <c r="P919" s="10" t="n"/>
    </row>
    <row r="920">
      <c r="B920">
        <f t="array" ref="B920">_xlfn.XLOOKUP(C920,INDIRECT("tblEquipment[Equipment ID]"),INDIRECT("tblEquipment[Production Department]"),"")</f>
        <v/>
      </c>
      <c r="D920">
        <f t="array" ref="D920">_xlfn.XLOOKUP(C920,INDIRECT("tblEquipment[Equipment ID]"),INDIRECT("tblEquipment[Equipment Name]"),"")</f>
        <v/>
      </c>
      <c r="F920" s="16" t="n"/>
      <c r="G920" s="16" t="n"/>
      <c r="H920" s="1">
        <f>IF(OR(F920=0,G920=0),"",(G920-F920)*24)</f>
        <v/>
      </c>
      <c r="I920" s="10" t="n"/>
      <c r="J920" s="1">
        <f>IF(OR(tblDowntime[[#This Row],[Failure Type]]="Sawshop",tblDowntime[[#This Row],[Failure Type]]="Electrical",tblDowntime[[#This Row],[Failure Type]]="Mechanical"),tblDowntime[[#This Row],[Downtime Hours]],"")</f>
        <v/>
      </c>
      <c r="K920" s="10" t="n"/>
      <c r="L920" s="10" t="n"/>
      <c r="M920">
        <f>IF(tblDowntime[[#This Row],[Maintenance Downtime Hours]]="","",tblDowntime[[#This Row],[Equipment ID]])</f>
        <v/>
      </c>
      <c r="N920" s="1">
        <f>IF(tblDowntime[[#This Row],[Failure Type]]="Production",tblDowntime[[#This Row],[Downtime Hours]],"")</f>
        <v/>
      </c>
      <c r="O920">
        <f>IF(tblDowntime[[#This Row],[Production Downtime Hours]]="","",tblDowntime[[#This Row],[Equipment ID]])</f>
        <v/>
      </c>
      <c r="P920" s="10" t="n"/>
    </row>
    <row r="921">
      <c r="B921">
        <f t="array" ref="B921">_xlfn.XLOOKUP(C921,INDIRECT("tblEquipment[Equipment ID]"),INDIRECT("tblEquipment[Production Department]"),"")</f>
        <v/>
      </c>
      <c r="D921">
        <f t="array" ref="D921">_xlfn.XLOOKUP(C921,INDIRECT("tblEquipment[Equipment ID]"),INDIRECT("tblEquipment[Equipment Name]"),"")</f>
        <v/>
      </c>
      <c r="F921" s="16" t="n"/>
      <c r="G921" s="16" t="n"/>
      <c r="H921" s="1">
        <f>IF(OR(F921=0,G921=0),"",(G921-F921)*24)</f>
        <v/>
      </c>
      <c r="I921" s="10" t="n"/>
      <c r="J921" s="1">
        <f>IF(OR(tblDowntime[[#This Row],[Failure Type]]="Sawshop",tblDowntime[[#This Row],[Failure Type]]="Electrical",tblDowntime[[#This Row],[Failure Type]]="Mechanical"),tblDowntime[[#This Row],[Downtime Hours]],"")</f>
        <v/>
      </c>
      <c r="K921" s="10" t="n"/>
      <c r="L921" s="10" t="n"/>
      <c r="M921">
        <f>IF(tblDowntime[[#This Row],[Maintenance Downtime Hours]]="","",tblDowntime[[#This Row],[Equipment ID]])</f>
        <v/>
      </c>
      <c r="N921" s="1">
        <f>IF(tblDowntime[[#This Row],[Failure Type]]="Production",tblDowntime[[#This Row],[Downtime Hours]],"")</f>
        <v/>
      </c>
      <c r="O921">
        <f>IF(tblDowntime[[#This Row],[Production Downtime Hours]]="","",tblDowntime[[#This Row],[Equipment ID]])</f>
        <v/>
      </c>
      <c r="P921" s="10" t="n"/>
    </row>
    <row r="922">
      <c r="B922">
        <f t="array" ref="B922">_xlfn.XLOOKUP(C922,INDIRECT("tblEquipment[Equipment ID]"),INDIRECT("tblEquipment[Production Department]"),"")</f>
        <v/>
      </c>
      <c r="D922">
        <f t="array" ref="D922">_xlfn.XLOOKUP(C922,INDIRECT("tblEquipment[Equipment ID]"),INDIRECT("tblEquipment[Equipment Name]"),"")</f>
        <v/>
      </c>
      <c r="F922" s="16" t="n"/>
      <c r="G922" s="16" t="n"/>
      <c r="H922" s="1">
        <f>IF(OR(F922=0,G922=0),"",(G922-F922)*24)</f>
        <v/>
      </c>
      <c r="I922" s="10" t="n"/>
      <c r="J922" s="1">
        <f>IF(OR(tblDowntime[[#This Row],[Failure Type]]="Sawshop",tblDowntime[[#This Row],[Failure Type]]="Electrical",tblDowntime[[#This Row],[Failure Type]]="Mechanical"),tblDowntime[[#This Row],[Downtime Hours]],"")</f>
        <v/>
      </c>
      <c r="K922" s="10" t="n"/>
      <c r="L922" s="10" t="n"/>
      <c r="M922">
        <f>IF(tblDowntime[[#This Row],[Maintenance Downtime Hours]]="","",tblDowntime[[#This Row],[Equipment ID]])</f>
        <v/>
      </c>
      <c r="N922" s="1">
        <f>IF(tblDowntime[[#This Row],[Failure Type]]="Production",tblDowntime[[#This Row],[Downtime Hours]],"")</f>
        <v/>
      </c>
      <c r="O922">
        <f>IF(tblDowntime[[#This Row],[Production Downtime Hours]]="","",tblDowntime[[#This Row],[Equipment ID]])</f>
        <v/>
      </c>
      <c r="P922" s="10" t="n"/>
    </row>
    <row r="923">
      <c r="B923">
        <f t="array" ref="B923">_xlfn.XLOOKUP(C923,INDIRECT("tblEquipment[Equipment ID]"),INDIRECT("tblEquipment[Production Department]"),"")</f>
        <v/>
      </c>
      <c r="D923">
        <f t="array" ref="D923">_xlfn.XLOOKUP(C923,INDIRECT("tblEquipment[Equipment ID]"),INDIRECT("tblEquipment[Equipment Name]"),"")</f>
        <v/>
      </c>
      <c r="F923" s="16" t="n"/>
      <c r="G923" s="16" t="n"/>
      <c r="H923" s="1">
        <f>IF(OR(F923=0,G923=0),"",(G923-F923)*24)</f>
        <v/>
      </c>
      <c r="I923" s="10" t="n"/>
      <c r="J923" s="1">
        <f>IF(OR(tblDowntime[[#This Row],[Failure Type]]="Sawshop",tblDowntime[[#This Row],[Failure Type]]="Electrical",tblDowntime[[#This Row],[Failure Type]]="Mechanical"),tblDowntime[[#This Row],[Downtime Hours]],"")</f>
        <v/>
      </c>
      <c r="K923" s="10" t="n"/>
      <c r="L923" s="10" t="n"/>
      <c r="M923">
        <f>IF(tblDowntime[[#This Row],[Maintenance Downtime Hours]]="","",tblDowntime[[#This Row],[Equipment ID]])</f>
        <v/>
      </c>
      <c r="N923" s="1">
        <f>IF(tblDowntime[[#This Row],[Failure Type]]="Production",tblDowntime[[#This Row],[Downtime Hours]],"")</f>
        <v/>
      </c>
      <c r="O923">
        <f>IF(tblDowntime[[#This Row],[Production Downtime Hours]]="","",tblDowntime[[#This Row],[Equipment ID]])</f>
        <v/>
      </c>
      <c r="P923" s="10" t="n"/>
    </row>
    <row r="924">
      <c r="B924">
        <f t="array" ref="B924">_xlfn.XLOOKUP(C924,INDIRECT("tblEquipment[Equipment ID]"),INDIRECT("tblEquipment[Production Department]"),"")</f>
        <v/>
      </c>
      <c r="D924">
        <f t="array" ref="D924">_xlfn.XLOOKUP(C924,INDIRECT("tblEquipment[Equipment ID]"),INDIRECT("tblEquipment[Equipment Name]"),"")</f>
        <v/>
      </c>
      <c r="F924" s="16" t="n"/>
      <c r="G924" s="16" t="n"/>
      <c r="H924" s="1">
        <f>IF(OR(F924=0,G924=0),"",(G924-F924)*24)</f>
        <v/>
      </c>
      <c r="I924" s="10" t="n"/>
      <c r="J924" s="1">
        <f>IF(OR(tblDowntime[[#This Row],[Failure Type]]="Sawshop",tblDowntime[[#This Row],[Failure Type]]="Electrical",tblDowntime[[#This Row],[Failure Type]]="Mechanical"),tblDowntime[[#This Row],[Downtime Hours]],"")</f>
        <v/>
      </c>
      <c r="K924" s="10" t="n"/>
      <c r="L924" s="10" t="n"/>
      <c r="M924">
        <f>IF(tblDowntime[[#This Row],[Maintenance Downtime Hours]]="","",tblDowntime[[#This Row],[Equipment ID]])</f>
        <v/>
      </c>
      <c r="N924" s="1">
        <f>IF(tblDowntime[[#This Row],[Failure Type]]="Production",tblDowntime[[#This Row],[Downtime Hours]],"")</f>
        <v/>
      </c>
      <c r="O924">
        <f>IF(tblDowntime[[#This Row],[Production Downtime Hours]]="","",tblDowntime[[#This Row],[Equipment ID]])</f>
        <v/>
      </c>
      <c r="P924" s="10" t="n"/>
    </row>
    <row r="925">
      <c r="B925">
        <f t="array" ref="B925">_xlfn.XLOOKUP(C925,INDIRECT("tblEquipment[Equipment ID]"),INDIRECT("tblEquipment[Production Department]"),"")</f>
        <v/>
      </c>
      <c r="D925">
        <f t="array" ref="D925">_xlfn.XLOOKUP(C925,INDIRECT("tblEquipment[Equipment ID]"),INDIRECT("tblEquipment[Equipment Name]"),"")</f>
        <v/>
      </c>
      <c r="F925" s="16" t="n"/>
      <c r="G925" s="16" t="n"/>
      <c r="H925" s="1">
        <f>IF(OR(F925=0,G925=0),"",(G925-F925)*24)</f>
        <v/>
      </c>
      <c r="I925" s="10" t="n"/>
      <c r="J925" s="1">
        <f>IF(OR(tblDowntime[[#This Row],[Failure Type]]="Sawshop",tblDowntime[[#This Row],[Failure Type]]="Electrical",tblDowntime[[#This Row],[Failure Type]]="Mechanical"),tblDowntime[[#This Row],[Downtime Hours]],"")</f>
        <v/>
      </c>
      <c r="K925" s="10" t="n"/>
      <c r="L925" s="10" t="n"/>
      <c r="M925">
        <f>IF(tblDowntime[[#This Row],[Maintenance Downtime Hours]]="","",tblDowntime[[#This Row],[Equipment ID]])</f>
        <v/>
      </c>
      <c r="N925" s="1">
        <f>IF(tblDowntime[[#This Row],[Failure Type]]="Production",tblDowntime[[#This Row],[Downtime Hours]],"")</f>
        <v/>
      </c>
      <c r="O925">
        <f>IF(tblDowntime[[#This Row],[Production Downtime Hours]]="","",tblDowntime[[#This Row],[Equipment ID]])</f>
        <v/>
      </c>
      <c r="P925" s="10" t="n"/>
    </row>
    <row r="926">
      <c r="B926">
        <f t="array" ref="B926">_xlfn.XLOOKUP(C926,INDIRECT("tblEquipment[Equipment ID]"),INDIRECT("tblEquipment[Production Department]"),"")</f>
        <v/>
      </c>
      <c r="D926">
        <f t="array" ref="D926">_xlfn.XLOOKUP(C926,INDIRECT("tblEquipment[Equipment ID]"),INDIRECT("tblEquipment[Equipment Name]"),"")</f>
        <v/>
      </c>
      <c r="F926" s="16" t="n"/>
      <c r="G926" s="16" t="n"/>
      <c r="H926" s="1">
        <f>IF(OR(F926=0,G926=0),"",(G926-F926)*24)</f>
        <v/>
      </c>
      <c r="I926" s="10" t="n"/>
      <c r="J926" s="1">
        <f>IF(OR(tblDowntime[[#This Row],[Failure Type]]="Sawshop",tblDowntime[[#This Row],[Failure Type]]="Electrical",tblDowntime[[#This Row],[Failure Type]]="Mechanical"),tblDowntime[[#This Row],[Downtime Hours]],"")</f>
        <v/>
      </c>
      <c r="K926" s="10" t="n"/>
      <c r="L926" s="10" t="n"/>
      <c r="M926">
        <f>IF(tblDowntime[[#This Row],[Maintenance Downtime Hours]]="","",tblDowntime[[#This Row],[Equipment ID]])</f>
        <v/>
      </c>
      <c r="N926" s="1">
        <f>IF(tblDowntime[[#This Row],[Failure Type]]="Production",tblDowntime[[#This Row],[Downtime Hours]],"")</f>
        <v/>
      </c>
      <c r="O926">
        <f>IF(tblDowntime[[#This Row],[Production Downtime Hours]]="","",tblDowntime[[#This Row],[Equipment ID]])</f>
        <v/>
      </c>
      <c r="P926" s="10" t="n"/>
    </row>
    <row r="927">
      <c r="B927">
        <f t="array" ref="B927">_xlfn.XLOOKUP(C927,INDIRECT("tblEquipment[Equipment ID]"),INDIRECT("tblEquipment[Production Department]"),"")</f>
        <v/>
      </c>
      <c r="D927">
        <f t="array" ref="D927">_xlfn.XLOOKUP(C927,INDIRECT("tblEquipment[Equipment ID]"),INDIRECT("tblEquipment[Equipment Name]"),"")</f>
        <v/>
      </c>
      <c r="F927" s="16" t="n"/>
      <c r="G927" s="16" t="n"/>
      <c r="H927" s="1">
        <f>IF(OR(F927=0,G927=0),"",(G927-F927)*24)</f>
        <v/>
      </c>
      <c r="I927" s="10" t="n"/>
      <c r="J927" s="1">
        <f>IF(OR(tblDowntime[[#This Row],[Failure Type]]="Sawshop",tblDowntime[[#This Row],[Failure Type]]="Electrical",tblDowntime[[#This Row],[Failure Type]]="Mechanical"),tblDowntime[[#This Row],[Downtime Hours]],"")</f>
        <v/>
      </c>
      <c r="K927" s="10" t="n"/>
      <c r="L927" s="10" t="n"/>
      <c r="M927">
        <f>IF(tblDowntime[[#This Row],[Maintenance Downtime Hours]]="","",tblDowntime[[#This Row],[Equipment ID]])</f>
        <v/>
      </c>
      <c r="N927" s="1">
        <f>IF(tblDowntime[[#This Row],[Failure Type]]="Production",tblDowntime[[#This Row],[Downtime Hours]],"")</f>
        <v/>
      </c>
      <c r="O927">
        <f>IF(tblDowntime[[#This Row],[Production Downtime Hours]]="","",tblDowntime[[#This Row],[Equipment ID]])</f>
        <v/>
      </c>
      <c r="P927" s="10" t="n"/>
    </row>
    <row r="928">
      <c r="B928">
        <f t="array" ref="B928">_xlfn.XLOOKUP(C928,INDIRECT("tblEquipment[Equipment ID]"),INDIRECT("tblEquipment[Production Department]"),"")</f>
        <v/>
      </c>
      <c r="D928">
        <f t="array" ref="D928">_xlfn.XLOOKUP(C928,INDIRECT("tblEquipment[Equipment ID]"),INDIRECT("tblEquipment[Equipment Name]"),"")</f>
        <v/>
      </c>
      <c r="F928" s="16" t="n"/>
      <c r="G928" s="16" t="n"/>
      <c r="H928" s="1">
        <f>IF(OR(F928=0,G928=0),"",(G928-F928)*24)</f>
        <v/>
      </c>
      <c r="I928" s="10" t="n"/>
      <c r="J928" s="1">
        <f>IF(OR(tblDowntime[[#This Row],[Failure Type]]="Sawshop",tblDowntime[[#This Row],[Failure Type]]="Electrical",tblDowntime[[#This Row],[Failure Type]]="Mechanical"),tblDowntime[[#This Row],[Downtime Hours]],"")</f>
        <v/>
      </c>
      <c r="K928" s="10" t="n"/>
      <c r="L928" s="10" t="n"/>
      <c r="M928">
        <f>IF(tblDowntime[[#This Row],[Maintenance Downtime Hours]]="","",tblDowntime[[#This Row],[Equipment ID]])</f>
        <v/>
      </c>
      <c r="N928" s="1">
        <f>IF(tblDowntime[[#This Row],[Failure Type]]="Production",tblDowntime[[#This Row],[Downtime Hours]],"")</f>
        <v/>
      </c>
      <c r="O928">
        <f>IF(tblDowntime[[#This Row],[Production Downtime Hours]]="","",tblDowntime[[#This Row],[Equipment ID]])</f>
        <v/>
      </c>
      <c r="P928" s="10" t="n"/>
    </row>
    <row r="929">
      <c r="B929">
        <f t="array" ref="B929">_xlfn.XLOOKUP(C929,INDIRECT("tblEquipment[Equipment ID]"),INDIRECT("tblEquipment[Production Department]"),"")</f>
        <v/>
      </c>
      <c r="D929">
        <f t="array" ref="D929">_xlfn.XLOOKUP(C929,INDIRECT("tblEquipment[Equipment ID]"),INDIRECT("tblEquipment[Equipment Name]"),"")</f>
        <v/>
      </c>
      <c r="F929" s="16" t="n"/>
      <c r="G929" s="16" t="n"/>
      <c r="H929" s="1">
        <f>IF(OR(F929=0,G929=0),"",(G929-F929)*24)</f>
        <v/>
      </c>
      <c r="I929" s="10" t="n"/>
      <c r="J929" s="1">
        <f>IF(OR(tblDowntime[[#This Row],[Failure Type]]="Sawshop",tblDowntime[[#This Row],[Failure Type]]="Electrical",tblDowntime[[#This Row],[Failure Type]]="Mechanical"),tblDowntime[[#This Row],[Downtime Hours]],"")</f>
        <v/>
      </c>
      <c r="K929" s="10" t="n"/>
      <c r="L929" s="10" t="n"/>
      <c r="M929">
        <f>IF(tblDowntime[[#This Row],[Maintenance Downtime Hours]]="","",tblDowntime[[#This Row],[Equipment ID]])</f>
        <v/>
      </c>
      <c r="N929" s="1">
        <f>IF(tblDowntime[[#This Row],[Failure Type]]="Production",tblDowntime[[#This Row],[Downtime Hours]],"")</f>
        <v/>
      </c>
      <c r="O929">
        <f>IF(tblDowntime[[#This Row],[Production Downtime Hours]]="","",tblDowntime[[#This Row],[Equipment ID]])</f>
        <v/>
      </c>
      <c r="P929" s="10" t="n"/>
    </row>
    <row r="930">
      <c r="B930">
        <f t="array" ref="B930">_xlfn.XLOOKUP(C930,INDIRECT("tblEquipment[Equipment ID]"),INDIRECT("tblEquipment[Production Department]"),"")</f>
        <v/>
      </c>
      <c r="D930">
        <f t="array" ref="D930">_xlfn.XLOOKUP(C930,INDIRECT("tblEquipment[Equipment ID]"),INDIRECT("tblEquipment[Equipment Name]"),"")</f>
        <v/>
      </c>
      <c r="F930" s="16" t="n"/>
      <c r="G930" s="16" t="n"/>
      <c r="H930" s="1">
        <f>IF(OR(F930=0,G930=0),"",(G930-F930)*24)</f>
        <v/>
      </c>
      <c r="I930" s="10" t="n"/>
      <c r="J930" s="1">
        <f>IF(OR(tblDowntime[[#This Row],[Failure Type]]="Sawshop",tblDowntime[[#This Row],[Failure Type]]="Electrical",tblDowntime[[#This Row],[Failure Type]]="Mechanical"),tblDowntime[[#This Row],[Downtime Hours]],"")</f>
        <v/>
      </c>
      <c r="K930" s="10" t="n"/>
      <c r="L930" s="10" t="n"/>
      <c r="M930">
        <f>IF(tblDowntime[[#This Row],[Maintenance Downtime Hours]]="","",tblDowntime[[#This Row],[Equipment ID]])</f>
        <v/>
      </c>
      <c r="N930" s="1">
        <f>IF(tblDowntime[[#This Row],[Failure Type]]="Production",tblDowntime[[#This Row],[Downtime Hours]],"")</f>
        <v/>
      </c>
      <c r="O930">
        <f>IF(tblDowntime[[#This Row],[Production Downtime Hours]]="","",tblDowntime[[#This Row],[Equipment ID]])</f>
        <v/>
      </c>
      <c r="P930" s="10" t="n"/>
    </row>
    <row r="931">
      <c r="B931">
        <f t="array" ref="B931">_xlfn.XLOOKUP(C931,INDIRECT("tblEquipment[Equipment ID]"),INDIRECT("tblEquipment[Production Department]"),"")</f>
        <v/>
      </c>
      <c r="D931">
        <f t="array" ref="D931">_xlfn.XLOOKUP(C931,INDIRECT("tblEquipment[Equipment ID]"),INDIRECT("tblEquipment[Equipment Name]"),"")</f>
        <v/>
      </c>
      <c r="F931" s="16" t="n"/>
      <c r="G931" s="16" t="n"/>
      <c r="H931" s="1">
        <f>IF(OR(F931=0,G931=0),"",(G931-F931)*24)</f>
        <v/>
      </c>
      <c r="I931" s="10" t="n"/>
      <c r="J931" s="1">
        <f>IF(OR(tblDowntime[[#This Row],[Failure Type]]="Sawshop",tblDowntime[[#This Row],[Failure Type]]="Electrical",tblDowntime[[#This Row],[Failure Type]]="Mechanical"),tblDowntime[[#This Row],[Downtime Hours]],"")</f>
        <v/>
      </c>
      <c r="K931" s="10" t="n"/>
      <c r="L931" s="10" t="n"/>
      <c r="M931">
        <f>IF(tblDowntime[[#This Row],[Maintenance Downtime Hours]]="","",tblDowntime[[#This Row],[Equipment ID]])</f>
        <v/>
      </c>
      <c r="N931" s="1">
        <f>IF(tblDowntime[[#This Row],[Failure Type]]="Production",tblDowntime[[#This Row],[Downtime Hours]],"")</f>
        <v/>
      </c>
      <c r="O931">
        <f>IF(tblDowntime[[#This Row],[Production Downtime Hours]]="","",tblDowntime[[#This Row],[Equipment ID]])</f>
        <v/>
      </c>
      <c r="P931" s="10" t="n"/>
    </row>
    <row r="932">
      <c r="B932">
        <f t="array" ref="B932">_xlfn.XLOOKUP(C932,INDIRECT("tblEquipment[Equipment ID]"),INDIRECT("tblEquipment[Production Department]"),"")</f>
        <v/>
      </c>
      <c r="D932">
        <f t="array" ref="D932">_xlfn.XLOOKUP(C932,INDIRECT("tblEquipment[Equipment ID]"),INDIRECT("tblEquipment[Equipment Name]"),"")</f>
        <v/>
      </c>
      <c r="F932" s="16" t="n"/>
      <c r="G932" s="16" t="n"/>
      <c r="H932" s="1">
        <f>IF(OR(F932=0,G932=0),"",(G932-F932)*24)</f>
        <v/>
      </c>
      <c r="I932" s="10" t="n"/>
      <c r="J932" s="1">
        <f>IF(OR(tblDowntime[[#This Row],[Failure Type]]="Sawshop",tblDowntime[[#This Row],[Failure Type]]="Electrical",tblDowntime[[#This Row],[Failure Type]]="Mechanical"),tblDowntime[[#This Row],[Downtime Hours]],"")</f>
        <v/>
      </c>
      <c r="K932" s="10" t="n"/>
      <c r="L932" s="10" t="n"/>
      <c r="M932">
        <f>IF(tblDowntime[[#This Row],[Maintenance Downtime Hours]]="","",tblDowntime[[#This Row],[Equipment ID]])</f>
        <v/>
      </c>
      <c r="N932" s="1">
        <f>IF(tblDowntime[[#This Row],[Failure Type]]="Production",tblDowntime[[#This Row],[Downtime Hours]],"")</f>
        <v/>
      </c>
      <c r="O932">
        <f>IF(tblDowntime[[#This Row],[Production Downtime Hours]]="","",tblDowntime[[#This Row],[Equipment ID]])</f>
        <v/>
      </c>
      <c r="P932" s="10" t="n"/>
    </row>
    <row r="933">
      <c r="B933">
        <f t="array" ref="B933">_xlfn.XLOOKUP(C933,INDIRECT("tblEquipment[Equipment ID]"),INDIRECT("tblEquipment[Production Department]"),"")</f>
        <v/>
      </c>
      <c r="D933">
        <f t="array" ref="D933">_xlfn.XLOOKUP(C933,INDIRECT("tblEquipment[Equipment ID]"),INDIRECT("tblEquipment[Equipment Name]"),"")</f>
        <v/>
      </c>
      <c r="F933" s="16" t="n"/>
      <c r="G933" s="16" t="n"/>
      <c r="H933" s="1">
        <f>IF(OR(F933=0,G933=0),"",(G933-F933)*24)</f>
        <v/>
      </c>
      <c r="I933" s="10" t="n"/>
      <c r="J933" s="1">
        <f>IF(OR(tblDowntime[[#This Row],[Failure Type]]="Sawshop",tblDowntime[[#This Row],[Failure Type]]="Electrical",tblDowntime[[#This Row],[Failure Type]]="Mechanical"),tblDowntime[[#This Row],[Downtime Hours]],"")</f>
        <v/>
      </c>
      <c r="K933" s="10" t="n"/>
      <c r="L933" s="10" t="n"/>
      <c r="M933">
        <f>IF(tblDowntime[[#This Row],[Maintenance Downtime Hours]]="","",tblDowntime[[#This Row],[Equipment ID]])</f>
        <v/>
      </c>
      <c r="N933" s="1">
        <f>IF(tblDowntime[[#This Row],[Failure Type]]="Production",tblDowntime[[#This Row],[Downtime Hours]],"")</f>
        <v/>
      </c>
      <c r="O933">
        <f>IF(tblDowntime[[#This Row],[Production Downtime Hours]]="","",tblDowntime[[#This Row],[Equipment ID]])</f>
        <v/>
      </c>
      <c r="P933" s="10" t="n"/>
    </row>
    <row r="934">
      <c r="B934">
        <f t="array" ref="B934">_xlfn.XLOOKUP(C934,INDIRECT("tblEquipment[Equipment ID]"),INDIRECT("tblEquipment[Production Department]"),"")</f>
        <v/>
      </c>
      <c r="D934">
        <f t="array" ref="D934">_xlfn.XLOOKUP(C934,INDIRECT("tblEquipment[Equipment ID]"),INDIRECT("tblEquipment[Equipment Name]"),"")</f>
        <v/>
      </c>
      <c r="F934" s="16" t="n"/>
      <c r="G934" s="16" t="n"/>
      <c r="H934" s="1">
        <f>IF(OR(F934=0,G934=0),"",(G934-F934)*24)</f>
        <v/>
      </c>
      <c r="I934" s="10" t="n"/>
      <c r="J934" s="1">
        <f>IF(OR(tblDowntime[[#This Row],[Failure Type]]="Sawshop",tblDowntime[[#This Row],[Failure Type]]="Electrical",tblDowntime[[#This Row],[Failure Type]]="Mechanical"),tblDowntime[[#This Row],[Downtime Hours]],"")</f>
        <v/>
      </c>
      <c r="K934" s="10" t="n"/>
      <c r="L934" s="10" t="n"/>
      <c r="M934">
        <f>IF(tblDowntime[[#This Row],[Maintenance Downtime Hours]]="","",tblDowntime[[#This Row],[Equipment ID]])</f>
        <v/>
      </c>
      <c r="N934" s="1">
        <f>IF(tblDowntime[[#This Row],[Failure Type]]="Production",tblDowntime[[#This Row],[Downtime Hours]],"")</f>
        <v/>
      </c>
      <c r="O934">
        <f>IF(tblDowntime[[#This Row],[Production Downtime Hours]]="","",tblDowntime[[#This Row],[Equipment ID]])</f>
        <v/>
      </c>
      <c r="P934" s="10" t="n"/>
    </row>
    <row r="935">
      <c r="B935">
        <f t="array" ref="B935">_xlfn.XLOOKUP(C935,INDIRECT("tblEquipment[Equipment ID]"),INDIRECT("tblEquipment[Production Department]"),"")</f>
        <v/>
      </c>
      <c r="D935">
        <f t="array" ref="D935">_xlfn.XLOOKUP(C935,INDIRECT("tblEquipment[Equipment ID]"),INDIRECT("tblEquipment[Equipment Name]"),"")</f>
        <v/>
      </c>
      <c r="F935" s="16" t="n"/>
      <c r="G935" s="16" t="n"/>
      <c r="H935" s="1">
        <f>IF(OR(F935=0,G935=0),"",(G935-F935)*24)</f>
        <v/>
      </c>
      <c r="I935" s="10" t="n"/>
      <c r="J935" s="1">
        <f>IF(OR(tblDowntime[[#This Row],[Failure Type]]="Sawshop",tblDowntime[[#This Row],[Failure Type]]="Electrical",tblDowntime[[#This Row],[Failure Type]]="Mechanical"),tblDowntime[[#This Row],[Downtime Hours]],"")</f>
        <v/>
      </c>
      <c r="K935" s="10" t="n"/>
      <c r="L935" s="10" t="n"/>
      <c r="M935">
        <f>IF(tblDowntime[[#This Row],[Maintenance Downtime Hours]]="","",tblDowntime[[#This Row],[Equipment ID]])</f>
        <v/>
      </c>
      <c r="N935" s="1">
        <f>IF(tblDowntime[[#This Row],[Failure Type]]="Production",tblDowntime[[#This Row],[Downtime Hours]],"")</f>
        <v/>
      </c>
      <c r="O935">
        <f>IF(tblDowntime[[#This Row],[Production Downtime Hours]]="","",tblDowntime[[#This Row],[Equipment ID]])</f>
        <v/>
      </c>
      <c r="P935" s="10" t="n"/>
    </row>
    <row r="936">
      <c r="B936">
        <f t="array" ref="B936">_xlfn.XLOOKUP(C936,INDIRECT("tblEquipment[Equipment ID]"),INDIRECT("tblEquipment[Production Department]"),"")</f>
        <v/>
      </c>
      <c r="D936">
        <f t="array" ref="D936">_xlfn.XLOOKUP(C936,INDIRECT("tblEquipment[Equipment ID]"),INDIRECT("tblEquipment[Equipment Name]"),"")</f>
        <v/>
      </c>
      <c r="F936" s="16" t="n"/>
      <c r="G936" s="16" t="n"/>
      <c r="H936" s="1">
        <f>IF(OR(F936=0,G936=0),"",(G936-F936)*24)</f>
        <v/>
      </c>
      <c r="I936" s="10" t="n"/>
      <c r="J936" s="1">
        <f>IF(OR(tblDowntime[[#This Row],[Failure Type]]="Sawshop",tblDowntime[[#This Row],[Failure Type]]="Electrical",tblDowntime[[#This Row],[Failure Type]]="Mechanical"),tblDowntime[[#This Row],[Downtime Hours]],"")</f>
        <v/>
      </c>
      <c r="K936" s="10" t="n"/>
      <c r="L936" s="10" t="n"/>
      <c r="M936">
        <f>IF(tblDowntime[[#This Row],[Maintenance Downtime Hours]]="","",tblDowntime[[#This Row],[Equipment ID]])</f>
        <v/>
      </c>
      <c r="N936" s="1">
        <f>IF(tblDowntime[[#This Row],[Failure Type]]="Production",tblDowntime[[#This Row],[Downtime Hours]],"")</f>
        <v/>
      </c>
      <c r="O936">
        <f>IF(tblDowntime[[#This Row],[Production Downtime Hours]]="","",tblDowntime[[#This Row],[Equipment ID]])</f>
        <v/>
      </c>
      <c r="P936" s="10" t="n"/>
    </row>
    <row r="937">
      <c r="B937">
        <f t="array" ref="B937">_xlfn.XLOOKUP(C937,INDIRECT("tblEquipment[Equipment ID]"),INDIRECT("tblEquipment[Production Department]"),"")</f>
        <v/>
      </c>
      <c r="D937">
        <f t="array" ref="D937">_xlfn.XLOOKUP(C937,INDIRECT("tblEquipment[Equipment ID]"),INDIRECT("tblEquipment[Equipment Name]"),"")</f>
        <v/>
      </c>
      <c r="F937" s="16" t="n"/>
      <c r="G937" s="16" t="n"/>
      <c r="H937" s="1">
        <f>IF(OR(F937=0,G937=0),"",(G937-F937)*24)</f>
        <v/>
      </c>
      <c r="I937" s="10" t="n"/>
      <c r="J937" s="1">
        <f>IF(OR(tblDowntime[[#This Row],[Failure Type]]="Sawshop",tblDowntime[[#This Row],[Failure Type]]="Electrical",tblDowntime[[#This Row],[Failure Type]]="Mechanical"),tblDowntime[[#This Row],[Downtime Hours]],"")</f>
        <v/>
      </c>
      <c r="K937" s="10" t="n"/>
      <c r="L937" s="10" t="n"/>
      <c r="M937">
        <f>IF(tblDowntime[[#This Row],[Maintenance Downtime Hours]]="","",tblDowntime[[#This Row],[Equipment ID]])</f>
        <v/>
      </c>
      <c r="N937" s="1">
        <f>IF(tblDowntime[[#This Row],[Failure Type]]="Production",tblDowntime[[#This Row],[Downtime Hours]],"")</f>
        <v/>
      </c>
      <c r="O937">
        <f>IF(tblDowntime[[#This Row],[Production Downtime Hours]]="","",tblDowntime[[#This Row],[Equipment ID]])</f>
        <v/>
      </c>
      <c r="P937" s="10" t="n"/>
    </row>
    <row r="938">
      <c r="B938">
        <f t="array" ref="B938">_xlfn.XLOOKUP(C938,INDIRECT("tblEquipment[Equipment ID]"),INDIRECT("tblEquipment[Production Department]"),"")</f>
        <v/>
      </c>
      <c r="D938">
        <f t="array" ref="D938">_xlfn.XLOOKUP(C938,INDIRECT("tblEquipment[Equipment ID]"),INDIRECT("tblEquipment[Equipment Name]"),"")</f>
        <v/>
      </c>
      <c r="F938" s="16" t="n"/>
      <c r="G938" s="16" t="n"/>
      <c r="H938" s="1">
        <f>IF(OR(F938=0,G938=0),"",(G938-F938)*24)</f>
        <v/>
      </c>
      <c r="I938" s="10" t="n"/>
      <c r="J938" s="1">
        <f>IF(OR(tblDowntime[[#This Row],[Failure Type]]="Sawshop",tblDowntime[[#This Row],[Failure Type]]="Electrical",tblDowntime[[#This Row],[Failure Type]]="Mechanical"),tblDowntime[[#This Row],[Downtime Hours]],"")</f>
        <v/>
      </c>
      <c r="K938" s="10" t="n"/>
      <c r="L938" s="10" t="n"/>
      <c r="M938">
        <f>IF(tblDowntime[[#This Row],[Maintenance Downtime Hours]]="","",tblDowntime[[#This Row],[Equipment ID]])</f>
        <v/>
      </c>
      <c r="N938" s="1">
        <f>IF(tblDowntime[[#This Row],[Failure Type]]="Production",tblDowntime[[#This Row],[Downtime Hours]],"")</f>
        <v/>
      </c>
      <c r="O938">
        <f>IF(tblDowntime[[#This Row],[Production Downtime Hours]]="","",tblDowntime[[#This Row],[Equipment ID]])</f>
        <v/>
      </c>
      <c r="P938" s="10" t="n"/>
    </row>
    <row r="939">
      <c r="B939">
        <f t="array" ref="B939">_xlfn.XLOOKUP(C939,INDIRECT("tblEquipment[Equipment ID]"),INDIRECT("tblEquipment[Production Department]"),"")</f>
        <v/>
      </c>
      <c r="D939">
        <f t="array" ref="D939">_xlfn.XLOOKUP(C939,INDIRECT("tblEquipment[Equipment ID]"),INDIRECT("tblEquipment[Equipment Name]"),"")</f>
        <v/>
      </c>
      <c r="F939" s="16" t="n"/>
      <c r="G939" s="16" t="n"/>
      <c r="H939" s="1">
        <f>IF(OR(F939=0,G939=0),"",(G939-F939)*24)</f>
        <v/>
      </c>
      <c r="I939" s="10" t="n"/>
      <c r="J939" s="1">
        <f>IF(OR(tblDowntime[[#This Row],[Failure Type]]="Sawshop",tblDowntime[[#This Row],[Failure Type]]="Electrical",tblDowntime[[#This Row],[Failure Type]]="Mechanical"),tblDowntime[[#This Row],[Downtime Hours]],"")</f>
        <v/>
      </c>
      <c r="K939" s="10" t="n"/>
      <c r="L939" s="10" t="n"/>
      <c r="M939">
        <f>IF(tblDowntime[[#This Row],[Maintenance Downtime Hours]]="","",tblDowntime[[#This Row],[Equipment ID]])</f>
        <v/>
      </c>
      <c r="N939" s="1">
        <f>IF(tblDowntime[[#This Row],[Failure Type]]="Production",tblDowntime[[#This Row],[Downtime Hours]],"")</f>
        <v/>
      </c>
      <c r="O939">
        <f>IF(tblDowntime[[#This Row],[Production Downtime Hours]]="","",tblDowntime[[#This Row],[Equipment ID]])</f>
        <v/>
      </c>
      <c r="P939" s="10" t="n"/>
    </row>
    <row r="940">
      <c r="B940">
        <f t="array" ref="B940">_xlfn.XLOOKUP(C940,INDIRECT("tblEquipment[Equipment ID]"),INDIRECT("tblEquipment[Production Department]"),"")</f>
        <v/>
      </c>
      <c r="D940">
        <f t="array" ref="D940">_xlfn.XLOOKUP(C940,INDIRECT("tblEquipment[Equipment ID]"),INDIRECT("tblEquipment[Equipment Name]"),"")</f>
        <v/>
      </c>
      <c r="F940" s="16" t="n"/>
      <c r="G940" s="16" t="n"/>
      <c r="H940" s="1">
        <f>IF(OR(F940=0,G940=0),"",(G940-F940)*24)</f>
        <v/>
      </c>
      <c r="I940" s="10" t="n"/>
      <c r="J940" s="1">
        <f>IF(OR(tblDowntime[[#This Row],[Failure Type]]="Sawshop",tblDowntime[[#This Row],[Failure Type]]="Electrical",tblDowntime[[#This Row],[Failure Type]]="Mechanical"),tblDowntime[[#This Row],[Downtime Hours]],"")</f>
        <v/>
      </c>
      <c r="K940" s="10" t="n"/>
      <c r="L940" s="10" t="n"/>
      <c r="M940">
        <f>IF(tblDowntime[[#This Row],[Maintenance Downtime Hours]]="","",tblDowntime[[#This Row],[Equipment ID]])</f>
        <v/>
      </c>
      <c r="N940" s="1">
        <f>IF(tblDowntime[[#This Row],[Failure Type]]="Production",tblDowntime[[#This Row],[Downtime Hours]],"")</f>
        <v/>
      </c>
      <c r="O940">
        <f>IF(tblDowntime[[#This Row],[Production Downtime Hours]]="","",tblDowntime[[#This Row],[Equipment ID]])</f>
        <v/>
      </c>
      <c r="P940" s="10" t="n"/>
    </row>
    <row r="941">
      <c r="B941">
        <f t="array" ref="B941">_xlfn.XLOOKUP(C941,INDIRECT("tblEquipment[Equipment ID]"),INDIRECT("tblEquipment[Production Department]"),"")</f>
        <v/>
      </c>
      <c r="D941">
        <f t="array" ref="D941">_xlfn.XLOOKUP(C941,INDIRECT("tblEquipment[Equipment ID]"),INDIRECT("tblEquipment[Equipment Name]"),"")</f>
        <v/>
      </c>
      <c r="F941" s="16" t="n"/>
      <c r="G941" s="16" t="n"/>
      <c r="H941" s="1">
        <f>IF(OR(F941=0,G941=0),"",(G941-F941)*24)</f>
        <v/>
      </c>
      <c r="I941" s="10" t="n"/>
      <c r="J941" s="1">
        <f>IF(OR(tblDowntime[[#This Row],[Failure Type]]="Sawshop",tblDowntime[[#This Row],[Failure Type]]="Electrical",tblDowntime[[#This Row],[Failure Type]]="Mechanical"),tblDowntime[[#This Row],[Downtime Hours]],"")</f>
        <v/>
      </c>
      <c r="K941" s="10" t="n"/>
      <c r="L941" s="10" t="n"/>
      <c r="M941">
        <f>IF(tblDowntime[[#This Row],[Maintenance Downtime Hours]]="","",tblDowntime[[#This Row],[Equipment ID]])</f>
        <v/>
      </c>
      <c r="N941" s="1">
        <f>IF(tblDowntime[[#This Row],[Failure Type]]="Production",tblDowntime[[#This Row],[Downtime Hours]],"")</f>
        <v/>
      </c>
      <c r="O941">
        <f>IF(tblDowntime[[#This Row],[Production Downtime Hours]]="","",tblDowntime[[#This Row],[Equipment ID]])</f>
        <v/>
      </c>
      <c r="P941" s="10" t="n"/>
    </row>
    <row r="942">
      <c r="B942">
        <f t="array" ref="B942">_xlfn.XLOOKUP(C942,INDIRECT("tblEquipment[Equipment ID]"),INDIRECT("tblEquipment[Production Department]"),"")</f>
        <v/>
      </c>
      <c r="D942">
        <f t="array" ref="D942">_xlfn.XLOOKUP(C942,INDIRECT("tblEquipment[Equipment ID]"),INDIRECT("tblEquipment[Equipment Name]"),"")</f>
        <v/>
      </c>
      <c r="F942" s="16" t="n"/>
      <c r="G942" s="16" t="n"/>
      <c r="H942" s="1">
        <f>IF(OR(F942=0,G942=0),"",(G942-F942)*24)</f>
        <v/>
      </c>
      <c r="I942" s="10" t="n"/>
      <c r="J942" s="1">
        <f>IF(OR(tblDowntime[[#This Row],[Failure Type]]="Sawshop",tblDowntime[[#This Row],[Failure Type]]="Electrical",tblDowntime[[#This Row],[Failure Type]]="Mechanical"),tblDowntime[[#This Row],[Downtime Hours]],"")</f>
        <v/>
      </c>
      <c r="K942" s="10" t="n"/>
      <c r="L942" s="10" t="n"/>
      <c r="M942">
        <f>IF(tblDowntime[[#This Row],[Maintenance Downtime Hours]]="","",tblDowntime[[#This Row],[Equipment ID]])</f>
        <v/>
      </c>
      <c r="N942" s="1">
        <f>IF(tblDowntime[[#This Row],[Failure Type]]="Production",tblDowntime[[#This Row],[Downtime Hours]],"")</f>
        <v/>
      </c>
      <c r="O942">
        <f>IF(tblDowntime[[#This Row],[Production Downtime Hours]]="","",tblDowntime[[#This Row],[Equipment ID]])</f>
        <v/>
      </c>
      <c r="P942" s="10" t="n"/>
    </row>
    <row r="943">
      <c r="B943">
        <f t="array" ref="B943">_xlfn.XLOOKUP(C943,INDIRECT("tblEquipment[Equipment ID]"),INDIRECT("tblEquipment[Production Department]"),"")</f>
        <v/>
      </c>
      <c r="D943">
        <f t="array" ref="D943">_xlfn.XLOOKUP(C943,INDIRECT("tblEquipment[Equipment ID]"),INDIRECT("tblEquipment[Equipment Name]"),"")</f>
        <v/>
      </c>
      <c r="F943" s="16" t="n"/>
      <c r="G943" s="16" t="n"/>
      <c r="H943" s="1">
        <f>IF(OR(F943=0,G943=0),"",(G943-F943)*24)</f>
        <v/>
      </c>
      <c r="I943" s="10" t="n"/>
      <c r="J943" s="1">
        <f>IF(OR(tblDowntime[[#This Row],[Failure Type]]="Sawshop",tblDowntime[[#This Row],[Failure Type]]="Electrical",tblDowntime[[#This Row],[Failure Type]]="Mechanical"),tblDowntime[[#This Row],[Downtime Hours]],"")</f>
        <v/>
      </c>
      <c r="K943" s="10" t="n"/>
      <c r="L943" s="10" t="n"/>
      <c r="M943">
        <f>IF(tblDowntime[[#This Row],[Maintenance Downtime Hours]]="","",tblDowntime[[#This Row],[Equipment ID]])</f>
        <v/>
      </c>
      <c r="N943" s="1">
        <f>IF(tblDowntime[[#This Row],[Failure Type]]="Production",tblDowntime[[#This Row],[Downtime Hours]],"")</f>
        <v/>
      </c>
      <c r="O943">
        <f>IF(tblDowntime[[#This Row],[Production Downtime Hours]]="","",tblDowntime[[#This Row],[Equipment ID]])</f>
        <v/>
      </c>
      <c r="P943" s="10" t="n"/>
    </row>
    <row r="944">
      <c r="B944">
        <f t="array" ref="B944">_xlfn.XLOOKUP(C944,INDIRECT("tblEquipment[Equipment ID]"),INDIRECT("tblEquipment[Production Department]"),"")</f>
        <v/>
      </c>
      <c r="D944">
        <f t="array" ref="D944">_xlfn.XLOOKUP(C944,INDIRECT("tblEquipment[Equipment ID]"),INDIRECT("tblEquipment[Equipment Name]"),"")</f>
        <v/>
      </c>
      <c r="F944" s="16" t="n"/>
      <c r="G944" s="16" t="n"/>
      <c r="H944" s="1">
        <f>IF(OR(F944=0,G944=0),"",(G944-F944)*24)</f>
        <v/>
      </c>
      <c r="I944" s="10" t="n"/>
      <c r="J944" s="1">
        <f>IF(OR(tblDowntime[[#This Row],[Failure Type]]="Sawshop",tblDowntime[[#This Row],[Failure Type]]="Electrical",tblDowntime[[#This Row],[Failure Type]]="Mechanical"),tblDowntime[[#This Row],[Downtime Hours]],"")</f>
        <v/>
      </c>
      <c r="K944" s="10" t="n"/>
      <c r="L944" s="10" t="n"/>
      <c r="M944">
        <f>IF(tblDowntime[[#This Row],[Maintenance Downtime Hours]]="","",tblDowntime[[#This Row],[Equipment ID]])</f>
        <v/>
      </c>
      <c r="N944" s="1">
        <f>IF(tblDowntime[[#This Row],[Failure Type]]="Production",tblDowntime[[#This Row],[Downtime Hours]],"")</f>
        <v/>
      </c>
      <c r="O944">
        <f>IF(tblDowntime[[#This Row],[Production Downtime Hours]]="","",tblDowntime[[#This Row],[Equipment ID]])</f>
        <v/>
      </c>
      <c r="P944" s="10" t="n"/>
    </row>
    <row r="945">
      <c r="B945">
        <f t="array" ref="B945">_xlfn.XLOOKUP(C945,INDIRECT("tblEquipment[Equipment ID]"),INDIRECT("tblEquipment[Production Department]"),"")</f>
        <v/>
      </c>
      <c r="D945">
        <f t="array" ref="D945">_xlfn.XLOOKUP(C945,INDIRECT("tblEquipment[Equipment ID]"),INDIRECT("tblEquipment[Equipment Name]"),"")</f>
        <v/>
      </c>
      <c r="F945" s="16" t="n"/>
      <c r="G945" s="16" t="n"/>
      <c r="H945" s="1">
        <f>IF(OR(F945=0,G945=0),"",(G945-F945)*24)</f>
        <v/>
      </c>
      <c r="I945" s="10" t="n"/>
      <c r="J945" s="1">
        <f>IF(OR(tblDowntime[[#This Row],[Failure Type]]="Sawshop",tblDowntime[[#This Row],[Failure Type]]="Electrical",tblDowntime[[#This Row],[Failure Type]]="Mechanical"),tblDowntime[[#This Row],[Downtime Hours]],"")</f>
        <v/>
      </c>
      <c r="K945" s="10" t="n"/>
      <c r="L945" s="10" t="n"/>
      <c r="M945">
        <f>IF(tblDowntime[[#This Row],[Maintenance Downtime Hours]]="","",tblDowntime[[#This Row],[Equipment ID]])</f>
        <v/>
      </c>
      <c r="N945" s="1">
        <f>IF(tblDowntime[[#This Row],[Failure Type]]="Production",tblDowntime[[#This Row],[Downtime Hours]],"")</f>
        <v/>
      </c>
      <c r="O945">
        <f>IF(tblDowntime[[#This Row],[Production Downtime Hours]]="","",tblDowntime[[#This Row],[Equipment ID]])</f>
        <v/>
      </c>
      <c r="P945" s="10" t="n"/>
    </row>
    <row r="946">
      <c r="B946">
        <f t="array" ref="B946">_xlfn.XLOOKUP(C946,INDIRECT("tblEquipment[Equipment ID]"),INDIRECT("tblEquipment[Production Department]"),"")</f>
        <v/>
      </c>
      <c r="D946">
        <f t="array" ref="D946">_xlfn.XLOOKUP(C946,INDIRECT("tblEquipment[Equipment ID]"),INDIRECT("tblEquipment[Equipment Name]"),"")</f>
        <v/>
      </c>
      <c r="F946" s="16" t="n"/>
      <c r="G946" s="16" t="n"/>
      <c r="H946" s="1">
        <f>IF(OR(F946=0,G946=0),"",(G946-F946)*24)</f>
        <v/>
      </c>
      <c r="I946" s="10" t="n"/>
      <c r="J946" s="1">
        <f>IF(OR(tblDowntime[[#This Row],[Failure Type]]="Sawshop",tblDowntime[[#This Row],[Failure Type]]="Electrical",tblDowntime[[#This Row],[Failure Type]]="Mechanical"),tblDowntime[[#This Row],[Downtime Hours]],"")</f>
        <v/>
      </c>
      <c r="K946" s="10" t="n"/>
      <c r="L946" s="10" t="n"/>
      <c r="M946">
        <f>IF(tblDowntime[[#This Row],[Maintenance Downtime Hours]]="","",tblDowntime[[#This Row],[Equipment ID]])</f>
        <v/>
      </c>
      <c r="N946" s="1">
        <f>IF(tblDowntime[[#This Row],[Failure Type]]="Production",tblDowntime[[#This Row],[Downtime Hours]],"")</f>
        <v/>
      </c>
      <c r="O946">
        <f>IF(tblDowntime[[#This Row],[Production Downtime Hours]]="","",tblDowntime[[#This Row],[Equipment ID]])</f>
        <v/>
      </c>
      <c r="P946" s="10" t="n"/>
    </row>
    <row r="947">
      <c r="B947">
        <f t="array" ref="B947">_xlfn.XLOOKUP(C947,INDIRECT("tblEquipment[Equipment ID]"),INDIRECT("tblEquipment[Production Department]"),"")</f>
        <v/>
      </c>
      <c r="D947">
        <f t="array" ref="D947">_xlfn.XLOOKUP(C947,INDIRECT("tblEquipment[Equipment ID]"),INDIRECT("tblEquipment[Equipment Name]"),"")</f>
        <v/>
      </c>
      <c r="F947" s="16" t="n"/>
      <c r="G947" s="16" t="n"/>
      <c r="H947" s="1">
        <f>IF(OR(F947=0,G947=0),"",(G947-F947)*24)</f>
        <v/>
      </c>
      <c r="I947" s="10" t="n"/>
      <c r="J947" s="1">
        <f>IF(OR(tblDowntime[[#This Row],[Failure Type]]="Sawshop",tblDowntime[[#This Row],[Failure Type]]="Electrical",tblDowntime[[#This Row],[Failure Type]]="Mechanical"),tblDowntime[[#This Row],[Downtime Hours]],"")</f>
        <v/>
      </c>
      <c r="K947" s="10" t="n"/>
      <c r="L947" s="10" t="n"/>
      <c r="M947">
        <f>IF(tblDowntime[[#This Row],[Maintenance Downtime Hours]]="","",tblDowntime[[#This Row],[Equipment ID]])</f>
        <v/>
      </c>
      <c r="N947" s="1">
        <f>IF(tblDowntime[[#This Row],[Failure Type]]="Production",tblDowntime[[#This Row],[Downtime Hours]],"")</f>
        <v/>
      </c>
      <c r="O947">
        <f>IF(tblDowntime[[#This Row],[Production Downtime Hours]]="","",tblDowntime[[#This Row],[Equipment ID]])</f>
        <v/>
      </c>
      <c r="P947" s="10" t="n"/>
    </row>
    <row r="948">
      <c r="B948">
        <f t="array" ref="B948">_xlfn.XLOOKUP(C948,INDIRECT("tblEquipment[Equipment ID]"),INDIRECT("tblEquipment[Production Department]"),"")</f>
        <v/>
      </c>
      <c r="D948">
        <f t="array" ref="D948">_xlfn.XLOOKUP(C948,INDIRECT("tblEquipment[Equipment ID]"),INDIRECT("tblEquipment[Equipment Name]"),"")</f>
        <v/>
      </c>
      <c r="F948" s="16" t="n"/>
      <c r="G948" s="16" t="n"/>
      <c r="H948" s="1">
        <f>IF(OR(F948=0,G948=0),"",(G948-F948)*24)</f>
        <v/>
      </c>
      <c r="I948" s="10" t="n"/>
      <c r="J948" s="1">
        <f>IF(OR(tblDowntime[[#This Row],[Failure Type]]="Sawshop",tblDowntime[[#This Row],[Failure Type]]="Electrical",tblDowntime[[#This Row],[Failure Type]]="Mechanical"),tblDowntime[[#This Row],[Downtime Hours]],"")</f>
        <v/>
      </c>
      <c r="K948" s="10" t="n"/>
      <c r="L948" s="10" t="n"/>
      <c r="M948">
        <f>IF(tblDowntime[[#This Row],[Maintenance Downtime Hours]]="","",tblDowntime[[#This Row],[Equipment ID]])</f>
        <v/>
      </c>
      <c r="N948" s="1">
        <f>IF(tblDowntime[[#This Row],[Failure Type]]="Production",tblDowntime[[#This Row],[Downtime Hours]],"")</f>
        <v/>
      </c>
      <c r="O948">
        <f>IF(tblDowntime[[#This Row],[Production Downtime Hours]]="","",tblDowntime[[#This Row],[Equipment ID]])</f>
        <v/>
      </c>
      <c r="P948" s="10" t="n"/>
    </row>
    <row r="949">
      <c r="B949">
        <f t="array" ref="B949">_xlfn.XLOOKUP(C949,INDIRECT("tblEquipment[Equipment ID]"),INDIRECT("tblEquipment[Production Department]"),"")</f>
        <v/>
      </c>
      <c r="D949">
        <f t="array" ref="D949">_xlfn.XLOOKUP(C949,INDIRECT("tblEquipment[Equipment ID]"),INDIRECT("tblEquipment[Equipment Name]"),"")</f>
        <v/>
      </c>
      <c r="F949" s="16" t="n"/>
      <c r="G949" s="16" t="n"/>
      <c r="H949" s="1">
        <f>IF(OR(F949=0,G949=0),"",(G949-F949)*24)</f>
        <v/>
      </c>
      <c r="I949" s="10" t="n"/>
      <c r="J949" s="1">
        <f>IF(OR(tblDowntime[[#This Row],[Failure Type]]="Sawshop",tblDowntime[[#This Row],[Failure Type]]="Electrical",tblDowntime[[#This Row],[Failure Type]]="Mechanical"),tblDowntime[[#This Row],[Downtime Hours]],"")</f>
        <v/>
      </c>
      <c r="K949" s="10" t="n"/>
      <c r="L949" s="10" t="n"/>
      <c r="M949">
        <f>IF(tblDowntime[[#This Row],[Maintenance Downtime Hours]]="","",tblDowntime[[#This Row],[Equipment ID]])</f>
        <v/>
      </c>
      <c r="N949" s="1">
        <f>IF(tblDowntime[[#This Row],[Failure Type]]="Production",tblDowntime[[#This Row],[Downtime Hours]],"")</f>
        <v/>
      </c>
      <c r="O949">
        <f>IF(tblDowntime[[#This Row],[Production Downtime Hours]]="","",tblDowntime[[#This Row],[Equipment ID]])</f>
        <v/>
      </c>
      <c r="P949" s="10" t="n"/>
    </row>
    <row r="950">
      <c r="B950">
        <f t="array" ref="B950">_xlfn.XLOOKUP(C950,INDIRECT("tblEquipment[Equipment ID]"),INDIRECT("tblEquipment[Production Department]"),"")</f>
        <v/>
      </c>
      <c r="D950">
        <f t="array" ref="D950">_xlfn.XLOOKUP(C950,INDIRECT("tblEquipment[Equipment ID]"),INDIRECT("tblEquipment[Equipment Name]"),"")</f>
        <v/>
      </c>
      <c r="F950" s="16" t="n"/>
      <c r="G950" s="16" t="n"/>
      <c r="H950" s="1">
        <f>IF(OR(F950=0,G950=0),"",(G950-F950)*24)</f>
        <v/>
      </c>
      <c r="I950" s="10" t="n"/>
      <c r="J950" s="1">
        <f>IF(OR(tblDowntime[[#This Row],[Failure Type]]="Sawshop",tblDowntime[[#This Row],[Failure Type]]="Electrical",tblDowntime[[#This Row],[Failure Type]]="Mechanical"),tblDowntime[[#This Row],[Downtime Hours]],"")</f>
        <v/>
      </c>
      <c r="K950" s="10" t="n"/>
      <c r="L950" s="10" t="n"/>
      <c r="M950">
        <f>IF(tblDowntime[[#This Row],[Maintenance Downtime Hours]]="","",tblDowntime[[#This Row],[Equipment ID]])</f>
        <v/>
      </c>
      <c r="N950" s="1">
        <f>IF(tblDowntime[[#This Row],[Failure Type]]="Production",tblDowntime[[#This Row],[Downtime Hours]],"")</f>
        <v/>
      </c>
      <c r="O950">
        <f>IF(tblDowntime[[#This Row],[Production Downtime Hours]]="","",tblDowntime[[#This Row],[Equipment ID]])</f>
        <v/>
      </c>
      <c r="P950" s="10" t="n"/>
    </row>
    <row r="951">
      <c r="B951">
        <f t="array" ref="B951">_xlfn.XLOOKUP(C951,INDIRECT("tblEquipment[Equipment ID]"),INDIRECT("tblEquipment[Production Department]"),"")</f>
        <v/>
      </c>
      <c r="D951">
        <f t="array" ref="D951">_xlfn.XLOOKUP(C951,INDIRECT("tblEquipment[Equipment ID]"),INDIRECT("tblEquipment[Equipment Name]"),"")</f>
        <v/>
      </c>
      <c r="F951" s="16" t="n"/>
      <c r="G951" s="16" t="n"/>
      <c r="H951" s="1">
        <f>IF(OR(F951=0,G951=0),"",(G951-F951)*24)</f>
        <v/>
      </c>
      <c r="I951" s="10" t="n"/>
      <c r="J951" s="1">
        <f>IF(OR(tblDowntime[[#This Row],[Failure Type]]="Sawshop",tblDowntime[[#This Row],[Failure Type]]="Electrical",tblDowntime[[#This Row],[Failure Type]]="Mechanical"),tblDowntime[[#This Row],[Downtime Hours]],"")</f>
        <v/>
      </c>
      <c r="K951" s="10" t="n"/>
      <c r="L951" s="10" t="n"/>
      <c r="M951">
        <f>IF(tblDowntime[[#This Row],[Maintenance Downtime Hours]]="","",tblDowntime[[#This Row],[Equipment ID]])</f>
        <v/>
      </c>
      <c r="N951" s="1">
        <f>IF(tblDowntime[[#This Row],[Failure Type]]="Production",tblDowntime[[#This Row],[Downtime Hours]],"")</f>
        <v/>
      </c>
      <c r="O951">
        <f>IF(tblDowntime[[#This Row],[Production Downtime Hours]]="","",tblDowntime[[#This Row],[Equipment ID]])</f>
        <v/>
      </c>
      <c r="P951" s="10" t="n"/>
    </row>
    <row r="952">
      <c r="B952">
        <f t="array" ref="B952">_xlfn.XLOOKUP(C952,INDIRECT("tblEquipment[Equipment ID]"),INDIRECT("tblEquipment[Production Department]"),"")</f>
        <v/>
      </c>
      <c r="D952">
        <f t="array" ref="D952">_xlfn.XLOOKUP(C952,INDIRECT("tblEquipment[Equipment ID]"),INDIRECT("tblEquipment[Equipment Name]"),"")</f>
        <v/>
      </c>
      <c r="F952" s="16" t="n"/>
      <c r="G952" s="16" t="n"/>
      <c r="H952" s="1">
        <f>IF(OR(F952=0,G952=0),"",(G952-F952)*24)</f>
        <v/>
      </c>
      <c r="I952" s="10" t="n"/>
      <c r="J952" s="1">
        <f>IF(OR(tblDowntime[[#This Row],[Failure Type]]="Sawshop",tblDowntime[[#This Row],[Failure Type]]="Electrical",tblDowntime[[#This Row],[Failure Type]]="Mechanical"),tblDowntime[[#This Row],[Downtime Hours]],"")</f>
        <v/>
      </c>
      <c r="K952" s="10" t="n"/>
      <c r="L952" s="10" t="n"/>
      <c r="M952">
        <f>IF(tblDowntime[[#This Row],[Maintenance Downtime Hours]]="","",tblDowntime[[#This Row],[Equipment ID]])</f>
        <v/>
      </c>
      <c r="N952" s="1">
        <f>IF(tblDowntime[[#This Row],[Failure Type]]="Production",tblDowntime[[#This Row],[Downtime Hours]],"")</f>
        <v/>
      </c>
      <c r="O952">
        <f>IF(tblDowntime[[#This Row],[Production Downtime Hours]]="","",tblDowntime[[#This Row],[Equipment ID]])</f>
        <v/>
      </c>
      <c r="P952" s="10" t="n"/>
    </row>
    <row r="953">
      <c r="B953">
        <f t="array" ref="B953">_xlfn.XLOOKUP(C953,INDIRECT("tblEquipment[Equipment ID]"),INDIRECT("tblEquipment[Production Department]"),"")</f>
        <v/>
      </c>
      <c r="D953">
        <f t="array" ref="D953">_xlfn.XLOOKUP(C953,INDIRECT("tblEquipment[Equipment ID]"),INDIRECT("tblEquipment[Equipment Name]"),"")</f>
        <v/>
      </c>
      <c r="F953" s="16" t="n"/>
      <c r="G953" s="16" t="n"/>
      <c r="H953" s="1">
        <f>IF(OR(F953=0,G953=0),"",(G953-F953)*24)</f>
        <v/>
      </c>
      <c r="I953" s="10" t="n"/>
      <c r="J953" s="1">
        <f>IF(OR(tblDowntime[[#This Row],[Failure Type]]="Sawshop",tblDowntime[[#This Row],[Failure Type]]="Electrical",tblDowntime[[#This Row],[Failure Type]]="Mechanical"),tblDowntime[[#This Row],[Downtime Hours]],"")</f>
        <v/>
      </c>
      <c r="K953" s="10" t="n"/>
      <c r="L953" s="10" t="n"/>
      <c r="M953">
        <f>IF(tblDowntime[[#This Row],[Maintenance Downtime Hours]]="","",tblDowntime[[#This Row],[Equipment ID]])</f>
        <v/>
      </c>
      <c r="N953" s="1">
        <f>IF(tblDowntime[[#This Row],[Failure Type]]="Production",tblDowntime[[#This Row],[Downtime Hours]],"")</f>
        <v/>
      </c>
      <c r="O953">
        <f>IF(tblDowntime[[#This Row],[Production Downtime Hours]]="","",tblDowntime[[#This Row],[Equipment ID]])</f>
        <v/>
      </c>
      <c r="P953" s="10" t="n"/>
    </row>
    <row r="954">
      <c r="B954">
        <f t="array" ref="B954">_xlfn.XLOOKUP(C954,INDIRECT("tblEquipment[Equipment ID]"),INDIRECT("tblEquipment[Production Department]"),"")</f>
        <v/>
      </c>
      <c r="D954">
        <f t="array" ref="D954">_xlfn.XLOOKUP(C954,INDIRECT("tblEquipment[Equipment ID]"),INDIRECT("tblEquipment[Equipment Name]"),"")</f>
        <v/>
      </c>
      <c r="F954" s="16" t="n"/>
      <c r="G954" s="16" t="n"/>
      <c r="H954" s="1">
        <f>IF(OR(F954=0,G954=0),"",(G954-F954)*24)</f>
        <v/>
      </c>
      <c r="I954" s="10" t="n"/>
      <c r="J954" s="1">
        <f>IF(OR(tblDowntime[[#This Row],[Failure Type]]="Sawshop",tblDowntime[[#This Row],[Failure Type]]="Electrical",tblDowntime[[#This Row],[Failure Type]]="Mechanical"),tblDowntime[[#This Row],[Downtime Hours]],"")</f>
        <v/>
      </c>
      <c r="K954" s="10" t="n"/>
      <c r="L954" s="10" t="n"/>
      <c r="M954">
        <f>IF(tblDowntime[[#This Row],[Maintenance Downtime Hours]]="","",tblDowntime[[#This Row],[Equipment ID]])</f>
        <v/>
      </c>
      <c r="N954" s="1">
        <f>IF(tblDowntime[[#This Row],[Failure Type]]="Production",tblDowntime[[#This Row],[Downtime Hours]],"")</f>
        <v/>
      </c>
      <c r="O954">
        <f>IF(tblDowntime[[#This Row],[Production Downtime Hours]]="","",tblDowntime[[#This Row],[Equipment ID]])</f>
        <v/>
      </c>
      <c r="P954" s="10" t="n"/>
    </row>
    <row r="955">
      <c r="B955">
        <f t="array" ref="B955">_xlfn.XLOOKUP(C955,INDIRECT("tblEquipment[Equipment ID]"),INDIRECT("tblEquipment[Production Department]"),"")</f>
        <v/>
      </c>
      <c r="D955">
        <f t="array" ref="D955">_xlfn.XLOOKUP(C955,INDIRECT("tblEquipment[Equipment ID]"),INDIRECT("tblEquipment[Equipment Name]"),"")</f>
        <v/>
      </c>
      <c r="F955" s="16" t="n"/>
      <c r="G955" s="16" t="n"/>
      <c r="H955" s="1">
        <f>IF(OR(F955=0,G955=0),"",(G955-F955)*24)</f>
        <v/>
      </c>
      <c r="I955" s="10" t="n"/>
      <c r="J955" s="1">
        <f>IF(OR(tblDowntime[[#This Row],[Failure Type]]="Sawshop",tblDowntime[[#This Row],[Failure Type]]="Electrical",tblDowntime[[#This Row],[Failure Type]]="Mechanical"),tblDowntime[[#This Row],[Downtime Hours]],"")</f>
        <v/>
      </c>
      <c r="K955" s="10" t="n"/>
      <c r="L955" s="10" t="n"/>
      <c r="M955">
        <f>IF(tblDowntime[[#This Row],[Maintenance Downtime Hours]]="","",tblDowntime[[#This Row],[Equipment ID]])</f>
        <v/>
      </c>
      <c r="N955" s="1">
        <f>IF(tblDowntime[[#This Row],[Failure Type]]="Production",tblDowntime[[#This Row],[Downtime Hours]],"")</f>
        <v/>
      </c>
      <c r="O955">
        <f>IF(tblDowntime[[#This Row],[Production Downtime Hours]]="","",tblDowntime[[#This Row],[Equipment ID]])</f>
        <v/>
      </c>
      <c r="P955" s="10" t="n"/>
    </row>
    <row r="956">
      <c r="B956">
        <f t="array" ref="B956">_xlfn.XLOOKUP(C956,INDIRECT("tblEquipment[Equipment ID]"),INDIRECT("tblEquipment[Production Department]"),"")</f>
        <v/>
      </c>
      <c r="D956">
        <f t="array" ref="D956">_xlfn.XLOOKUP(C956,INDIRECT("tblEquipment[Equipment ID]"),INDIRECT("tblEquipment[Equipment Name]"),"")</f>
        <v/>
      </c>
      <c r="F956" s="16" t="n"/>
      <c r="G956" s="16" t="n"/>
      <c r="H956" s="1">
        <f>IF(OR(F956=0,G956=0),"",(G956-F956)*24)</f>
        <v/>
      </c>
      <c r="I956" s="10" t="n"/>
      <c r="J956" s="1">
        <f>IF(OR(tblDowntime[[#This Row],[Failure Type]]="Sawshop",tblDowntime[[#This Row],[Failure Type]]="Electrical",tblDowntime[[#This Row],[Failure Type]]="Mechanical"),tblDowntime[[#This Row],[Downtime Hours]],"")</f>
        <v/>
      </c>
      <c r="K956" s="10" t="n"/>
      <c r="L956" s="10" t="n"/>
      <c r="M956">
        <f>IF(tblDowntime[[#This Row],[Maintenance Downtime Hours]]="","",tblDowntime[[#This Row],[Equipment ID]])</f>
        <v/>
      </c>
      <c r="N956" s="1">
        <f>IF(tblDowntime[[#This Row],[Failure Type]]="Production",tblDowntime[[#This Row],[Downtime Hours]],"")</f>
        <v/>
      </c>
      <c r="O956">
        <f>IF(tblDowntime[[#This Row],[Production Downtime Hours]]="","",tblDowntime[[#This Row],[Equipment ID]])</f>
        <v/>
      </c>
      <c r="P956" s="10" t="n"/>
    </row>
    <row r="957">
      <c r="B957">
        <f t="array" ref="B957">_xlfn.XLOOKUP(C957,INDIRECT("tblEquipment[Equipment ID]"),INDIRECT("tblEquipment[Production Department]"),"")</f>
        <v/>
      </c>
      <c r="D957">
        <f t="array" ref="D957">_xlfn.XLOOKUP(C957,INDIRECT("tblEquipment[Equipment ID]"),INDIRECT("tblEquipment[Equipment Name]"),"")</f>
        <v/>
      </c>
      <c r="F957" s="16" t="n"/>
      <c r="G957" s="16" t="n"/>
      <c r="H957" s="1">
        <f>IF(OR(F957=0,G957=0),"",(G957-F957)*24)</f>
        <v/>
      </c>
      <c r="I957" s="10" t="n"/>
      <c r="J957" s="1">
        <f>IF(OR(tblDowntime[[#This Row],[Failure Type]]="Sawshop",tblDowntime[[#This Row],[Failure Type]]="Electrical",tblDowntime[[#This Row],[Failure Type]]="Mechanical"),tblDowntime[[#This Row],[Downtime Hours]],"")</f>
        <v/>
      </c>
      <c r="K957" s="10" t="n"/>
      <c r="L957" s="10" t="n"/>
      <c r="M957">
        <f>IF(tblDowntime[[#This Row],[Maintenance Downtime Hours]]="","",tblDowntime[[#This Row],[Equipment ID]])</f>
        <v/>
      </c>
      <c r="N957" s="1">
        <f>IF(tblDowntime[[#This Row],[Failure Type]]="Production",tblDowntime[[#This Row],[Downtime Hours]],"")</f>
        <v/>
      </c>
      <c r="O957">
        <f>IF(tblDowntime[[#This Row],[Production Downtime Hours]]="","",tblDowntime[[#This Row],[Equipment ID]])</f>
        <v/>
      </c>
      <c r="P957" s="10" t="n"/>
    </row>
    <row r="958">
      <c r="B958">
        <f t="array" ref="B958">_xlfn.XLOOKUP(C958,INDIRECT("tblEquipment[Equipment ID]"),INDIRECT("tblEquipment[Production Department]"),"")</f>
        <v/>
      </c>
      <c r="D958">
        <f t="array" ref="D958">_xlfn.XLOOKUP(C958,INDIRECT("tblEquipment[Equipment ID]"),INDIRECT("tblEquipment[Equipment Name]"),"")</f>
        <v/>
      </c>
      <c r="F958" s="16" t="n"/>
      <c r="G958" s="16" t="n"/>
      <c r="H958" s="1">
        <f>IF(OR(F958=0,G958=0),"",(G958-F958)*24)</f>
        <v/>
      </c>
      <c r="I958" s="10" t="n"/>
      <c r="J958" s="1">
        <f>IF(OR(tblDowntime[[#This Row],[Failure Type]]="Sawshop",tblDowntime[[#This Row],[Failure Type]]="Electrical",tblDowntime[[#This Row],[Failure Type]]="Mechanical"),tblDowntime[[#This Row],[Downtime Hours]],"")</f>
        <v/>
      </c>
      <c r="K958" s="10" t="n"/>
      <c r="L958" s="10" t="n"/>
      <c r="M958">
        <f>IF(tblDowntime[[#This Row],[Maintenance Downtime Hours]]="","",tblDowntime[[#This Row],[Equipment ID]])</f>
        <v/>
      </c>
      <c r="N958" s="1">
        <f>IF(tblDowntime[[#This Row],[Failure Type]]="Production",tblDowntime[[#This Row],[Downtime Hours]],"")</f>
        <v/>
      </c>
      <c r="O958">
        <f>IF(tblDowntime[[#This Row],[Production Downtime Hours]]="","",tblDowntime[[#This Row],[Equipment ID]])</f>
        <v/>
      </c>
      <c r="P958" s="10" t="n"/>
    </row>
    <row r="959">
      <c r="B959">
        <f t="array" ref="B959">_xlfn.XLOOKUP(C959,INDIRECT("tblEquipment[Equipment ID]"),INDIRECT("tblEquipment[Production Department]"),"")</f>
        <v/>
      </c>
      <c r="D959">
        <f t="array" ref="D959">_xlfn.XLOOKUP(C959,INDIRECT("tblEquipment[Equipment ID]"),INDIRECT("tblEquipment[Equipment Name]"),"")</f>
        <v/>
      </c>
      <c r="F959" s="16" t="n"/>
      <c r="G959" s="16" t="n"/>
      <c r="H959" s="1">
        <f>IF(OR(F959=0,G959=0),"",(G959-F959)*24)</f>
        <v/>
      </c>
      <c r="I959" s="10" t="n"/>
      <c r="J959" s="1">
        <f>IF(OR(tblDowntime[[#This Row],[Failure Type]]="Sawshop",tblDowntime[[#This Row],[Failure Type]]="Electrical",tblDowntime[[#This Row],[Failure Type]]="Mechanical"),tblDowntime[[#This Row],[Downtime Hours]],"")</f>
        <v/>
      </c>
      <c r="K959" s="10" t="n"/>
      <c r="L959" s="10" t="n"/>
      <c r="M959">
        <f>IF(tblDowntime[[#This Row],[Maintenance Downtime Hours]]="","",tblDowntime[[#This Row],[Equipment ID]])</f>
        <v/>
      </c>
      <c r="N959" s="1">
        <f>IF(tblDowntime[[#This Row],[Failure Type]]="Production",tblDowntime[[#This Row],[Downtime Hours]],"")</f>
        <v/>
      </c>
      <c r="O959">
        <f>IF(tblDowntime[[#This Row],[Production Downtime Hours]]="","",tblDowntime[[#This Row],[Equipment ID]])</f>
        <v/>
      </c>
      <c r="P959" s="10" t="n"/>
    </row>
    <row r="960">
      <c r="B960">
        <f t="array" ref="B960">_xlfn.XLOOKUP(C960,INDIRECT("tblEquipment[Equipment ID]"),INDIRECT("tblEquipment[Production Department]"),"")</f>
        <v/>
      </c>
      <c r="D960">
        <f t="array" ref="D960">_xlfn.XLOOKUP(C960,INDIRECT("tblEquipment[Equipment ID]"),INDIRECT("tblEquipment[Equipment Name]"),"")</f>
        <v/>
      </c>
      <c r="F960" s="16" t="n"/>
      <c r="G960" s="16" t="n"/>
      <c r="H960" s="1">
        <f>IF(OR(F960=0,G960=0),"",(G960-F960)*24)</f>
        <v/>
      </c>
      <c r="I960" s="10" t="n"/>
      <c r="J960" s="1">
        <f>IF(OR(tblDowntime[[#This Row],[Failure Type]]="Sawshop",tblDowntime[[#This Row],[Failure Type]]="Electrical",tblDowntime[[#This Row],[Failure Type]]="Mechanical"),tblDowntime[[#This Row],[Downtime Hours]],"")</f>
        <v/>
      </c>
      <c r="K960" s="10" t="n"/>
      <c r="L960" s="10" t="n"/>
      <c r="M960">
        <f>IF(tblDowntime[[#This Row],[Maintenance Downtime Hours]]="","",tblDowntime[[#This Row],[Equipment ID]])</f>
        <v/>
      </c>
      <c r="N960" s="1">
        <f>IF(tblDowntime[[#This Row],[Failure Type]]="Production",tblDowntime[[#This Row],[Downtime Hours]],"")</f>
        <v/>
      </c>
      <c r="O960">
        <f>IF(tblDowntime[[#This Row],[Production Downtime Hours]]="","",tblDowntime[[#This Row],[Equipment ID]])</f>
        <v/>
      </c>
      <c r="P960" s="10" t="n"/>
    </row>
    <row r="961">
      <c r="B961">
        <f t="array" ref="B961">_xlfn.XLOOKUP(C961,INDIRECT("tblEquipment[Equipment ID]"),INDIRECT("tblEquipment[Production Department]"),"")</f>
        <v/>
      </c>
      <c r="D961">
        <f t="array" ref="D961">_xlfn.XLOOKUP(C961,INDIRECT("tblEquipment[Equipment ID]"),INDIRECT("tblEquipment[Equipment Name]"),"")</f>
        <v/>
      </c>
      <c r="F961" s="16" t="n"/>
      <c r="G961" s="16" t="n"/>
      <c r="H961" s="1">
        <f>IF(OR(F961=0,G961=0),"",(G961-F961)*24)</f>
        <v/>
      </c>
      <c r="I961" s="10" t="n"/>
      <c r="J961" s="1">
        <f>IF(OR(tblDowntime[[#This Row],[Failure Type]]="Sawshop",tblDowntime[[#This Row],[Failure Type]]="Electrical",tblDowntime[[#This Row],[Failure Type]]="Mechanical"),tblDowntime[[#This Row],[Downtime Hours]],"")</f>
        <v/>
      </c>
      <c r="K961" s="10" t="n"/>
      <c r="L961" s="10" t="n"/>
      <c r="M961">
        <f>IF(tblDowntime[[#This Row],[Maintenance Downtime Hours]]="","",tblDowntime[[#This Row],[Equipment ID]])</f>
        <v/>
      </c>
      <c r="N961" s="1">
        <f>IF(tblDowntime[[#This Row],[Failure Type]]="Production",tblDowntime[[#This Row],[Downtime Hours]],"")</f>
        <v/>
      </c>
      <c r="O961">
        <f>IF(tblDowntime[[#This Row],[Production Downtime Hours]]="","",tblDowntime[[#This Row],[Equipment ID]])</f>
        <v/>
      </c>
      <c r="P961" s="10" t="n"/>
    </row>
    <row r="962">
      <c r="B962">
        <f t="array" ref="B962">_xlfn.XLOOKUP(C962,INDIRECT("tblEquipment[Equipment ID]"),INDIRECT("tblEquipment[Production Department]"),"")</f>
        <v/>
      </c>
      <c r="D962">
        <f t="array" ref="D962">_xlfn.XLOOKUP(C962,INDIRECT("tblEquipment[Equipment ID]"),INDIRECT("tblEquipment[Equipment Name]"),"")</f>
        <v/>
      </c>
      <c r="F962" s="16" t="n"/>
      <c r="G962" s="16" t="n"/>
      <c r="H962" s="1">
        <f>IF(OR(F962=0,G962=0),"",(G962-F962)*24)</f>
        <v/>
      </c>
      <c r="I962" s="10" t="n"/>
      <c r="J962" s="1">
        <f>IF(OR(tblDowntime[[#This Row],[Failure Type]]="Sawshop",tblDowntime[[#This Row],[Failure Type]]="Electrical",tblDowntime[[#This Row],[Failure Type]]="Mechanical"),tblDowntime[[#This Row],[Downtime Hours]],"")</f>
        <v/>
      </c>
      <c r="K962" s="10" t="n"/>
      <c r="L962" s="10" t="n"/>
      <c r="M962">
        <f>IF(tblDowntime[[#This Row],[Maintenance Downtime Hours]]="","",tblDowntime[[#This Row],[Equipment ID]])</f>
        <v/>
      </c>
      <c r="N962" s="1">
        <f>IF(tblDowntime[[#This Row],[Failure Type]]="Production",tblDowntime[[#This Row],[Downtime Hours]],"")</f>
        <v/>
      </c>
      <c r="O962">
        <f>IF(tblDowntime[[#This Row],[Production Downtime Hours]]="","",tblDowntime[[#This Row],[Equipment ID]])</f>
        <v/>
      </c>
      <c r="P962" s="10" t="n"/>
    </row>
    <row r="963">
      <c r="B963">
        <f t="array" ref="B963">_xlfn.XLOOKUP(C963,INDIRECT("tblEquipment[Equipment ID]"),INDIRECT("tblEquipment[Production Department]"),"")</f>
        <v/>
      </c>
      <c r="D963">
        <f t="array" ref="D963">_xlfn.XLOOKUP(C963,INDIRECT("tblEquipment[Equipment ID]"),INDIRECT("tblEquipment[Equipment Name]"),"")</f>
        <v/>
      </c>
      <c r="F963" s="16" t="n"/>
      <c r="G963" s="16" t="n"/>
      <c r="H963" s="1">
        <f>IF(OR(F963=0,G963=0),"",(G963-F963)*24)</f>
        <v/>
      </c>
      <c r="I963" s="10" t="n"/>
      <c r="J963" s="1">
        <f>IF(OR(tblDowntime[[#This Row],[Failure Type]]="Sawshop",tblDowntime[[#This Row],[Failure Type]]="Electrical",tblDowntime[[#This Row],[Failure Type]]="Mechanical"),tblDowntime[[#This Row],[Downtime Hours]],"")</f>
        <v/>
      </c>
      <c r="K963" s="10" t="n"/>
      <c r="L963" s="10" t="n"/>
      <c r="M963">
        <f>IF(tblDowntime[[#This Row],[Maintenance Downtime Hours]]="","",tblDowntime[[#This Row],[Equipment ID]])</f>
        <v/>
      </c>
      <c r="N963" s="1">
        <f>IF(tblDowntime[[#This Row],[Failure Type]]="Production",tblDowntime[[#This Row],[Downtime Hours]],"")</f>
        <v/>
      </c>
      <c r="O963">
        <f>IF(tblDowntime[[#This Row],[Production Downtime Hours]]="","",tblDowntime[[#This Row],[Equipment ID]])</f>
        <v/>
      </c>
      <c r="P963" s="10" t="n"/>
    </row>
    <row r="964">
      <c r="B964">
        <f t="array" ref="B964">_xlfn.XLOOKUP(C964,INDIRECT("tblEquipment[Equipment ID]"),INDIRECT("tblEquipment[Production Department]"),"")</f>
        <v/>
      </c>
      <c r="D964">
        <f t="array" ref="D964">_xlfn.XLOOKUP(C964,INDIRECT("tblEquipment[Equipment ID]"),INDIRECT("tblEquipment[Equipment Name]"),"")</f>
        <v/>
      </c>
      <c r="F964" s="16" t="n"/>
      <c r="G964" s="16" t="n"/>
      <c r="H964" s="1">
        <f>IF(OR(F964=0,G964=0),"",(G964-F964)*24)</f>
        <v/>
      </c>
      <c r="I964" s="10" t="n"/>
      <c r="J964" s="1">
        <f>IF(OR(tblDowntime[[#This Row],[Failure Type]]="Sawshop",tblDowntime[[#This Row],[Failure Type]]="Electrical",tblDowntime[[#This Row],[Failure Type]]="Mechanical"),tblDowntime[[#This Row],[Downtime Hours]],"")</f>
        <v/>
      </c>
      <c r="K964" s="10" t="n"/>
      <c r="L964" s="10" t="n"/>
      <c r="M964">
        <f>IF(tblDowntime[[#This Row],[Maintenance Downtime Hours]]="","",tblDowntime[[#This Row],[Equipment ID]])</f>
        <v/>
      </c>
      <c r="N964" s="1">
        <f>IF(tblDowntime[[#This Row],[Failure Type]]="Production",tblDowntime[[#This Row],[Downtime Hours]],"")</f>
        <v/>
      </c>
      <c r="O964">
        <f>IF(tblDowntime[[#This Row],[Production Downtime Hours]]="","",tblDowntime[[#This Row],[Equipment ID]])</f>
        <v/>
      </c>
      <c r="P964" s="10" t="n"/>
    </row>
    <row r="965">
      <c r="B965">
        <f t="array" ref="B965">_xlfn.XLOOKUP(C965,INDIRECT("tblEquipment[Equipment ID]"),INDIRECT("tblEquipment[Production Department]"),"")</f>
        <v/>
      </c>
      <c r="D965">
        <f t="array" ref="D965">_xlfn.XLOOKUP(C965,INDIRECT("tblEquipment[Equipment ID]"),INDIRECT("tblEquipment[Equipment Name]"),"")</f>
        <v/>
      </c>
      <c r="F965" s="16" t="n"/>
      <c r="G965" s="16" t="n"/>
      <c r="H965" s="1">
        <f>IF(OR(F965=0,G965=0),"",(G965-F965)*24)</f>
        <v/>
      </c>
      <c r="I965" s="10" t="n"/>
      <c r="J965" s="1">
        <f>IF(OR(tblDowntime[[#This Row],[Failure Type]]="Sawshop",tblDowntime[[#This Row],[Failure Type]]="Electrical",tblDowntime[[#This Row],[Failure Type]]="Mechanical"),tblDowntime[[#This Row],[Downtime Hours]],"")</f>
        <v/>
      </c>
      <c r="K965" s="10" t="n"/>
      <c r="L965" s="10" t="n"/>
      <c r="M965">
        <f>IF(tblDowntime[[#This Row],[Maintenance Downtime Hours]]="","",tblDowntime[[#This Row],[Equipment ID]])</f>
        <v/>
      </c>
      <c r="N965" s="1">
        <f>IF(tblDowntime[[#This Row],[Failure Type]]="Production",tblDowntime[[#This Row],[Downtime Hours]],"")</f>
        <v/>
      </c>
      <c r="O965">
        <f>IF(tblDowntime[[#This Row],[Production Downtime Hours]]="","",tblDowntime[[#This Row],[Equipment ID]])</f>
        <v/>
      </c>
      <c r="P965" s="10" t="n"/>
    </row>
    <row r="966">
      <c r="B966">
        <f t="array" ref="B966">_xlfn.XLOOKUP(C966,INDIRECT("tblEquipment[Equipment ID]"),INDIRECT("tblEquipment[Production Department]"),"")</f>
        <v/>
      </c>
      <c r="D966">
        <f t="array" ref="D966">_xlfn.XLOOKUP(C966,INDIRECT("tblEquipment[Equipment ID]"),INDIRECT("tblEquipment[Equipment Name]"),"")</f>
        <v/>
      </c>
      <c r="F966" s="16" t="n"/>
      <c r="G966" s="16" t="n"/>
      <c r="H966" s="1">
        <f>IF(OR(F966=0,G966=0),"",(G966-F966)*24)</f>
        <v/>
      </c>
      <c r="I966" s="10" t="n"/>
      <c r="J966" s="1">
        <f>IF(OR(tblDowntime[[#This Row],[Failure Type]]="Sawshop",tblDowntime[[#This Row],[Failure Type]]="Electrical",tblDowntime[[#This Row],[Failure Type]]="Mechanical"),tblDowntime[[#This Row],[Downtime Hours]],"")</f>
        <v/>
      </c>
      <c r="K966" s="10" t="n"/>
      <c r="L966" s="10" t="n"/>
      <c r="M966">
        <f>IF(tblDowntime[[#This Row],[Maintenance Downtime Hours]]="","",tblDowntime[[#This Row],[Equipment ID]])</f>
        <v/>
      </c>
      <c r="N966" s="1">
        <f>IF(tblDowntime[[#This Row],[Failure Type]]="Production",tblDowntime[[#This Row],[Downtime Hours]],"")</f>
        <v/>
      </c>
      <c r="O966">
        <f>IF(tblDowntime[[#This Row],[Production Downtime Hours]]="","",tblDowntime[[#This Row],[Equipment ID]])</f>
        <v/>
      </c>
      <c r="P966" s="10" t="n"/>
    </row>
    <row r="967">
      <c r="B967">
        <f t="array" ref="B967">_xlfn.XLOOKUP(C967,INDIRECT("tblEquipment[Equipment ID]"),INDIRECT("tblEquipment[Production Department]"),"")</f>
        <v/>
      </c>
      <c r="D967">
        <f t="array" ref="D967">_xlfn.XLOOKUP(C967,INDIRECT("tblEquipment[Equipment ID]"),INDIRECT("tblEquipment[Equipment Name]"),"")</f>
        <v/>
      </c>
      <c r="F967" s="16" t="n"/>
      <c r="G967" s="16" t="n"/>
      <c r="H967" s="1">
        <f>IF(OR(F967=0,G967=0),"",(G967-F967)*24)</f>
        <v/>
      </c>
      <c r="I967" s="10" t="n"/>
      <c r="J967" s="1">
        <f>IF(OR(tblDowntime[[#This Row],[Failure Type]]="Sawshop",tblDowntime[[#This Row],[Failure Type]]="Electrical",tblDowntime[[#This Row],[Failure Type]]="Mechanical"),tblDowntime[[#This Row],[Downtime Hours]],"")</f>
        <v/>
      </c>
      <c r="K967" s="10" t="n"/>
      <c r="L967" s="10" t="n"/>
      <c r="M967">
        <f>IF(tblDowntime[[#This Row],[Maintenance Downtime Hours]]="","",tblDowntime[[#This Row],[Equipment ID]])</f>
        <v/>
      </c>
      <c r="N967" s="1">
        <f>IF(tblDowntime[[#This Row],[Failure Type]]="Production",tblDowntime[[#This Row],[Downtime Hours]],"")</f>
        <v/>
      </c>
      <c r="O967">
        <f>IF(tblDowntime[[#This Row],[Production Downtime Hours]]="","",tblDowntime[[#This Row],[Equipment ID]])</f>
        <v/>
      </c>
      <c r="P967" s="10" t="n"/>
    </row>
    <row r="968">
      <c r="B968">
        <f t="array" ref="B968">_xlfn.XLOOKUP(C968,INDIRECT("tblEquipment[Equipment ID]"),INDIRECT("tblEquipment[Production Department]"),"")</f>
        <v/>
      </c>
      <c r="D968">
        <f t="array" ref="D968">_xlfn.XLOOKUP(C968,INDIRECT("tblEquipment[Equipment ID]"),INDIRECT("tblEquipment[Equipment Name]"),"")</f>
        <v/>
      </c>
      <c r="F968" s="16" t="n"/>
      <c r="G968" s="16" t="n"/>
      <c r="H968" s="1">
        <f>IF(OR(F968=0,G968=0),"",(G968-F968)*24)</f>
        <v/>
      </c>
      <c r="I968" s="10" t="n"/>
      <c r="J968" s="1">
        <f>IF(OR(tblDowntime[[#This Row],[Failure Type]]="Sawshop",tblDowntime[[#This Row],[Failure Type]]="Electrical",tblDowntime[[#This Row],[Failure Type]]="Mechanical"),tblDowntime[[#This Row],[Downtime Hours]],"")</f>
        <v/>
      </c>
      <c r="K968" s="10" t="n"/>
      <c r="L968" s="10" t="n"/>
      <c r="M968">
        <f>IF(tblDowntime[[#This Row],[Maintenance Downtime Hours]]="","",tblDowntime[[#This Row],[Equipment ID]])</f>
        <v/>
      </c>
      <c r="N968" s="1">
        <f>IF(tblDowntime[[#This Row],[Failure Type]]="Production",tblDowntime[[#This Row],[Downtime Hours]],"")</f>
        <v/>
      </c>
      <c r="O968">
        <f>IF(tblDowntime[[#This Row],[Production Downtime Hours]]="","",tblDowntime[[#This Row],[Equipment ID]])</f>
        <v/>
      </c>
      <c r="P968" s="10" t="n"/>
    </row>
    <row r="969">
      <c r="B969">
        <f t="array" ref="B969">_xlfn.XLOOKUP(C969,INDIRECT("tblEquipment[Equipment ID]"),INDIRECT("tblEquipment[Production Department]"),"")</f>
        <v/>
      </c>
      <c r="D969">
        <f t="array" ref="D969">_xlfn.XLOOKUP(C969,INDIRECT("tblEquipment[Equipment ID]"),INDIRECT("tblEquipment[Equipment Name]"),"")</f>
        <v/>
      </c>
      <c r="F969" s="16" t="n"/>
      <c r="G969" s="16" t="n"/>
      <c r="H969" s="1">
        <f>IF(OR(F969=0,G969=0),"",(G969-F969)*24)</f>
        <v/>
      </c>
      <c r="I969" s="10" t="n"/>
      <c r="J969" s="1">
        <f>IF(OR(tblDowntime[[#This Row],[Failure Type]]="Sawshop",tblDowntime[[#This Row],[Failure Type]]="Electrical",tblDowntime[[#This Row],[Failure Type]]="Mechanical"),tblDowntime[[#This Row],[Downtime Hours]],"")</f>
        <v/>
      </c>
      <c r="K969" s="10" t="n"/>
      <c r="L969" s="10" t="n"/>
      <c r="M969">
        <f>IF(tblDowntime[[#This Row],[Maintenance Downtime Hours]]="","",tblDowntime[[#This Row],[Equipment ID]])</f>
        <v/>
      </c>
      <c r="N969" s="1">
        <f>IF(tblDowntime[[#This Row],[Failure Type]]="Production",tblDowntime[[#This Row],[Downtime Hours]],"")</f>
        <v/>
      </c>
      <c r="O969">
        <f>IF(tblDowntime[[#This Row],[Production Downtime Hours]]="","",tblDowntime[[#This Row],[Equipment ID]])</f>
        <v/>
      </c>
      <c r="P969" s="10" t="n"/>
    </row>
    <row r="970">
      <c r="B970">
        <f t="array" ref="B970">_xlfn.XLOOKUP(C970,INDIRECT("tblEquipment[Equipment ID]"),INDIRECT("tblEquipment[Production Department]"),"")</f>
        <v/>
      </c>
      <c r="D970">
        <f t="array" ref="D970">_xlfn.XLOOKUP(C970,INDIRECT("tblEquipment[Equipment ID]"),INDIRECT("tblEquipment[Equipment Name]"),"")</f>
        <v/>
      </c>
      <c r="F970" s="16" t="n"/>
      <c r="G970" s="16" t="n"/>
      <c r="H970" s="1">
        <f>IF(OR(F970=0,G970=0),"",(G970-F970)*24)</f>
        <v/>
      </c>
      <c r="I970" s="10" t="n"/>
      <c r="J970" s="1">
        <f>IF(OR(tblDowntime[[#This Row],[Failure Type]]="Sawshop",tblDowntime[[#This Row],[Failure Type]]="Electrical",tblDowntime[[#This Row],[Failure Type]]="Mechanical"),tblDowntime[[#This Row],[Downtime Hours]],"")</f>
        <v/>
      </c>
      <c r="K970" s="10" t="n"/>
      <c r="L970" s="10" t="n"/>
      <c r="M970">
        <f>IF(tblDowntime[[#This Row],[Maintenance Downtime Hours]]="","",tblDowntime[[#This Row],[Equipment ID]])</f>
        <v/>
      </c>
      <c r="N970" s="1">
        <f>IF(tblDowntime[[#This Row],[Failure Type]]="Production",tblDowntime[[#This Row],[Downtime Hours]],"")</f>
        <v/>
      </c>
      <c r="O970">
        <f>IF(tblDowntime[[#This Row],[Production Downtime Hours]]="","",tblDowntime[[#This Row],[Equipment ID]])</f>
        <v/>
      </c>
      <c r="P970" s="10" t="n"/>
    </row>
    <row r="971">
      <c r="B971">
        <f t="array" ref="B971">_xlfn.XLOOKUP(C971,INDIRECT("tblEquipment[Equipment ID]"),INDIRECT("tblEquipment[Production Department]"),"")</f>
        <v/>
      </c>
      <c r="D971">
        <f t="array" ref="D971">_xlfn.XLOOKUP(C971,INDIRECT("tblEquipment[Equipment ID]"),INDIRECT("tblEquipment[Equipment Name]"),"")</f>
        <v/>
      </c>
      <c r="F971" s="16" t="n"/>
      <c r="G971" s="16" t="n"/>
      <c r="H971" s="1">
        <f>IF(OR(F971=0,G971=0),"",(G971-F971)*24)</f>
        <v/>
      </c>
      <c r="I971" s="10" t="n"/>
      <c r="J971" s="1">
        <f>IF(OR(tblDowntime[[#This Row],[Failure Type]]="Sawshop",tblDowntime[[#This Row],[Failure Type]]="Electrical",tblDowntime[[#This Row],[Failure Type]]="Mechanical"),tblDowntime[[#This Row],[Downtime Hours]],"")</f>
        <v/>
      </c>
      <c r="K971" s="10" t="n"/>
      <c r="L971" s="10" t="n"/>
      <c r="M971">
        <f>IF(tblDowntime[[#This Row],[Maintenance Downtime Hours]]="","",tblDowntime[[#This Row],[Equipment ID]])</f>
        <v/>
      </c>
      <c r="N971" s="1">
        <f>IF(tblDowntime[[#This Row],[Failure Type]]="Production",tblDowntime[[#This Row],[Downtime Hours]],"")</f>
        <v/>
      </c>
      <c r="O971">
        <f>IF(tblDowntime[[#This Row],[Production Downtime Hours]]="","",tblDowntime[[#This Row],[Equipment ID]])</f>
        <v/>
      </c>
      <c r="P971" s="10" t="n"/>
    </row>
    <row r="972">
      <c r="B972">
        <f t="array" ref="B972">_xlfn.XLOOKUP(C972,INDIRECT("tblEquipment[Equipment ID]"),INDIRECT("tblEquipment[Production Department]"),"")</f>
        <v/>
      </c>
      <c r="D972">
        <f t="array" ref="D972">_xlfn.XLOOKUP(C972,INDIRECT("tblEquipment[Equipment ID]"),INDIRECT("tblEquipment[Equipment Name]"),"")</f>
        <v/>
      </c>
      <c r="F972" s="16" t="n"/>
      <c r="G972" s="16" t="n"/>
      <c r="H972" s="1">
        <f>IF(OR(F972=0,G972=0),"",(G972-F972)*24)</f>
        <v/>
      </c>
      <c r="I972" s="10" t="n"/>
      <c r="J972" s="1">
        <f>IF(OR(tblDowntime[[#This Row],[Failure Type]]="Sawshop",tblDowntime[[#This Row],[Failure Type]]="Electrical",tblDowntime[[#This Row],[Failure Type]]="Mechanical"),tblDowntime[[#This Row],[Downtime Hours]],"")</f>
        <v/>
      </c>
      <c r="K972" s="10" t="n"/>
      <c r="L972" s="10" t="n"/>
      <c r="M972">
        <f>IF(tblDowntime[[#This Row],[Maintenance Downtime Hours]]="","",tblDowntime[[#This Row],[Equipment ID]])</f>
        <v/>
      </c>
      <c r="N972" s="1">
        <f>IF(tblDowntime[[#This Row],[Failure Type]]="Production",tblDowntime[[#This Row],[Downtime Hours]],"")</f>
        <v/>
      </c>
      <c r="O972">
        <f>IF(tblDowntime[[#This Row],[Production Downtime Hours]]="","",tblDowntime[[#This Row],[Equipment ID]])</f>
        <v/>
      </c>
      <c r="P972" s="10" t="n"/>
    </row>
    <row r="973">
      <c r="B973">
        <f t="array" ref="B973">_xlfn.XLOOKUP(C973,INDIRECT("tblEquipment[Equipment ID]"),INDIRECT("tblEquipment[Production Department]"),"")</f>
        <v/>
      </c>
      <c r="D973">
        <f t="array" ref="D973">_xlfn.XLOOKUP(C973,INDIRECT("tblEquipment[Equipment ID]"),INDIRECT("tblEquipment[Equipment Name]"),"")</f>
        <v/>
      </c>
      <c r="F973" s="16" t="n"/>
      <c r="G973" s="16" t="n"/>
      <c r="H973" s="1">
        <f>IF(OR(F973=0,G973=0),"",(G973-F973)*24)</f>
        <v/>
      </c>
      <c r="I973" s="10" t="n"/>
      <c r="J973" s="1">
        <f>IF(OR(tblDowntime[[#This Row],[Failure Type]]="Sawshop",tblDowntime[[#This Row],[Failure Type]]="Electrical",tblDowntime[[#This Row],[Failure Type]]="Mechanical"),tblDowntime[[#This Row],[Downtime Hours]],"")</f>
        <v/>
      </c>
      <c r="K973" s="10" t="n"/>
      <c r="L973" s="10" t="n"/>
      <c r="M973">
        <f>IF(tblDowntime[[#This Row],[Maintenance Downtime Hours]]="","",tblDowntime[[#This Row],[Equipment ID]])</f>
        <v/>
      </c>
      <c r="N973" s="1">
        <f>IF(tblDowntime[[#This Row],[Failure Type]]="Production",tblDowntime[[#This Row],[Downtime Hours]],"")</f>
        <v/>
      </c>
      <c r="O973">
        <f>IF(tblDowntime[[#This Row],[Production Downtime Hours]]="","",tblDowntime[[#This Row],[Equipment ID]])</f>
        <v/>
      </c>
      <c r="P973" s="10" t="n"/>
    </row>
    <row r="974">
      <c r="B974">
        <f t="array" ref="B974">_xlfn.XLOOKUP(C974,INDIRECT("tblEquipment[Equipment ID]"),INDIRECT("tblEquipment[Production Department]"),"")</f>
        <v/>
      </c>
      <c r="D974">
        <f t="array" ref="D974">_xlfn.XLOOKUP(C974,INDIRECT("tblEquipment[Equipment ID]"),INDIRECT("tblEquipment[Equipment Name]"),"")</f>
        <v/>
      </c>
      <c r="F974" s="16" t="n"/>
      <c r="G974" s="16" t="n"/>
      <c r="H974" s="1">
        <f>IF(OR(F974=0,G974=0),"",(G974-F974)*24)</f>
        <v/>
      </c>
      <c r="I974" s="10" t="n"/>
      <c r="J974" s="1">
        <f>IF(OR(tblDowntime[[#This Row],[Failure Type]]="Sawshop",tblDowntime[[#This Row],[Failure Type]]="Electrical",tblDowntime[[#This Row],[Failure Type]]="Mechanical"),tblDowntime[[#This Row],[Downtime Hours]],"")</f>
        <v/>
      </c>
      <c r="K974" s="10" t="n"/>
      <c r="L974" s="10" t="n"/>
      <c r="M974">
        <f>IF(tblDowntime[[#This Row],[Maintenance Downtime Hours]]="","",tblDowntime[[#This Row],[Equipment ID]])</f>
        <v/>
      </c>
      <c r="N974" s="1">
        <f>IF(tblDowntime[[#This Row],[Failure Type]]="Production",tblDowntime[[#This Row],[Downtime Hours]],"")</f>
        <v/>
      </c>
      <c r="O974">
        <f>IF(tblDowntime[[#This Row],[Production Downtime Hours]]="","",tblDowntime[[#This Row],[Equipment ID]])</f>
        <v/>
      </c>
      <c r="P974" s="10" t="n"/>
    </row>
    <row r="975">
      <c r="B975">
        <f t="array" ref="B975">_xlfn.XLOOKUP(C975,INDIRECT("tblEquipment[Equipment ID]"),INDIRECT("tblEquipment[Production Department]"),"")</f>
        <v/>
      </c>
      <c r="D975">
        <f t="array" ref="D975">_xlfn.XLOOKUP(C975,INDIRECT("tblEquipment[Equipment ID]"),INDIRECT("tblEquipment[Equipment Name]"),"")</f>
        <v/>
      </c>
      <c r="F975" s="16" t="n"/>
      <c r="G975" s="16" t="n"/>
      <c r="H975" s="1">
        <f>IF(OR(F975=0,G975=0),"",(G975-F975)*24)</f>
        <v/>
      </c>
      <c r="I975" s="10" t="n"/>
      <c r="J975" s="1">
        <f>IF(OR(tblDowntime[[#This Row],[Failure Type]]="Sawshop",tblDowntime[[#This Row],[Failure Type]]="Electrical",tblDowntime[[#This Row],[Failure Type]]="Mechanical"),tblDowntime[[#This Row],[Downtime Hours]],"")</f>
        <v/>
      </c>
      <c r="K975" s="10" t="n"/>
      <c r="L975" s="10" t="n"/>
      <c r="M975">
        <f>IF(tblDowntime[[#This Row],[Maintenance Downtime Hours]]="","",tblDowntime[[#This Row],[Equipment ID]])</f>
        <v/>
      </c>
      <c r="N975" s="1">
        <f>IF(tblDowntime[[#This Row],[Failure Type]]="Production",tblDowntime[[#This Row],[Downtime Hours]],"")</f>
        <v/>
      </c>
      <c r="O975">
        <f>IF(tblDowntime[[#This Row],[Production Downtime Hours]]="","",tblDowntime[[#This Row],[Equipment ID]])</f>
        <v/>
      </c>
      <c r="P975" s="10" t="n"/>
    </row>
    <row r="976">
      <c r="B976">
        <f t="array" ref="B976">_xlfn.XLOOKUP(C976,INDIRECT("tblEquipment[Equipment ID]"),INDIRECT("tblEquipment[Production Department]"),"")</f>
        <v/>
      </c>
      <c r="D976">
        <f t="array" ref="D976">_xlfn.XLOOKUP(C976,INDIRECT("tblEquipment[Equipment ID]"),INDIRECT("tblEquipment[Equipment Name]"),"")</f>
        <v/>
      </c>
      <c r="F976" s="16" t="n"/>
      <c r="G976" s="16" t="n"/>
      <c r="H976" s="1">
        <f>IF(OR(F976=0,G976=0),"",(G976-F976)*24)</f>
        <v/>
      </c>
      <c r="I976" s="10" t="n"/>
      <c r="J976" s="1">
        <f>IF(OR(tblDowntime[[#This Row],[Failure Type]]="Sawshop",tblDowntime[[#This Row],[Failure Type]]="Electrical",tblDowntime[[#This Row],[Failure Type]]="Mechanical"),tblDowntime[[#This Row],[Downtime Hours]],"")</f>
        <v/>
      </c>
      <c r="K976" s="10" t="n"/>
      <c r="L976" s="10" t="n"/>
      <c r="M976">
        <f>IF(tblDowntime[[#This Row],[Maintenance Downtime Hours]]="","",tblDowntime[[#This Row],[Equipment ID]])</f>
        <v/>
      </c>
      <c r="N976" s="1">
        <f>IF(tblDowntime[[#This Row],[Failure Type]]="Production",tblDowntime[[#This Row],[Downtime Hours]],"")</f>
        <v/>
      </c>
      <c r="O976">
        <f>IF(tblDowntime[[#This Row],[Production Downtime Hours]]="","",tblDowntime[[#This Row],[Equipment ID]])</f>
        <v/>
      </c>
      <c r="P976" s="10" t="n"/>
    </row>
    <row r="977">
      <c r="B977">
        <f t="array" ref="B977">_xlfn.XLOOKUP(C977,INDIRECT("tblEquipment[Equipment ID]"),INDIRECT("tblEquipment[Production Department]"),"")</f>
        <v/>
      </c>
      <c r="D977">
        <f t="array" ref="D977">_xlfn.XLOOKUP(C977,INDIRECT("tblEquipment[Equipment ID]"),INDIRECT("tblEquipment[Equipment Name]"),"")</f>
        <v/>
      </c>
      <c r="F977" s="16" t="n"/>
      <c r="G977" s="16" t="n"/>
      <c r="H977" s="1">
        <f>IF(OR(F977=0,G977=0),"",(G977-F977)*24)</f>
        <v/>
      </c>
      <c r="I977" s="10" t="n"/>
      <c r="J977" s="1">
        <f>IF(OR(tblDowntime[[#This Row],[Failure Type]]="Sawshop",tblDowntime[[#This Row],[Failure Type]]="Electrical",tblDowntime[[#This Row],[Failure Type]]="Mechanical"),tblDowntime[[#This Row],[Downtime Hours]],"")</f>
        <v/>
      </c>
      <c r="K977" s="10" t="n"/>
      <c r="L977" s="10" t="n"/>
      <c r="M977">
        <f>IF(tblDowntime[[#This Row],[Maintenance Downtime Hours]]="","",tblDowntime[[#This Row],[Equipment ID]])</f>
        <v/>
      </c>
      <c r="N977" s="1">
        <f>IF(tblDowntime[[#This Row],[Failure Type]]="Production",tblDowntime[[#This Row],[Downtime Hours]],"")</f>
        <v/>
      </c>
      <c r="O977">
        <f>IF(tblDowntime[[#This Row],[Production Downtime Hours]]="","",tblDowntime[[#This Row],[Equipment ID]])</f>
        <v/>
      </c>
      <c r="P977" s="10" t="n"/>
    </row>
    <row r="978">
      <c r="B978">
        <f t="array" ref="B978">_xlfn.XLOOKUP(C978,INDIRECT("tblEquipment[Equipment ID]"),INDIRECT("tblEquipment[Production Department]"),"")</f>
        <v/>
      </c>
      <c r="D978">
        <f t="array" ref="D978">_xlfn.XLOOKUP(C978,INDIRECT("tblEquipment[Equipment ID]"),INDIRECT("tblEquipment[Equipment Name]"),"")</f>
        <v/>
      </c>
      <c r="F978" s="16" t="n"/>
      <c r="G978" s="16" t="n"/>
      <c r="H978" s="1">
        <f>IF(OR(F978=0,G978=0),"",(G978-F978)*24)</f>
        <v/>
      </c>
      <c r="I978" s="10" t="n"/>
      <c r="J978" s="1">
        <f>IF(OR(tblDowntime[[#This Row],[Failure Type]]="Sawshop",tblDowntime[[#This Row],[Failure Type]]="Electrical",tblDowntime[[#This Row],[Failure Type]]="Mechanical"),tblDowntime[[#This Row],[Downtime Hours]],"")</f>
        <v/>
      </c>
      <c r="K978" s="10" t="n"/>
      <c r="L978" s="10" t="n"/>
      <c r="M978">
        <f>IF(tblDowntime[[#This Row],[Maintenance Downtime Hours]]="","",tblDowntime[[#This Row],[Equipment ID]])</f>
        <v/>
      </c>
      <c r="N978" s="1">
        <f>IF(tblDowntime[[#This Row],[Failure Type]]="Production",tblDowntime[[#This Row],[Downtime Hours]],"")</f>
        <v/>
      </c>
      <c r="O978">
        <f>IF(tblDowntime[[#This Row],[Production Downtime Hours]]="","",tblDowntime[[#This Row],[Equipment ID]])</f>
        <v/>
      </c>
      <c r="P978" s="10" t="n"/>
    </row>
    <row r="979">
      <c r="B979">
        <f t="array" ref="B979">_xlfn.XLOOKUP(C979,INDIRECT("tblEquipment[Equipment ID]"),INDIRECT("tblEquipment[Production Department]"),"")</f>
        <v/>
      </c>
      <c r="D979">
        <f t="array" ref="D979">_xlfn.XLOOKUP(C979,INDIRECT("tblEquipment[Equipment ID]"),INDIRECT("tblEquipment[Equipment Name]"),"")</f>
        <v/>
      </c>
      <c r="F979" s="16" t="n"/>
      <c r="G979" s="16" t="n"/>
      <c r="H979" s="1">
        <f>IF(OR(F979=0,G979=0),"",(G979-F979)*24)</f>
        <v/>
      </c>
      <c r="I979" s="10" t="n"/>
      <c r="J979" s="1">
        <f>IF(OR(tblDowntime[[#This Row],[Failure Type]]="Sawshop",tblDowntime[[#This Row],[Failure Type]]="Electrical",tblDowntime[[#This Row],[Failure Type]]="Mechanical"),tblDowntime[[#This Row],[Downtime Hours]],"")</f>
        <v/>
      </c>
      <c r="K979" s="10" t="n"/>
      <c r="L979" s="10" t="n"/>
      <c r="M979">
        <f>IF(tblDowntime[[#This Row],[Maintenance Downtime Hours]]="","",tblDowntime[[#This Row],[Equipment ID]])</f>
        <v/>
      </c>
      <c r="N979" s="1">
        <f>IF(tblDowntime[[#This Row],[Failure Type]]="Production",tblDowntime[[#This Row],[Downtime Hours]],"")</f>
        <v/>
      </c>
      <c r="O979">
        <f>IF(tblDowntime[[#This Row],[Production Downtime Hours]]="","",tblDowntime[[#This Row],[Equipment ID]])</f>
        <v/>
      </c>
      <c r="P979" s="10" t="n"/>
    </row>
    <row r="980">
      <c r="B980">
        <f t="array" ref="B980">_xlfn.XLOOKUP(C980,INDIRECT("tblEquipment[Equipment ID]"),INDIRECT("tblEquipment[Production Department]"),"")</f>
        <v/>
      </c>
      <c r="D980">
        <f t="array" ref="D980">_xlfn.XLOOKUP(C980,INDIRECT("tblEquipment[Equipment ID]"),INDIRECT("tblEquipment[Equipment Name]"),"")</f>
        <v/>
      </c>
      <c r="F980" s="16" t="n"/>
      <c r="G980" s="16" t="n"/>
      <c r="H980" s="1">
        <f>IF(OR(F980=0,G980=0),"",(G980-F980)*24)</f>
        <v/>
      </c>
      <c r="I980" s="10" t="n"/>
      <c r="J980" s="1">
        <f>IF(OR(tblDowntime[[#This Row],[Failure Type]]="Sawshop",tblDowntime[[#This Row],[Failure Type]]="Electrical",tblDowntime[[#This Row],[Failure Type]]="Mechanical"),tblDowntime[[#This Row],[Downtime Hours]],"")</f>
        <v/>
      </c>
      <c r="K980" s="10" t="n"/>
      <c r="L980" s="10" t="n"/>
      <c r="M980">
        <f>IF(tblDowntime[[#This Row],[Maintenance Downtime Hours]]="","",tblDowntime[[#This Row],[Equipment ID]])</f>
        <v/>
      </c>
      <c r="N980" s="1">
        <f>IF(tblDowntime[[#This Row],[Failure Type]]="Production",tblDowntime[[#This Row],[Downtime Hours]],"")</f>
        <v/>
      </c>
      <c r="O980">
        <f>IF(tblDowntime[[#This Row],[Production Downtime Hours]]="","",tblDowntime[[#This Row],[Equipment ID]])</f>
        <v/>
      </c>
      <c r="P980" s="10" t="n"/>
    </row>
    <row r="981">
      <c r="B981">
        <f t="array" ref="B981">_xlfn.XLOOKUP(C981,INDIRECT("tblEquipment[Equipment ID]"),INDIRECT("tblEquipment[Production Department]"),"")</f>
        <v/>
      </c>
      <c r="D981">
        <f t="array" ref="D981">_xlfn.XLOOKUP(C981,INDIRECT("tblEquipment[Equipment ID]"),INDIRECT("tblEquipment[Equipment Name]"),"")</f>
        <v/>
      </c>
      <c r="F981" s="16" t="n"/>
      <c r="G981" s="16" t="n"/>
      <c r="H981" s="1">
        <f>IF(OR(F981=0,G981=0),"",(G981-F981)*24)</f>
        <v/>
      </c>
      <c r="I981" s="10" t="n"/>
      <c r="J981" s="1">
        <f>IF(OR(tblDowntime[[#This Row],[Failure Type]]="Sawshop",tblDowntime[[#This Row],[Failure Type]]="Electrical",tblDowntime[[#This Row],[Failure Type]]="Mechanical"),tblDowntime[[#This Row],[Downtime Hours]],"")</f>
        <v/>
      </c>
      <c r="K981" s="10" t="n"/>
      <c r="L981" s="10" t="n"/>
      <c r="M981">
        <f>IF(tblDowntime[[#This Row],[Maintenance Downtime Hours]]="","",tblDowntime[[#This Row],[Equipment ID]])</f>
        <v/>
      </c>
      <c r="N981" s="1">
        <f>IF(tblDowntime[[#This Row],[Failure Type]]="Production",tblDowntime[[#This Row],[Downtime Hours]],"")</f>
        <v/>
      </c>
      <c r="O981">
        <f>IF(tblDowntime[[#This Row],[Production Downtime Hours]]="","",tblDowntime[[#This Row],[Equipment ID]])</f>
        <v/>
      </c>
      <c r="P981" s="10" t="n"/>
    </row>
    <row r="982">
      <c r="B982">
        <f t="array" ref="B982">_xlfn.XLOOKUP(C982,INDIRECT("tblEquipment[Equipment ID]"),INDIRECT("tblEquipment[Production Department]"),"")</f>
        <v/>
      </c>
      <c r="D982">
        <f t="array" ref="D982">_xlfn.XLOOKUP(C982,INDIRECT("tblEquipment[Equipment ID]"),INDIRECT("tblEquipment[Equipment Name]"),"")</f>
        <v/>
      </c>
      <c r="F982" s="16" t="n"/>
      <c r="G982" s="16" t="n"/>
      <c r="H982" s="1">
        <f>IF(OR(F982=0,G982=0),"",(G982-F982)*24)</f>
        <v/>
      </c>
      <c r="I982" s="10" t="n"/>
      <c r="J982" s="1">
        <f>IF(OR(tblDowntime[[#This Row],[Failure Type]]="Sawshop",tblDowntime[[#This Row],[Failure Type]]="Electrical",tblDowntime[[#This Row],[Failure Type]]="Mechanical"),tblDowntime[[#This Row],[Downtime Hours]],"")</f>
        <v/>
      </c>
      <c r="K982" s="10" t="n"/>
      <c r="L982" s="10" t="n"/>
      <c r="M982">
        <f>IF(tblDowntime[[#This Row],[Maintenance Downtime Hours]]="","",tblDowntime[[#This Row],[Equipment ID]])</f>
        <v/>
      </c>
      <c r="N982" s="1">
        <f>IF(tblDowntime[[#This Row],[Failure Type]]="Production",tblDowntime[[#This Row],[Downtime Hours]],"")</f>
        <v/>
      </c>
      <c r="O982">
        <f>IF(tblDowntime[[#This Row],[Production Downtime Hours]]="","",tblDowntime[[#This Row],[Equipment ID]])</f>
        <v/>
      </c>
      <c r="P982" s="10" t="n"/>
    </row>
    <row r="983">
      <c r="B983">
        <f t="array" ref="B983">_xlfn.XLOOKUP(C983,INDIRECT("tblEquipment[Equipment ID]"),INDIRECT("tblEquipment[Production Department]"),"")</f>
        <v/>
      </c>
      <c r="D983">
        <f t="array" ref="D983">_xlfn.XLOOKUP(C983,INDIRECT("tblEquipment[Equipment ID]"),INDIRECT("tblEquipment[Equipment Name]"),"")</f>
        <v/>
      </c>
      <c r="F983" s="16" t="n"/>
      <c r="G983" s="16" t="n"/>
      <c r="H983" s="1">
        <f>IF(OR(F983=0,G983=0),"",(G983-F983)*24)</f>
        <v/>
      </c>
      <c r="I983" s="10" t="n"/>
      <c r="J983" s="1">
        <f>IF(OR(tblDowntime[[#This Row],[Failure Type]]="Sawshop",tblDowntime[[#This Row],[Failure Type]]="Electrical",tblDowntime[[#This Row],[Failure Type]]="Mechanical"),tblDowntime[[#This Row],[Downtime Hours]],"")</f>
        <v/>
      </c>
      <c r="K983" s="10" t="n"/>
      <c r="L983" s="10" t="n"/>
      <c r="M983">
        <f>IF(tblDowntime[[#This Row],[Maintenance Downtime Hours]]="","",tblDowntime[[#This Row],[Equipment ID]])</f>
        <v/>
      </c>
      <c r="N983" s="1">
        <f>IF(tblDowntime[[#This Row],[Failure Type]]="Production",tblDowntime[[#This Row],[Downtime Hours]],"")</f>
        <v/>
      </c>
      <c r="O983">
        <f>IF(tblDowntime[[#This Row],[Production Downtime Hours]]="","",tblDowntime[[#This Row],[Equipment ID]])</f>
        <v/>
      </c>
      <c r="P983" s="10" t="n"/>
    </row>
    <row r="984">
      <c r="B984">
        <f t="array" ref="B984">_xlfn.XLOOKUP(C984,INDIRECT("tblEquipment[Equipment ID]"),INDIRECT("tblEquipment[Production Department]"),"")</f>
        <v/>
      </c>
      <c r="D984">
        <f t="array" ref="D984">_xlfn.XLOOKUP(C984,INDIRECT("tblEquipment[Equipment ID]"),INDIRECT("tblEquipment[Equipment Name]"),"")</f>
        <v/>
      </c>
      <c r="F984" s="16" t="n"/>
      <c r="G984" s="16" t="n"/>
      <c r="H984" s="1">
        <f>IF(OR(F984=0,G984=0),"",(G984-F984)*24)</f>
        <v/>
      </c>
      <c r="I984" s="10" t="n"/>
      <c r="J984" s="1">
        <f>IF(OR(tblDowntime[[#This Row],[Failure Type]]="Sawshop",tblDowntime[[#This Row],[Failure Type]]="Electrical",tblDowntime[[#This Row],[Failure Type]]="Mechanical"),tblDowntime[[#This Row],[Downtime Hours]],"")</f>
        <v/>
      </c>
      <c r="K984" s="10" t="n"/>
      <c r="L984" s="10" t="n"/>
      <c r="M984">
        <f>IF(tblDowntime[[#This Row],[Maintenance Downtime Hours]]="","",tblDowntime[[#This Row],[Equipment ID]])</f>
        <v/>
      </c>
      <c r="N984" s="1">
        <f>IF(tblDowntime[[#This Row],[Failure Type]]="Production",tblDowntime[[#This Row],[Downtime Hours]],"")</f>
        <v/>
      </c>
      <c r="O984">
        <f>IF(tblDowntime[[#This Row],[Production Downtime Hours]]="","",tblDowntime[[#This Row],[Equipment ID]])</f>
        <v/>
      </c>
      <c r="P984" s="10" t="n"/>
    </row>
    <row r="985">
      <c r="B985">
        <f t="array" ref="B985">_xlfn.XLOOKUP(C985,INDIRECT("tblEquipment[Equipment ID]"),INDIRECT("tblEquipment[Production Department]"),"")</f>
        <v/>
      </c>
      <c r="D985">
        <f t="array" ref="D985">_xlfn.XLOOKUP(C985,INDIRECT("tblEquipment[Equipment ID]"),INDIRECT("tblEquipment[Equipment Name]"),"")</f>
        <v/>
      </c>
      <c r="F985" s="16" t="n"/>
      <c r="G985" s="16" t="n"/>
      <c r="H985" s="1">
        <f>IF(OR(F985=0,G985=0),"",(G985-F985)*24)</f>
        <v/>
      </c>
      <c r="I985" s="10" t="n"/>
      <c r="J985" s="1">
        <f>IF(OR(tblDowntime[[#This Row],[Failure Type]]="Sawshop",tblDowntime[[#This Row],[Failure Type]]="Electrical",tblDowntime[[#This Row],[Failure Type]]="Mechanical"),tblDowntime[[#This Row],[Downtime Hours]],"")</f>
        <v/>
      </c>
      <c r="K985" s="10" t="n"/>
      <c r="L985" s="10" t="n"/>
      <c r="M985">
        <f>IF(tblDowntime[[#This Row],[Maintenance Downtime Hours]]="","",tblDowntime[[#This Row],[Equipment ID]])</f>
        <v/>
      </c>
      <c r="N985" s="1">
        <f>IF(tblDowntime[[#This Row],[Failure Type]]="Production",tblDowntime[[#This Row],[Downtime Hours]],"")</f>
        <v/>
      </c>
      <c r="O985">
        <f>IF(tblDowntime[[#This Row],[Production Downtime Hours]]="","",tblDowntime[[#This Row],[Equipment ID]])</f>
        <v/>
      </c>
      <c r="P985" s="10" t="n"/>
    </row>
    <row r="986">
      <c r="B986">
        <f t="array" ref="B986">_xlfn.XLOOKUP(C986,INDIRECT("tblEquipment[Equipment ID]"),INDIRECT("tblEquipment[Production Department]"),"")</f>
        <v/>
      </c>
      <c r="D986">
        <f t="array" ref="D986">_xlfn.XLOOKUP(C986,INDIRECT("tblEquipment[Equipment ID]"),INDIRECT("tblEquipment[Equipment Name]"),"")</f>
        <v/>
      </c>
      <c r="F986" s="16" t="n"/>
      <c r="G986" s="16" t="n"/>
      <c r="H986" s="1">
        <f>IF(OR(F986=0,G986=0),"",(G986-F986)*24)</f>
        <v/>
      </c>
      <c r="I986" s="10" t="n"/>
      <c r="J986" s="1">
        <f>IF(OR(tblDowntime[[#This Row],[Failure Type]]="Sawshop",tblDowntime[[#This Row],[Failure Type]]="Electrical",tblDowntime[[#This Row],[Failure Type]]="Mechanical"),tblDowntime[[#This Row],[Downtime Hours]],"")</f>
        <v/>
      </c>
      <c r="K986" s="10" t="n"/>
      <c r="L986" s="10" t="n"/>
      <c r="M986">
        <f>IF(tblDowntime[[#This Row],[Maintenance Downtime Hours]]="","",tblDowntime[[#This Row],[Equipment ID]])</f>
        <v/>
      </c>
      <c r="N986" s="1">
        <f>IF(tblDowntime[[#This Row],[Failure Type]]="Production",tblDowntime[[#This Row],[Downtime Hours]],"")</f>
        <v/>
      </c>
      <c r="O986">
        <f>IF(tblDowntime[[#This Row],[Production Downtime Hours]]="","",tblDowntime[[#This Row],[Equipment ID]])</f>
        <v/>
      </c>
      <c r="P986" s="10" t="n"/>
    </row>
    <row r="987">
      <c r="B987">
        <f t="array" ref="B987">_xlfn.XLOOKUP(C987,INDIRECT("tblEquipment[Equipment ID]"),INDIRECT("tblEquipment[Production Department]"),"")</f>
        <v/>
      </c>
      <c r="D987">
        <f t="array" ref="D987">_xlfn.XLOOKUP(C987,INDIRECT("tblEquipment[Equipment ID]"),INDIRECT("tblEquipment[Equipment Name]"),"")</f>
        <v/>
      </c>
      <c r="F987" s="16" t="n"/>
      <c r="G987" s="16" t="n"/>
      <c r="H987" s="1">
        <f>IF(OR(F987=0,G987=0),"",(G987-F987)*24)</f>
        <v/>
      </c>
      <c r="I987" s="10" t="n"/>
      <c r="J987" s="1">
        <f>IF(OR(tblDowntime[[#This Row],[Failure Type]]="Sawshop",tblDowntime[[#This Row],[Failure Type]]="Electrical",tblDowntime[[#This Row],[Failure Type]]="Mechanical"),tblDowntime[[#This Row],[Downtime Hours]],"")</f>
        <v/>
      </c>
      <c r="K987" s="10" t="n"/>
      <c r="L987" s="10" t="n"/>
      <c r="M987">
        <f>IF(tblDowntime[[#This Row],[Maintenance Downtime Hours]]="","",tblDowntime[[#This Row],[Equipment ID]])</f>
        <v/>
      </c>
      <c r="N987" s="1">
        <f>IF(tblDowntime[[#This Row],[Failure Type]]="Production",tblDowntime[[#This Row],[Downtime Hours]],"")</f>
        <v/>
      </c>
      <c r="O987">
        <f>IF(tblDowntime[[#This Row],[Production Downtime Hours]]="","",tblDowntime[[#This Row],[Equipment ID]])</f>
        <v/>
      </c>
      <c r="P987" s="10" t="n"/>
    </row>
    <row r="988">
      <c r="B988">
        <f t="array" ref="B988">_xlfn.XLOOKUP(C988,INDIRECT("tblEquipment[Equipment ID]"),INDIRECT("tblEquipment[Production Department]"),"")</f>
        <v/>
      </c>
      <c r="D988">
        <f t="array" ref="D988">_xlfn.XLOOKUP(C988,INDIRECT("tblEquipment[Equipment ID]"),INDIRECT("tblEquipment[Equipment Name]"),"")</f>
        <v/>
      </c>
      <c r="F988" s="16" t="n"/>
      <c r="G988" s="16" t="n"/>
      <c r="H988" s="1">
        <f>IF(OR(F988=0,G988=0),"",(G988-F988)*24)</f>
        <v/>
      </c>
      <c r="I988" s="10" t="n"/>
      <c r="J988" s="1">
        <f>IF(OR(tblDowntime[[#This Row],[Failure Type]]="Sawshop",tblDowntime[[#This Row],[Failure Type]]="Electrical",tblDowntime[[#This Row],[Failure Type]]="Mechanical"),tblDowntime[[#This Row],[Downtime Hours]],"")</f>
        <v/>
      </c>
      <c r="K988" s="10" t="n"/>
      <c r="L988" s="10" t="n"/>
      <c r="M988">
        <f>IF(tblDowntime[[#This Row],[Maintenance Downtime Hours]]="","",tblDowntime[[#This Row],[Equipment ID]])</f>
        <v/>
      </c>
      <c r="N988" s="1">
        <f>IF(tblDowntime[[#This Row],[Failure Type]]="Production",tblDowntime[[#This Row],[Downtime Hours]],"")</f>
        <v/>
      </c>
      <c r="O988">
        <f>IF(tblDowntime[[#This Row],[Production Downtime Hours]]="","",tblDowntime[[#This Row],[Equipment ID]])</f>
        <v/>
      </c>
      <c r="P988" s="10" t="n"/>
    </row>
    <row r="989">
      <c r="B989">
        <f t="array" ref="B989">_xlfn.XLOOKUP(C989,INDIRECT("tblEquipment[Equipment ID]"),INDIRECT("tblEquipment[Production Department]"),"")</f>
        <v/>
      </c>
      <c r="D989">
        <f t="array" ref="D989">_xlfn.XLOOKUP(C989,INDIRECT("tblEquipment[Equipment ID]"),INDIRECT("tblEquipment[Equipment Name]"),"")</f>
        <v/>
      </c>
      <c r="F989" s="16" t="n"/>
      <c r="G989" s="16" t="n"/>
      <c r="H989" s="1">
        <f>IF(OR(F989=0,G989=0),"",(G989-F989)*24)</f>
        <v/>
      </c>
      <c r="I989" s="10" t="n"/>
      <c r="J989" s="1">
        <f>IF(OR(tblDowntime[[#This Row],[Failure Type]]="Sawshop",tblDowntime[[#This Row],[Failure Type]]="Electrical",tblDowntime[[#This Row],[Failure Type]]="Mechanical"),tblDowntime[[#This Row],[Downtime Hours]],"")</f>
        <v/>
      </c>
      <c r="K989" s="10" t="n"/>
      <c r="L989" s="10" t="n"/>
      <c r="M989">
        <f>IF(tblDowntime[[#This Row],[Maintenance Downtime Hours]]="","",tblDowntime[[#This Row],[Equipment ID]])</f>
        <v/>
      </c>
      <c r="N989" s="1">
        <f>IF(tblDowntime[[#This Row],[Failure Type]]="Production",tblDowntime[[#This Row],[Downtime Hours]],"")</f>
        <v/>
      </c>
      <c r="O989">
        <f>IF(tblDowntime[[#This Row],[Production Downtime Hours]]="","",tblDowntime[[#This Row],[Equipment ID]])</f>
        <v/>
      </c>
      <c r="P989" s="10" t="n"/>
    </row>
    <row r="990">
      <c r="B990">
        <f t="array" ref="B990">_xlfn.XLOOKUP(C990,INDIRECT("tblEquipment[Equipment ID]"),INDIRECT("tblEquipment[Production Department]"),"")</f>
        <v/>
      </c>
      <c r="D990">
        <f t="array" ref="D990">_xlfn.XLOOKUP(C990,INDIRECT("tblEquipment[Equipment ID]"),INDIRECT("tblEquipment[Equipment Name]"),"")</f>
        <v/>
      </c>
      <c r="F990" s="16" t="n"/>
      <c r="G990" s="16" t="n"/>
      <c r="H990" s="1">
        <f>IF(OR(F990=0,G990=0),"",(G990-F990)*24)</f>
        <v/>
      </c>
      <c r="I990" s="10" t="n"/>
      <c r="J990" s="1">
        <f>IF(OR(tblDowntime[[#This Row],[Failure Type]]="Sawshop",tblDowntime[[#This Row],[Failure Type]]="Electrical",tblDowntime[[#This Row],[Failure Type]]="Mechanical"),tblDowntime[[#This Row],[Downtime Hours]],"")</f>
        <v/>
      </c>
      <c r="K990" s="10" t="n"/>
      <c r="L990" s="10" t="n"/>
      <c r="M990">
        <f>IF(tblDowntime[[#This Row],[Maintenance Downtime Hours]]="","",tblDowntime[[#This Row],[Equipment ID]])</f>
        <v/>
      </c>
      <c r="N990" s="1">
        <f>IF(tblDowntime[[#This Row],[Failure Type]]="Production",tblDowntime[[#This Row],[Downtime Hours]],"")</f>
        <v/>
      </c>
      <c r="O990">
        <f>IF(tblDowntime[[#This Row],[Production Downtime Hours]]="","",tblDowntime[[#This Row],[Equipment ID]])</f>
        <v/>
      </c>
      <c r="P990" s="10" t="n"/>
    </row>
    <row r="991">
      <c r="B991">
        <f t="array" ref="B991">_xlfn.XLOOKUP(C991,INDIRECT("tblEquipment[Equipment ID]"),INDIRECT("tblEquipment[Production Department]"),"")</f>
        <v/>
      </c>
      <c r="D991">
        <f t="array" ref="D991">_xlfn.XLOOKUP(C991,INDIRECT("tblEquipment[Equipment ID]"),INDIRECT("tblEquipment[Equipment Name]"),"")</f>
        <v/>
      </c>
      <c r="F991" s="16" t="n"/>
      <c r="G991" s="16" t="n"/>
      <c r="H991" s="1">
        <f>IF(OR(F991=0,G991=0),"",(G991-F991)*24)</f>
        <v/>
      </c>
      <c r="I991" s="10" t="n"/>
      <c r="J991" s="1">
        <f>IF(OR(tblDowntime[[#This Row],[Failure Type]]="Sawshop",tblDowntime[[#This Row],[Failure Type]]="Electrical",tblDowntime[[#This Row],[Failure Type]]="Mechanical"),tblDowntime[[#This Row],[Downtime Hours]],"")</f>
        <v/>
      </c>
      <c r="K991" s="10" t="n"/>
      <c r="L991" s="10" t="n"/>
      <c r="M991">
        <f>IF(tblDowntime[[#This Row],[Maintenance Downtime Hours]]="","",tblDowntime[[#This Row],[Equipment ID]])</f>
        <v/>
      </c>
      <c r="N991" s="1">
        <f>IF(tblDowntime[[#This Row],[Failure Type]]="Production",tblDowntime[[#This Row],[Downtime Hours]],"")</f>
        <v/>
      </c>
      <c r="O991">
        <f>IF(tblDowntime[[#This Row],[Production Downtime Hours]]="","",tblDowntime[[#This Row],[Equipment ID]])</f>
        <v/>
      </c>
      <c r="P991" s="10" t="n"/>
    </row>
    <row r="992">
      <c r="B992">
        <f t="array" ref="B992">_xlfn.XLOOKUP(C992,INDIRECT("tblEquipment[Equipment ID]"),INDIRECT("tblEquipment[Production Department]"),"")</f>
        <v/>
      </c>
      <c r="D992">
        <f t="array" ref="D992">_xlfn.XLOOKUP(C992,INDIRECT("tblEquipment[Equipment ID]"),INDIRECT("tblEquipment[Equipment Name]"),"")</f>
        <v/>
      </c>
      <c r="F992" s="16" t="n"/>
      <c r="G992" s="16" t="n"/>
      <c r="H992" s="1">
        <f>IF(OR(F992=0,G992=0),"",(G992-F992)*24)</f>
        <v/>
      </c>
      <c r="I992" s="10" t="n"/>
      <c r="J992" s="1">
        <f>IF(OR(tblDowntime[[#This Row],[Failure Type]]="Sawshop",tblDowntime[[#This Row],[Failure Type]]="Electrical",tblDowntime[[#This Row],[Failure Type]]="Mechanical"),tblDowntime[[#This Row],[Downtime Hours]],"")</f>
        <v/>
      </c>
      <c r="K992" s="10" t="n"/>
      <c r="L992" s="10" t="n"/>
      <c r="M992">
        <f>IF(tblDowntime[[#This Row],[Maintenance Downtime Hours]]="","",tblDowntime[[#This Row],[Equipment ID]])</f>
        <v/>
      </c>
      <c r="N992" s="1">
        <f>IF(tblDowntime[[#This Row],[Failure Type]]="Production",tblDowntime[[#This Row],[Downtime Hours]],"")</f>
        <v/>
      </c>
      <c r="O992">
        <f>IF(tblDowntime[[#This Row],[Production Downtime Hours]]="","",tblDowntime[[#This Row],[Equipment ID]])</f>
        <v/>
      </c>
      <c r="P992" s="10" t="n"/>
    </row>
    <row r="993">
      <c r="B993">
        <f t="array" ref="B993">_xlfn.XLOOKUP(C993,INDIRECT("tblEquipment[Equipment ID]"),INDIRECT("tblEquipment[Production Department]"),"")</f>
        <v/>
      </c>
      <c r="D993">
        <f t="array" ref="D993">_xlfn.XLOOKUP(C993,INDIRECT("tblEquipment[Equipment ID]"),INDIRECT("tblEquipment[Equipment Name]"),"")</f>
        <v/>
      </c>
      <c r="F993" s="16" t="n"/>
      <c r="G993" s="16" t="n"/>
      <c r="H993" s="1">
        <f>IF(OR(F993=0,G993=0),"",(G993-F993)*24)</f>
        <v/>
      </c>
      <c r="I993" s="10" t="n"/>
      <c r="J993" s="1">
        <f>IF(OR(tblDowntime[[#This Row],[Failure Type]]="Sawshop",tblDowntime[[#This Row],[Failure Type]]="Electrical",tblDowntime[[#This Row],[Failure Type]]="Mechanical"),tblDowntime[[#This Row],[Downtime Hours]],"")</f>
        <v/>
      </c>
      <c r="K993" s="10" t="n"/>
      <c r="L993" s="10" t="n"/>
      <c r="M993">
        <f>IF(tblDowntime[[#This Row],[Maintenance Downtime Hours]]="","",tblDowntime[[#This Row],[Equipment ID]])</f>
        <v/>
      </c>
      <c r="N993" s="1">
        <f>IF(tblDowntime[[#This Row],[Failure Type]]="Production",tblDowntime[[#This Row],[Downtime Hours]],"")</f>
        <v/>
      </c>
      <c r="O993">
        <f>IF(tblDowntime[[#This Row],[Production Downtime Hours]]="","",tblDowntime[[#This Row],[Equipment ID]])</f>
        <v/>
      </c>
      <c r="P993" s="10" t="n"/>
    </row>
    <row r="994">
      <c r="B994">
        <f t="array" ref="B994">_xlfn.XLOOKUP(C994,INDIRECT("tblEquipment[Equipment ID]"),INDIRECT("tblEquipment[Production Department]"),"")</f>
        <v/>
      </c>
      <c r="D994">
        <f t="array" ref="D994">_xlfn.XLOOKUP(C994,INDIRECT("tblEquipment[Equipment ID]"),INDIRECT("tblEquipment[Equipment Name]"),"")</f>
        <v/>
      </c>
      <c r="F994" s="16" t="n"/>
      <c r="G994" s="16" t="n"/>
      <c r="H994" s="1">
        <f>IF(OR(F994=0,G994=0),"",(G994-F994)*24)</f>
        <v/>
      </c>
      <c r="I994" s="10" t="n"/>
      <c r="J994" s="1">
        <f>IF(OR(tblDowntime[[#This Row],[Failure Type]]="Sawshop",tblDowntime[[#This Row],[Failure Type]]="Electrical",tblDowntime[[#This Row],[Failure Type]]="Mechanical"),tblDowntime[[#This Row],[Downtime Hours]],"")</f>
        <v/>
      </c>
      <c r="K994" s="10" t="n"/>
      <c r="L994" s="10" t="n"/>
      <c r="M994">
        <f>IF(tblDowntime[[#This Row],[Maintenance Downtime Hours]]="","",tblDowntime[[#This Row],[Equipment ID]])</f>
        <v/>
      </c>
      <c r="N994" s="1">
        <f>IF(tblDowntime[[#This Row],[Failure Type]]="Production",tblDowntime[[#This Row],[Downtime Hours]],"")</f>
        <v/>
      </c>
      <c r="O994">
        <f>IF(tblDowntime[[#This Row],[Production Downtime Hours]]="","",tblDowntime[[#This Row],[Equipment ID]])</f>
        <v/>
      </c>
      <c r="P994" s="10" t="n"/>
    </row>
    <row r="995">
      <c r="B995">
        <f t="array" ref="B995">_xlfn.XLOOKUP(C995,INDIRECT("tblEquipment[Equipment ID]"),INDIRECT("tblEquipment[Production Department]"),"")</f>
        <v/>
      </c>
      <c r="D995">
        <f t="array" ref="D995">_xlfn.XLOOKUP(C995,INDIRECT("tblEquipment[Equipment ID]"),INDIRECT("tblEquipment[Equipment Name]"),"")</f>
        <v/>
      </c>
      <c r="F995" s="16" t="n"/>
      <c r="G995" s="16" t="n"/>
      <c r="H995" s="1">
        <f>IF(OR(F995=0,G995=0),"",(G995-F995)*24)</f>
        <v/>
      </c>
      <c r="I995" s="10" t="n"/>
      <c r="J995" s="1">
        <f>IF(OR(tblDowntime[[#This Row],[Failure Type]]="Sawshop",tblDowntime[[#This Row],[Failure Type]]="Electrical",tblDowntime[[#This Row],[Failure Type]]="Mechanical"),tblDowntime[[#This Row],[Downtime Hours]],"")</f>
        <v/>
      </c>
      <c r="K995" s="10" t="n"/>
      <c r="L995" s="10" t="n"/>
      <c r="M995">
        <f>IF(tblDowntime[[#This Row],[Maintenance Downtime Hours]]="","",tblDowntime[[#This Row],[Equipment ID]])</f>
        <v/>
      </c>
      <c r="N995" s="1">
        <f>IF(tblDowntime[[#This Row],[Failure Type]]="Production",tblDowntime[[#This Row],[Downtime Hours]],"")</f>
        <v/>
      </c>
      <c r="O995">
        <f>IF(tblDowntime[[#This Row],[Production Downtime Hours]]="","",tblDowntime[[#This Row],[Equipment ID]])</f>
        <v/>
      </c>
      <c r="P995" s="10" t="n"/>
    </row>
    <row r="996">
      <c r="B996">
        <f t="array" ref="B996">_xlfn.XLOOKUP(C996,INDIRECT("tblEquipment[Equipment ID]"),INDIRECT("tblEquipment[Production Department]"),"")</f>
        <v/>
      </c>
      <c r="D996">
        <f t="array" ref="D996">_xlfn.XLOOKUP(C996,INDIRECT("tblEquipment[Equipment ID]"),INDIRECT("tblEquipment[Equipment Name]"),"")</f>
        <v/>
      </c>
      <c r="F996" s="16" t="n"/>
      <c r="G996" s="16" t="n"/>
      <c r="H996" s="1">
        <f>IF(OR(F996=0,G996=0),"",(G996-F996)*24)</f>
        <v/>
      </c>
      <c r="I996" s="10" t="n"/>
      <c r="J996" s="1">
        <f>IF(OR(tblDowntime[[#This Row],[Failure Type]]="Sawshop",tblDowntime[[#This Row],[Failure Type]]="Electrical",tblDowntime[[#This Row],[Failure Type]]="Mechanical"),tblDowntime[[#This Row],[Downtime Hours]],"")</f>
        <v/>
      </c>
      <c r="K996" s="10" t="n"/>
      <c r="L996" s="10" t="n"/>
      <c r="M996">
        <f>IF(tblDowntime[[#This Row],[Maintenance Downtime Hours]]="","",tblDowntime[[#This Row],[Equipment ID]])</f>
        <v/>
      </c>
      <c r="N996" s="1">
        <f>IF(tblDowntime[[#This Row],[Failure Type]]="Production",tblDowntime[[#This Row],[Downtime Hours]],"")</f>
        <v/>
      </c>
      <c r="O996">
        <f>IF(tblDowntime[[#This Row],[Production Downtime Hours]]="","",tblDowntime[[#This Row],[Equipment ID]])</f>
        <v/>
      </c>
      <c r="P996" s="10" t="n"/>
    </row>
    <row r="997">
      <c r="B997">
        <f t="array" ref="B997">_xlfn.XLOOKUP(C997,INDIRECT("tblEquipment[Equipment ID]"),INDIRECT("tblEquipment[Production Department]"),"")</f>
        <v/>
      </c>
      <c r="D997">
        <f t="array" ref="D997">_xlfn.XLOOKUP(C997,INDIRECT("tblEquipment[Equipment ID]"),INDIRECT("tblEquipment[Equipment Name]"),"")</f>
        <v/>
      </c>
      <c r="F997" s="16" t="n"/>
      <c r="G997" s="16" t="n"/>
      <c r="H997" s="1">
        <f>IF(OR(F997=0,G997=0),"",(G997-F997)*24)</f>
        <v/>
      </c>
      <c r="I997" s="10" t="n"/>
      <c r="J997" s="1">
        <f>IF(OR(tblDowntime[[#This Row],[Failure Type]]="Sawshop",tblDowntime[[#This Row],[Failure Type]]="Electrical",tblDowntime[[#This Row],[Failure Type]]="Mechanical"),tblDowntime[[#This Row],[Downtime Hours]],"")</f>
        <v/>
      </c>
      <c r="K997" s="10" t="n"/>
      <c r="L997" s="10" t="n"/>
      <c r="M997">
        <f>IF(tblDowntime[[#This Row],[Maintenance Downtime Hours]]="","",tblDowntime[[#This Row],[Equipment ID]])</f>
        <v/>
      </c>
      <c r="N997" s="1">
        <f>IF(tblDowntime[[#This Row],[Failure Type]]="Production",tblDowntime[[#This Row],[Downtime Hours]],"")</f>
        <v/>
      </c>
      <c r="O997">
        <f>IF(tblDowntime[[#This Row],[Production Downtime Hours]]="","",tblDowntime[[#This Row],[Equipment ID]])</f>
        <v/>
      </c>
      <c r="P997" s="10" t="n"/>
    </row>
    <row r="998">
      <c r="B998">
        <f t="array" ref="B998">_xlfn.XLOOKUP(C998,INDIRECT("tblEquipment[Equipment ID]"),INDIRECT("tblEquipment[Production Department]"),"")</f>
        <v/>
      </c>
      <c r="D998">
        <f t="array" ref="D998">_xlfn.XLOOKUP(C998,INDIRECT("tblEquipment[Equipment ID]"),INDIRECT("tblEquipment[Equipment Name]"),"")</f>
        <v/>
      </c>
      <c r="F998" s="16" t="n"/>
      <c r="G998" s="16" t="n"/>
      <c r="H998" s="1">
        <f>IF(OR(F998=0,G998=0),"",(G998-F998)*24)</f>
        <v/>
      </c>
      <c r="I998" s="10" t="n"/>
      <c r="J998" s="1">
        <f>IF(OR(tblDowntime[[#This Row],[Failure Type]]="Sawshop",tblDowntime[[#This Row],[Failure Type]]="Electrical",tblDowntime[[#This Row],[Failure Type]]="Mechanical"),tblDowntime[[#This Row],[Downtime Hours]],"")</f>
        <v/>
      </c>
      <c r="K998" s="10" t="n"/>
      <c r="L998" s="10" t="n"/>
      <c r="M998">
        <f>IF(tblDowntime[[#This Row],[Maintenance Downtime Hours]]="","",tblDowntime[[#This Row],[Equipment ID]])</f>
        <v/>
      </c>
      <c r="N998" s="1">
        <f>IF(tblDowntime[[#This Row],[Failure Type]]="Production",tblDowntime[[#This Row],[Downtime Hours]],"")</f>
        <v/>
      </c>
      <c r="O998">
        <f>IF(tblDowntime[[#This Row],[Production Downtime Hours]]="","",tblDowntime[[#This Row],[Equipment ID]])</f>
        <v/>
      </c>
      <c r="P998" s="10" t="n"/>
    </row>
    <row r="999">
      <c r="B999">
        <f t="array" ref="B999">_xlfn.XLOOKUP(C999,INDIRECT("tblEquipment[Equipment ID]"),INDIRECT("tblEquipment[Production Department]"),"")</f>
        <v/>
      </c>
      <c r="D999">
        <f t="array" ref="D999">_xlfn.XLOOKUP(C999,INDIRECT("tblEquipment[Equipment ID]"),INDIRECT("tblEquipment[Equipment Name]"),"")</f>
        <v/>
      </c>
      <c r="F999" s="16" t="n"/>
      <c r="G999" s="16" t="n"/>
      <c r="H999" s="1">
        <f>IF(OR(F999=0,G999=0),"",(G999-F999)*24)</f>
        <v/>
      </c>
      <c r="I999" s="10" t="n"/>
      <c r="J999" s="1">
        <f>IF(OR(tblDowntime[[#This Row],[Failure Type]]="Sawshop",tblDowntime[[#This Row],[Failure Type]]="Electrical",tblDowntime[[#This Row],[Failure Type]]="Mechanical"),tblDowntime[[#This Row],[Downtime Hours]],"")</f>
        <v/>
      </c>
      <c r="K999" s="10" t="n"/>
      <c r="L999" s="10" t="n"/>
      <c r="M999">
        <f>IF(tblDowntime[[#This Row],[Maintenance Downtime Hours]]="","",tblDowntime[[#This Row],[Equipment ID]])</f>
        <v/>
      </c>
      <c r="N999" s="1">
        <f>IF(tblDowntime[[#This Row],[Failure Type]]="Production",tblDowntime[[#This Row],[Downtime Hours]],"")</f>
        <v/>
      </c>
      <c r="O999">
        <f>IF(tblDowntime[[#This Row],[Production Downtime Hours]]="","",tblDowntime[[#This Row],[Equipment ID]])</f>
        <v/>
      </c>
      <c r="P999" s="10" t="n"/>
    </row>
    <row r="1000">
      <c r="B1000">
        <f t="array" ref="B1000">_xlfn.XLOOKUP(C1000,INDIRECT("tblEquipment[Equipment ID]"),INDIRECT("tblEquipment[Production Department]"),"")</f>
        <v/>
      </c>
      <c r="D1000">
        <f t="array" ref="D1000">_xlfn.XLOOKUP(C1000,INDIRECT("tblEquipment[Equipment ID]"),INDIRECT("tblEquipment[Equipment Name]"),"")</f>
        <v/>
      </c>
      <c r="F1000" s="16" t="n"/>
      <c r="G1000" s="16" t="n"/>
      <c r="H1000" s="1">
        <f>IF(OR(F1000=0,G1000=0),"",(G1000-F1000)*24)</f>
        <v/>
      </c>
      <c r="I1000" s="10" t="n"/>
      <c r="J1000" s="1">
        <f>IF(OR(tblDowntime[[#This Row],[Failure Type]]="Sawshop",tblDowntime[[#This Row],[Failure Type]]="Electrical",tblDowntime[[#This Row],[Failure Type]]="Mechanical"),tblDowntime[[#This Row],[Downtime Hours]],"")</f>
        <v/>
      </c>
      <c r="K1000" s="10" t="n"/>
      <c r="L1000" s="10" t="n"/>
      <c r="M1000">
        <f>IF(tblDowntime[[#This Row],[Maintenance Downtime Hours]]="","",tblDowntime[[#This Row],[Equipment ID]])</f>
        <v/>
      </c>
      <c r="N1000" s="1">
        <f>IF(tblDowntime[[#This Row],[Failure Type]]="Production",tblDowntime[[#This Row],[Downtime Hours]],"")</f>
        <v/>
      </c>
      <c r="O1000">
        <f>IF(tblDowntime[[#This Row],[Production Downtime Hours]]="","",tblDowntime[[#This Row],[Equipment ID]])</f>
        <v/>
      </c>
      <c r="P1000" s="10" t="n"/>
    </row>
    <row r="1001">
      <c r="B1001">
        <f t="array" ref="B1001">_xlfn.XLOOKUP(C1001,INDIRECT("tblEquipment[Equipment ID]"),INDIRECT("tblEquipment[Production Department]"),"")</f>
        <v/>
      </c>
      <c r="D1001">
        <f t="array" ref="D1001">_xlfn.XLOOKUP(C1001,INDIRECT("tblEquipment[Equipment ID]"),INDIRECT("tblEquipment[Equipment Name]"),"")</f>
        <v/>
      </c>
      <c r="F1001" s="16" t="n"/>
      <c r="G1001" s="16" t="n"/>
      <c r="H1001" s="1">
        <f>IF(OR(F1001=0,G1001=0),"",(G1001-F1001)*24)</f>
        <v/>
      </c>
      <c r="I1001" s="10" t="n"/>
      <c r="J1001" s="1">
        <f>IF(OR(tblDowntime[[#This Row],[Failure Type]]="Sawshop",tblDowntime[[#This Row],[Failure Type]]="Electrical",tblDowntime[[#This Row],[Failure Type]]="Mechanical"),tblDowntime[[#This Row],[Downtime Hours]],"")</f>
        <v/>
      </c>
      <c r="K1001" s="10" t="n"/>
      <c r="L1001" s="10" t="n"/>
      <c r="M1001">
        <f>IF(tblDowntime[[#This Row],[Maintenance Downtime Hours]]="","",tblDowntime[[#This Row],[Equipment ID]])</f>
        <v/>
      </c>
      <c r="N1001" s="1">
        <f>IF(tblDowntime[[#This Row],[Failure Type]]="Production",tblDowntime[[#This Row],[Downtime Hours]],"")</f>
        <v/>
      </c>
      <c r="O1001">
        <f>IF(tblDowntime[[#This Row],[Production Downtime Hours]]="","",tblDowntime[[#This Row],[Equipment ID]])</f>
        <v/>
      </c>
      <c r="P1001" s="10" t="n"/>
    </row>
    <row r="1002">
      <c r="B1002">
        <f t="array" ref="B1002">_xlfn.XLOOKUP(C1002,INDIRECT("tblEquipment[Equipment ID]"),INDIRECT("tblEquipment[Production Department]"),"")</f>
        <v/>
      </c>
      <c r="D1002">
        <f t="array" ref="D1002">_xlfn.XLOOKUP(C1002,INDIRECT("tblEquipment[Equipment ID]"),INDIRECT("tblEquipment[Equipment Name]"),"")</f>
        <v/>
      </c>
      <c r="F1002" s="16" t="n"/>
      <c r="G1002" s="16" t="n"/>
      <c r="H1002" s="1">
        <f>IF(OR(F1002=0,G1002=0),"",(G1002-F1002)*24)</f>
        <v/>
      </c>
      <c r="I1002" s="10" t="n"/>
      <c r="J1002" s="1">
        <f>IF(OR(tblDowntime[[#This Row],[Failure Type]]="Sawshop",tblDowntime[[#This Row],[Failure Type]]="Electrical",tblDowntime[[#This Row],[Failure Type]]="Mechanical"),tblDowntime[[#This Row],[Downtime Hours]],"")</f>
        <v/>
      </c>
      <c r="K1002" s="10" t="n"/>
      <c r="L1002" s="10" t="n"/>
      <c r="M1002">
        <f>IF(tblDowntime[[#This Row],[Maintenance Downtime Hours]]="","",tblDowntime[[#This Row],[Equipment ID]])</f>
        <v/>
      </c>
      <c r="N1002" s="1">
        <f>IF(tblDowntime[[#This Row],[Failure Type]]="Production",tblDowntime[[#This Row],[Downtime Hours]],"")</f>
        <v/>
      </c>
      <c r="O1002">
        <f>IF(tblDowntime[[#This Row],[Production Downtime Hours]]="","",tblDowntime[[#This Row],[Equipment ID]])</f>
        <v/>
      </c>
      <c r="P1002" s="10" t="n"/>
    </row>
    <row r="1003">
      <c r="B1003">
        <f t="array" ref="B1003">_xlfn.XLOOKUP(C1003,INDIRECT("tblEquipment[Equipment ID]"),INDIRECT("tblEquipment[Production Department]"),"")</f>
        <v/>
      </c>
      <c r="D1003">
        <f t="array" ref="D1003">_xlfn.XLOOKUP(C1003,INDIRECT("tblEquipment[Equipment ID]"),INDIRECT("tblEquipment[Equipment Name]"),"")</f>
        <v/>
      </c>
      <c r="F1003" s="16" t="n"/>
      <c r="G1003" s="16" t="n"/>
      <c r="H1003" s="1">
        <f>IF(OR(F1003=0,G1003=0),"",(G1003-F1003)*24)</f>
        <v/>
      </c>
      <c r="I1003" s="10" t="n"/>
      <c r="J1003" s="1">
        <f>IF(OR(tblDowntime[[#This Row],[Failure Type]]="Sawshop",tblDowntime[[#This Row],[Failure Type]]="Electrical",tblDowntime[[#This Row],[Failure Type]]="Mechanical"),tblDowntime[[#This Row],[Downtime Hours]],"")</f>
        <v/>
      </c>
      <c r="K1003" s="10" t="n"/>
      <c r="L1003" s="10" t="n"/>
      <c r="M1003">
        <f>IF(tblDowntime[[#This Row],[Maintenance Downtime Hours]]="","",tblDowntime[[#This Row],[Equipment ID]])</f>
        <v/>
      </c>
      <c r="N1003" s="1">
        <f>IF(tblDowntime[[#This Row],[Failure Type]]="Production",tblDowntime[[#This Row],[Downtime Hours]],"")</f>
        <v/>
      </c>
      <c r="O1003">
        <f>IF(tblDowntime[[#This Row],[Production Downtime Hours]]="","",tblDowntime[[#This Row],[Equipment ID]])</f>
        <v/>
      </c>
      <c r="P1003" s="10" t="n"/>
    </row>
    <row r="1004">
      <c r="B1004">
        <f t="array" ref="B1004">_xlfn.XLOOKUP(C1004,INDIRECT("tblEquipment[Equipment ID]"),INDIRECT("tblEquipment[Production Department]"),"")</f>
        <v/>
      </c>
      <c r="D1004">
        <f t="array" ref="D1004">_xlfn.XLOOKUP(C1004,INDIRECT("tblEquipment[Equipment ID]"),INDIRECT("tblEquipment[Equipment Name]"),"")</f>
        <v/>
      </c>
      <c r="F1004" s="16" t="n"/>
      <c r="G1004" s="16" t="n"/>
      <c r="H1004" s="1">
        <f>IF(OR(F1004=0,G1004=0),"",(G1004-F1004)*24)</f>
        <v/>
      </c>
      <c r="I1004" s="10" t="n"/>
      <c r="J1004" s="1">
        <f>IF(OR(tblDowntime[[#This Row],[Failure Type]]="Sawshop",tblDowntime[[#This Row],[Failure Type]]="Electrical",tblDowntime[[#This Row],[Failure Type]]="Mechanical"),tblDowntime[[#This Row],[Downtime Hours]],"")</f>
        <v/>
      </c>
      <c r="K1004" s="10" t="n"/>
      <c r="L1004" s="10" t="n"/>
      <c r="M1004">
        <f>IF(tblDowntime[[#This Row],[Maintenance Downtime Hours]]="","",tblDowntime[[#This Row],[Equipment ID]])</f>
        <v/>
      </c>
      <c r="N1004" s="1">
        <f>IF(tblDowntime[[#This Row],[Failure Type]]="Production",tblDowntime[[#This Row],[Downtime Hours]],"")</f>
        <v/>
      </c>
      <c r="O1004">
        <f>IF(tblDowntime[[#This Row],[Production Downtime Hours]]="","",tblDowntime[[#This Row],[Equipment ID]])</f>
        <v/>
      </c>
      <c r="P1004" s="10" t="n"/>
    </row>
    <row r="1005">
      <c r="B1005">
        <f t="array" ref="B1005">_xlfn.XLOOKUP(C1005,INDIRECT("tblEquipment[Equipment ID]"),INDIRECT("tblEquipment[Production Department]"),"")</f>
        <v/>
      </c>
      <c r="D1005">
        <f t="array" ref="D1005">_xlfn.XLOOKUP(C1005,INDIRECT("tblEquipment[Equipment ID]"),INDIRECT("tblEquipment[Equipment Name]"),"")</f>
        <v/>
      </c>
      <c r="F1005" s="16" t="n"/>
      <c r="G1005" s="16" t="n"/>
      <c r="H1005" s="1">
        <f>IF(OR(F1005=0,G1005=0),"",(G1005-F1005)*24)</f>
        <v/>
      </c>
      <c r="I1005" s="10" t="n"/>
      <c r="J1005" s="1">
        <f>IF(OR(tblDowntime[[#This Row],[Failure Type]]="Sawshop",tblDowntime[[#This Row],[Failure Type]]="Electrical",tblDowntime[[#This Row],[Failure Type]]="Mechanical"),tblDowntime[[#This Row],[Downtime Hours]],"")</f>
        <v/>
      </c>
      <c r="K1005" s="10" t="n"/>
      <c r="L1005" s="10" t="n"/>
      <c r="M1005">
        <f>IF(tblDowntime[[#This Row],[Maintenance Downtime Hours]]="","",tblDowntime[[#This Row],[Equipment ID]])</f>
        <v/>
      </c>
      <c r="N1005" s="1">
        <f>IF(tblDowntime[[#This Row],[Failure Type]]="Production",tblDowntime[[#This Row],[Downtime Hours]],"")</f>
        <v/>
      </c>
      <c r="O1005">
        <f>IF(tblDowntime[[#This Row],[Production Downtime Hours]]="","",tblDowntime[[#This Row],[Equipment ID]])</f>
        <v/>
      </c>
      <c r="P1005" s="10" t="n"/>
    </row>
    <row r="1006">
      <c r="B1006">
        <f t="array" ref="B1006">_xlfn.XLOOKUP(C1006,INDIRECT("tblEquipment[Equipment ID]"),INDIRECT("tblEquipment[Production Department]"),"")</f>
        <v/>
      </c>
      <c r="D1006">
        <f t="array" ref="D1006">_xlfn.XLOOKUP(C1006,INDIRECT("tblEquipment[Equipment ID]"),INDIRECT("tblEquipment[Equipment Name]"),"")</f>
        <v/>
      </c>
      <c r="F1006" s="16" t="n"/>
      <c r="G1006" s="16" t="n"/>
      <c r="H1006" s="1">
        <f>IF(OR(F1006=0,G1006=0),"",(G1006-F1006)*24)</f>
        <v/>
      </c>
      <c r="I1006" s="10" t="n"/>
      <c r="J1006" s="1">
        <f>IF(OR(tblDowntime[[#This Row],[Failure Type]]="Sawshop",tblDowntime[[#This Row],[Failure Type]]="Electrical",tblDowntime[[#This Row],[Failure Type]]="Mechanical"),tblDowntime[[#This Row],[Downtime Hours]],"")</f>
        <v/>
      </c>
      <c r="K1006" s="10" t="n"/>
      <c r="L1006" s="10" t="n"/>
      <c r="M1006">
        <f>IF(tblDowntime[[#This Row],[Maintenance Downtime Hours]]="","",tblDowntime[[#This Row],[Equipment ID]])</f>
        <v/>
      </c>
      <c r="N1006" s="1">
        <f>IF(tblDowntime[[#This Row],[Failure Type]]="Production",tblDowntime[[#This Row],[Downtime Hours]],"")</f>
        <v/>
      </c>
      <c r="O1006">
        <f>IF(tblDowntime[[#This Row],[Production Downtime Hours]]="","",tblDowntime[[#This Row],[Equipment ID]])</f>
        <v/>
      </c>
      <c r="P1006" s="10" t="n"/>
    </row>
    <row r="1007">
      <c r="B1007">
        <f t="array" ref="B1007">_xlfn.XLOOKUP(C1007,INDIRECT("tblEquipment[Equipment ID]"),INDIRECT("tblEquipment[Production Department]"),"")</f>
        <v/>
      </c>
      <c r="D1007">
        <f t="array" ref="D1007">_xlfn.XLOOKUP(C1007,INDIRECT("tblEquipment[Equipment ID]"),INDIRECT("tblEquipment[Equipment Name]"),"")</f>
        <v/>
      </c>
      <c r="F1007" s="16" t="n"/>
      <c r="G1007" s="16" t="n"/>
      <c r="H1007" s="1">
        <f>IF(OR(F1007=0,G1007=0),"",(G1007-F1007)*24)</f>
        <v/>
      </c>
      <c r="I1007" s="10" t="n"/>
      <c r="J1007" s="1">
        <f>IF(OR(tblDowntime[[#This Row],[Failure Type]]="Sawshop",tblDowntime[[#This Row],[Failure Type]]="Electrical",tblDowntime[[#This Row],[Failure Type]]="Mechanical"),tblDowntime[[#This Row],[Downtime Hours]],"")</f>
        <v/>
      </c>
      <c r="K1007" s="10" t="n"/>
      <c r="L1007" s="10" t="n"/>
      <c r="M1007">
        <f>IF(tblDowntime[[#This Row],[Maintenance Downtime Hours]]="","",tblDowntime[[#This Row],[Equipment ID]])</f>
        <v/>
      </c>
      <c r="N1007" s="1">
        <f>IF(tblDowntime[[#This Row],[Failure Type]]="Production",tblDowntime[[#This Row],[Downtime Hours]],"")</f>
        <v/>
      </c>
      <c r="O1007">
        <f>IF(tblDowntime[[#This Row],[Production Downtime Hours]]="","",tblDowntime[[#This Row],[Equipment ID]])</f>
        <v/>
      </c>
      <c r="P1007" s="10" t="n"/>
    </row>
    <row r="1008">
      <c r="B1008">
        <f t="array" ref="B1008">_xlfn.XLOOKUP(C1008,INDIRECT("tblEquipment[Equipment ID]"),INDIRECT("tblEquipment[Production Department]"),"")</f>
        <v/>
      </c>
      <c r="D1008">
        <f t="array" ref="D1008">_xlfn.XLOOKUP(C1008,INDIRECT("tblEquipment[Equipment ID]"),INDIRECT("tblEquipment[Equipment Name]"),"")</f>
        <v/>
      </c>
      <c r="F1008" s="16" t="n"/>
      <c r="G1008" s="16" t="n"/>
      <c r="H1008" s="1">
        <f>IF(OR(F1008=0,G1008=0),"",(G1008-F1008)*24)</f>
        <v/>
      </c>
      <c r="I1008" s="10" t="n"/>
      <c r="J1008" s="1">
        <f>IF(OR(tblDowntime[[#This Row],[Failure Type]]="Sawshop",tblDowntime[[#This Row],[Failure Type]]="Electrical",tblDowntime[[#This Row],[Failure Type]]="Mechanical"),tblDowntime[[#This Row],[Downtime Hours]],"")</f>
        <v/>
      </c>
      <c r="K1008" s="10" t="n"/>
      <c r="L1008" s="10" t="n"/>
      <c r="M1008">
        <f>IF(tblDowntime[[#This Row],[Maintenance Downtime Hours]]="","",tblDowntime[[#This Row],[Equipment ID]])</f>
        <v/>
      </c>
      <c r="N1008" s="1">
        <f>IF(tblDowntime[[#This Row],[Failure Type]]="Production",tblDowntime[[#This Row],[Downtime Hours]],"")</f>
        <v/>
      </c>
      <c r="O1008">
        <f>IF(tblDowntime[[#This Row],[Production Downtime Hours]]="","",tblDowntime[[#This Row],[Equipment ID]])</f>
        <v/>
      </c>
      <c r="P1008" s="10" t="n"/>
    </row>
    <row r="1009">
      <c r="B1009">
        <f t="array" ref="B1009">_xlfn.XLOOKUP(C1009,INDIRECT("tblEquipment[Equipment ID]"),INDIRECT("tblEquipment[Production Department]"),"")</f>
        <v/>
      </c>
      <c r="D1009">
        <f t="array" ref="D1009">_xlfn.XLOOKUP(C1009,INDIRECT("tblEquipment[Equipment ID]"),INDIRECT("tblEquipment[Equipment Name]"),"")</f>
        <v/>
      </c>
      <c r="F1009" s="16" t="n"/>
      <c r="G1009" s="16" t="n"/>
      <c r="H1009" s="1">
        <f>IF(OR(F1009=0,G1009=0),"",(G1009-F1009)*24)</f>
        <v/>
      </c>
      <c r="I1009" s="10" t="n"/>
      <c r="J1009" s="1">
        <f>IF(OR(tblDowntime[[#This Row],[Failure Type]]="Sawshop",tblDowntime[[#This Row],[Failure Type]]="Electrical",tblDowntime[[#This Row],[Failure Type]]="Mechanical"),tblDowntime[[#This Row],[Downtime Hours]],"")</f>
        <v/>
      </c>
      <c r="K1009" s="10" t="n"/>
      <c r="L1009" s="10" t="n"/>
      <c r="M1009">
        <f>IF(tblDowntime[[#This Row],[Maintenance Downtime Hours]]="","",tblDowntime[[#This Row],[Equipment ID]])</f>
        <v/>
      </c>
      <c r="N1009" s="1">
        <f>IF(tblDowntime[[#This Row],[Failure Type]]="Production",tblDowntime[[#This Row],[Downtime Hours]],"")</f>
        <v/>
      </c>
      <c r="O1009">
        <f>IF(tblDowntime[[#This Row],[Production Downtime Hours]]="","",tblDowntime[[#This Row],[Equipment ID]])</f>
        <v/>
      </c>
      <c r="P1009" s="10" t="n"/>
    </row>
    <row r="1010">
      <c r="B1010">
        <f t="array" ref="B1010">_xlfn.XLOOKUP(C1010,INDIRECT("tblEquipment[Equipment ID]"),INDIRECT("tblEquipment[Production Department]"),"")</f>
        <v/>
      </c>
      <c r="D1010">
        <f t="array" ref="D1010">_xlfn.XLOOKUP(C1010,INDIRECT("tblEquipment[Equipment ID]"),INDIRECT("tblEquipment[Equipment Name]"),"")</f>
        <v/>
      </c>
      <c r="F1010" s="16" t="n"/>
      <c r="G1010" s="16" t="n"/>
      <c r="H1010" s="1">
        <f>IF(OR(F1010=0,G1010=0),"",(G1010-F1010)*24)</f>
        <v/>
      </c>
      <c r="I1010" s="10" t="n"/>
      <c r="J1010" s="1">
        <f>IF(OR(tblDowntime[[#This Row],[Failure Type]]="Sawshop",tblDowntime[[#This Row],[Failure Type]]="Electrical",tblDowntime[[#This Row],[Failure Type]]="Mechanical"),tblDowntime[[#This Row],[Downtime Hours]],"")</f>
        <v/>
      </c>
      <c r="K1010" s="10" t="n"/>
      <c r="L1010" s="10" t="n"/>
      <c r="M1010">
        <f>IF(tblDowntime[[#This Row],[Maintenance Downtime Hours]]="","",tblDowntime[[#This Row],[Equipment ID]])</f>
        <v/>
      </c>
      <c r="N1010" s="1">
        <f>IF(tblDowntime[[#This Row],[Failure Type]]="Production",tblDowntime[[#This Row],[Downtime Hours]],"")</f>
        <v/>
      </c>
      <c r="O1010">
        <f>IF(tblDowntime[[#This Row],[Production Downtime Hours]]="","",tblDowntime[[#This Row],[Equipment ID]])</f>
        <v/>
      </c>
      <c r="P1010" s="10" t="n"/>
    </row>
    <row r="1011">
      <c r="B1011">
        <f t="array" ref="B1011">_xlfn.XLOOKUP(C1011,INDIRECT("tblEquipment[Equipment ID]"),INDIRECT("tblEquipment[Production Department]"),"")</f>
        <v/>
      </c>
      <c r="D1011">
        <f t="array" ref="D1011">_xlfn.XLOOKUP(C1011,INDIRECT("tblEquipment[Equipment ID]"),INDIRECT("tblEquipment[Equipment Name]"),"")</f>
        <v/>
      </c>
      <c r="F1011" s="16" t="n"/>
      <c r="G1011" s="16" t="n"/>
      <c r="H1011" s="1">
        <f>IF(OR(F1011=0,G1011=0),"",(G1011-F1011)*24)</f>
        <v/>
      </c>
      <c r="I1011" s="10" t="n"/>
      <c r="J1011" s="1">
        <f>IF(OR(tblDowntime[[#This Row],[Failure Type]]="Sawshop",tblDowntime[[#This Row],[Failure Type]]="Electrical",tblDowntime[[#This Row],[Failure Type]]="Mechanical"),tblDowntime[[#This Row],[Downtime Hours]],"")</f>
        <v/>
      </c>
      <c r="K1011" s="10" t="n"/>
      <c r="L1011" s="10" t="n"/>
      <c r="M1011">
        <f>IF(tblDowntime[[#This Row],[Maintenance Downtime Hours]]="","",tblDowntime[[#This Row],[Equipment ID]])</f>
        <v/>
      </c>
      <c r="N1011" s="1">
        <f>IF(tblDowntime[[#This Row],[Failure Type]]="Production",tblDowntime[[#This Row],[Downtime Hours]],"")</f>
        <v/>
      </c>
      <c r="O1011">
        <f>IF(tblDowntime[[#This Row],[Production Downtime Hours]]="","",tblDowntime[[#This Row],[Equipment ID]])</f>
        <v/>
      </c>
      <c r="P1011" s="10" t="n"/>
    </row>
    <row r="1012">
      <c r="B1012">
        <f t="array" ref="B1012">_xlfn.XLOOKUP(C1012,INDIRECT("tblEquipment[Equipment ID]"),INDIRECT("tblEquipment[Production Department]"),"")</f>
        <v/>
      </c>
      <c r="D1012">
        <f t="array" ref="D1012">_xlfn.XLOOKUP(C1012,INDIRECT("tblEquipment[Equipment ID]"),INDIRECT("tblEquipment[Equipment Name]"),"")</f>
        <v/>
      </c>
      <c r="F1012" s="16" t="n"/>
      <c r="G1012" s="16" t="n"/>
      <c r="H1012" s="1">
        <f>IF(OR(F1012=0,G1012=0),"",(G1012-F1012)*24)</f>
        <v/>
      </c>
      <c r="I1012" s="10" t="n"/>
      <c r="J1012" s="1">
        <f>IF(OR(tblDowntime[[#This Row],[Failure Type]]="Sawshop",tblDowntime[[#This Row],[Failure Type]]="Electrical",tblDowntime[[#This Row],[Failure Type]]="Mechanical"),tblDowntime[[#This Row],[Downtime Hours]],"")</f>
        <v/>
      </c>
      <c r="K1012" s="10" t="n"/>
      <c r="L1012" s="10" t="n"/>
      <c r="M1012">
        <f>IF(tblDowntime[[#This Row],[Maintenance Downtime Hours]]="","",tblDowntime[[#This Row],[Equipment ID]])</f>
        <v/>
      </c>
      <c r="N1012" s="1">
        <f>IF(tblDowntime[[#This Row],[Failure Type]]="Production",tblDowntime[[#This Row],[Downtime Hours]],"")</f>
        <v/>
      </c>
      <c r="O1012">
        <f>IF(tblDowntime[[#This Row],[Production Downtime Hours]]="","",tblDowntime[[#This Row],[Equipment ID]])</f>
        <v/>
      </c>
      <c r="P1012" s="10" t="n"/>
    </row>
    <row r="1013">
      <c r="B1013">
        <f t="array" ref="B1013">_xlfn.XLOOKUP(C1013,INDIRECT("tblEquipment[Equipment ID]"),INDIRECT("tblEquipment[Production Department]"),"")</f>
        <v/>
      </c>
      <c r="D1013">
        <f t="array" ref="D1013">_xlfn.XLOOKUP(C1013,INDIRECT("tblEquipment[Equipment ID]"),INDIRECT("tblEquipment[Equipment Name]"),"")</f>
        <v/>
      </c>
      <c r="F1013" s="16" t="n"/>
      <c r="G1013" s="16" t="n"/>
      <c r="H1013" s="1">
        <f>IF(OR(F1013=0,G1013=0),"",(G1013-F1013)*24)</f>
        <v/>
      </c>
      <c r="I1013" s="10" t="n"/>
      <c r="J1013" s="1">
        <f>IF(OR(tblDowntime[[#This Row],[Failure Type]]="Sawshop",tblDowntime[[#This Row],[Failure Type]]="Electrical",tblDowntime[[#This Row],[Failure Type]]="Mechanical"),tblDowntime[[#This Row],[Downtime Hours]],"")</f>
        <v/>
      </c>
      <c r="K1013" s="10" t="n"/>
      <c r="L1013" s="10" t="n"/>
      <c r="M1013">
        <f>IF(tblDowntime[[#This Row],[Maintenance Downtime Hours]]="","",tblDowntime[[#This Row],[Equipment ID]])</f>
        <v/>
      </c>
      <c r="N1013" s="1">
        <f>IF(tblDowntime[[#This Row],[Failure Type]]="Production",tblDowntime[[#This Row],[Downtime Hours]],"")</f>
        <v/>
      </c>
      <c r="O1013">
        <f>IF(tblDowntime[[#This Row],[Production Downtime Hours]]="","",tblDowntime[[#This Row],[Equipment ID]])</f>
        <v/>
      </c>
      <c r="P1013" s="10" t="n"/>
    </row>
    <row r="1014">
      <c r="B1014">
        <f t="array" ref="B1014">_xlfn.XLOOKUP(C1014,INDIRECT("tblEquipment[Equipment ID]"),INDIRECT("tblEquipment[Production Department]"),"")</f>
        <v/>
      </c>
      <c r="D1014">
        <f t="array" ref="D1014">_xlfn.XLOOKUP(C1014,INDIRECT("tblEquipment[Equipment ID]"),INDIRECT("tblEquipment[Equipment Name]"),"")</f>
        <v/>
      </c>
      <c r="F1014" s="16" t="n"/>
      <c r="G1014" s="16" t="n"/>
      <c r="H1014" s="1">
        <f>IF(OR(F1014=0,G1014=0),"",(G1014-F1014)*24)</f>
        <v/>
      </c>
      <c r="I1014" s="10" t="n"/>
      <c r="J1014" s="1">
        <f>IF(OR(tblDowntime[[#This Row],[Failure Type]]="Sawshop",tblDowntime[[#This Row],[Failure Type]]="Electrical",tblDowntime[[#This Row],[Failure Type]]="Mechanical"),tblDowntime[[#This Row],[Downtime Hours]],"")</f>
        <v/>
      </c>
      <c r="K1014" s="10" t="n"/>
      <c r="L1014" s="10" t="n"/>
      <c r="M1014">
        <f>IF(tblDowntime[[#This Row],[Maintenance Downtime Hours]]="","",tblDowntime[[#This Row],[Equipment ID]])</f>
        <v/>
      </c>
      <c r="N1014" s="1">
        <f>IF(tblDowntime[[#This Row],[Failure Type]]="Production",tblDowntime[[#This Row],[Downtime Hours]],"")</f>
        <v/>
      </c>
      <c r="O1014">
        <f>IF(tblDowntime[[#This Row],[Production Downtime Hours]]="","",tblDowntime[[#This Row],[Equipment ID]])</f>
        <v/>
      </c>
      <c r="P1014" s="10" t="n"/>
    </row>
    <row r="1015">
      <c r="B1015">
        <f t="array" ref="B1015">_xlfn.XLOOKUP(C1015,INDIRECT("tblEquipment[Equipment ID]"),INDIRECT("tblEquipment[Production Department]"),"")</f>
        <v/>
      </c>
      <c r="D1015">
        <f t="array" ref="D1015">_xlfn.XLOOKUP(C1015,INDIRECT("tblEquipment[Equipment ID]"),INDIRECT("tblEquipment[Equipment Name]"),"")</f>
        <v/>
      </c>
      <c r="F1015" s="16" t="n"/>
      <c r="G1015" s="16" t="n"/>
      <c r="H1015" s="1">
        <f>IF(OR(F1015=0,G1015=0),"",(G1015-F1015)*24)</f>
        <v/>
      </c>
      <c r="I1015" s="10" t="n"/>
      <c r="J1015" s="1">
        <f>IF(OR(tblDowntime[[#This Row],[Failure Type]]="Sawshop",tblDowntime[[#This Row],[Failure Type]]="Electrical",tblDowntime[[#This Row],[Failure Type]]="Mechanical"),tblDowntime[[#This Row],[Downtime Hours]],"")</f>
        <v/>
      </c>
      <c r="K1015" s="10" t="n"/>
      <c r="L1015" s="10" t="n"/>
      <c r="M1015">
        <f>IF(tblDowntime[[#This Row],[Maintenance Downtime Hours]]="","",tblDowntime[[#This Row],[Equipment ID]])</f>
        <v/>
      </c>
      <c r="N1015" s="1">
        <f>IF(tblDowntime[[#This Row],[Failure Type]]="Production",tblDowntime[[#This Row],[Downtime Hours]],"")</f>
        <v/>
      </c>
      <c r="O1015">
        <f>IF(tblDowntime[[#This Row],[Production Downtime Hours]]="","",tblDowntime[[#This Row],[Equipment ID]])</f>
        <v/>
      </c>
      <c r="P1015" s="10" t="n"/>
    </row>
    <row r="1016">
      <c r="B1016">
        <f t="array" ref="B1016">_xlfn.XLOOKUP(C1016,INDIRECT("tblEquipment[Equipment ID]"),INDIRECT("tblEquipment[Production Department]"),"")</f>
        <v/>
      </c>
      <c r="D1016">
        <f t="array" ref="D1016">_xlfn.XLOOKUP(C1016,INDIRECT("tblEquipment[Equipment ID]"),INDIRECT("tblEquipment[Equipment Name]"),"")</f>
        <v/>
      </c>
      <c r="F1016" s="16" t="n"/>
      <c r="G1016" s="16" t="n"/>
      <c r="H1016" s="1">
        <f>IF(OR(F1016=0,G1016=0),"",(G1016-F1016)*24)</f>
        <v/>
      </c>
      <c r="I1016" s="10" t="n"/>
      <c r="J1016" s="1">
        <f>IF(OR(tblDowntime[[#This Row],[Failure Type]]="Sawshop",tblDowntime[[#This Row],[Failure Type]]="Electrical",tblDowntime[[#This Row],[Failure Type]]="Mechanical"),tblDowntime[[#This Row],[Downtime Hours]],"")</f>
        <v/>
      </c>
      <c r="K1016" s="10" t="n"/>
      <c r="L1016" s="10" t="n"/>
      <c r="M1016">
        <f>IF(tblDowntime[[#This Row],[Maintenance Downtime Hours]]="","",tblDowntime[[#This Row],[Equipment ID]])</f>
        <v/>
      </c>
      <c r="N1016" s="1">
        <f>IF(tblDowntime[[#This Row],[Failure Type]]="Production",tblDowntime[[#This Row],[Downtime Hours]],"")</f>
        <v/>
      </c>
      <c r="O1016">
        <f>IF(tblDowntime[[#This Row],[Production Downtime Hours]]="","",tblDowntime[[#This Row],[Equipment ID]])</f>
        <v/>
      </c>
      <c r="P1016" s="10" t="n"/>
    </row>
    <row r="1017">
      <c r="B1017">
        <f t="array" ref="B1017">_xlfn.XLOOKUP(C1017,INDIRECT("tblEquipment[Equipment ID]"),INDIRECT("tblEquipment[Production Department]"),"")</f>
        <v/>
      </c>
      <c r="D1017">
        <f t="array" ref="D1017">_xlfn.XLOOKUP(C1017,INDIRECT("tblEquipment[Equipment ID]"),INDIRECT("tblEquipment[Equipment Name]"),"")</f>
        <v/>
      </c>
      <c r="F1017" s="16" t="n"/>
      <c r="G1017" s="16" t="n"/>
      <c r="H1017" s="1">
        <f>IF(OR(F1017=0,G1017=0),"",(G1017-F1017)*24)</f>
        <v/>
      </c>
      <c r="I1017" s="10" t="n"/>
      <c r="J1017" s="1">
        <f>IF(OR(tblDowntime[[#This Row],[Failure Type]]="Sawshop",tblDowntime[[#This Row],[Failure Type]]="Electrical",tblDowntime[[#This Row],[Failure Type]]="Mechanical"),tblDowntime[[#This Row],[Downtime Hours]],"")</f>
        <v/>
      </c>
      <c r="K1017" s="10" t="n"/>
      <c r="L1017" s="10" t="n"/>
      <c r="M1017">
        <f>IF(tblDowntime[[#This Row],[Maintenance Downtime Hours]]="","",tblDowntime[[#This Row],[Equipment ID]])</f>
        <v/>
      </c>
      <c r="N1017" s="1">
        <f>IF(tblDowntime[[#This Row],[Failure Type]]="Production",tblDowntime[[#This Row],[Downtime Hours]],"")</f>
        <v/>
      </c>
      <c r="O1017">
        <f>IF(tblDowntime[[#This Row],[Production Downtime Hours]]="","",tblDowntime[[#This Row],[Equipment ID]])</f>
        <v/>
      </c>
      <c r="P1017" s="10" t="n"/>
    </row>
    <row r="1018">
      <c r="B1018">
        <f t="array" ref="B1018">_xlfn.XLOOKUP(C1018,INDIRECT("tblEquipment[Equipment ID]"),INDIRECT("tblEquipment[Production Department]"),"")</f>
        <v/>
      </c>
      <c r="D1018">
        <f t="array" ref="D1018">_xlfn.XLOOKUP(C1018,INDIRECT("tblEquipment[Equipment ID]"),INDIRECT("tblEquipment[Equipment Name]"),"")</f>
        <v/>
      </c>
      <c r="F1018" s="16" t="n"/>
      <c r="G1018" s="16" t="n"/>
      <c r="H1018" s="1">
        <f>IF(OR(F1018=0,G1018=0),"",(G1018-F1018)*24)</f>
        <v/>
      </c>
      <c r="I1018" s="10" t="n"/>
      <c r="J1018" s="1">
        <f>IF(OR(tblDowntime[[#This Row],[Failure Type]]="Sawshop",tblDowntime[[#This Row],[Failure Type]]="Electrical",tblDowntime[[#This Row],[Failure Type]]="Mechanical"),tblDowntime[[#This Row],[Downtime Hours]],"")</f>
        <v/>
      </c>
      <c r="K1018" s="10" t="n"/>
      <c r="L1018" s="10" t="n"/>
      <c r="M1018">
        <f>IF(tblDowntime[[#This Row],[Maintenance Downtime Hours]]="","",tblDowntime[[#This Row],[Equipment ID]])</f>
        <v/>
      </c>
      <c r="N1018" s="1">
        <f>IF(tblDowntime[[#This Row],[Failure Type]]="Production",tblDowntime[[#This Row],[Downtime Hours]],"")</f>
        <v/>
      </c>
      <c r="O1018">
        <f>IF(tblDowntime[[#This Row],[Production Downtime Hours]]="","",tblDowntime[[#This Row],[Equipment ID]])</f>
        <v/>
      </c>
      <c r="P1018" s="10" t="n"/>
    </row>
    <row r="1019">
      <c r="B1019">
        <f t="array" ref="B1019">_xlfn.XLOOKUP(C1019,INDIRECT("tblEquipment[Equipment ID]"),INDIRECT("tblEquipment[Production Department]"),"")</f>
        <v/>
      </c>
      <c r="D1019">
        <f t="array" ref="D1019">_xlfn.XLOOKUP(C1019,INDIRECT("tblEquipment[Equipment ID]"),INDIRECT("tblEquipment[Equipment Name]"),"")</f>
        <v/>
      </c>
      <c r="F1019" s="16" t="n"/>
      <c r="G1019" s="16" t="n"/>
      <c r="H1019" s="1">
        <f>IF(OR(F1019=0,G1019=0),"",(G1019-F1019)*24)</f>
        <v/>
      </c>
      <c r="I1019" s="10" t="n"/>
      <c r="J1019" s="1">
        <f>IF(OR(tblDowntime[[#This Row],[Failure Type]]="Sawshop",tblDowntime[[#This Row],[Failure Type]]="Electrical",tblDowntime[[#This Row],[Failure Type]]="Mechanical"),tblDowntime[[#This Row],[Downtime Hours]],"")</f>
        <v/>
      </c>
      <c r="K1019" s="10" t="n"/>
      <c r="L1019" s="10" t="n"/>
      <c r="M1019">
        <f>IF(tblDowntime[[#This Row],[Maintenance Downtime Hours]]="","",tblDowntime[[#This Row],[Equipment ID]])</f>
        <v/>
      </c>
      <c r="N1019" s="1">
        <f>IF(tblDowntime[[#This Row],[Failure Type]]="Production",tblDowntime[[#This Row],[Downtime Hours]],"")</f>
        <v/>
      </c>
      <c r="O1019">
        <f>IF(tblDowntime[[#This Row],[Production Downtime Hours]]="","",tblDowntime[[#This Row],[Equipment ID]])</f>
        <v/>
      </c>
      <c r="P1019" s="10" t="n"/>
    </row>
    <row r="1020">
      <c r="B1020">
        <f t="array" ref="B1020">_xlfn.XLOOKUP(C1020,INDIRECT("tblEquipment[Equipment ID]"),INDIRECT("tblEquipment[Production Department]"),"")</f>
        <v/>
      </c>
      <c r="D1020">
        <f t="array" ref="D1020">_xlfn.XLOOKUP(C1020,INDIRECT("tblEquipment[Equipment ID]"),INDIRECT("tblEquipment[Equipment Name]"),"")</f>
        <v/>
      </c>
      <c r="F1020" s="16" t="n"/>
      <c r="G1020" s="16" t="n"/>
      <c r="H1020" s="1">
        <f>IF(OR(F1020=0,G1020=0),"",(G1020-F1020)*24)</f>
        <v/>
      </c>
      <c r="I1020" s="10" t="n"/>
      <c r="J1020" s="1">
        <f>IF(OR(tblDowntime[[#This Row],[Failure Type]]="Sawshop",tblDowntime[[#This Row],[Failure Type]]="Electrical",tblDowntime[[#This Row],[Failure Type]]="Mechanical"),tblDowntime[[#This Row],[Downtime Hours]],"")</f>
        <v/>
      </c>
      <c r="K1020" s="10" t="n"/>
      <c r="L1020" s="10" t="n"/>
      <c r="M1020">
        <f>IF(tblDowntime[[#This Row],[Maintenance Downtime Hours]]="","",tblDowntime[[#This Row],[Equipment ID]])</f>
        <v/>
      </c>
      <c r="N1020" s="1">
        <f>IF(tblDowntime[[#This Row],[Failure Type]]="Production",tblDowntime[[#This Row],[Downtime Hours]],"")</f>
        <v/>
      </c>
      <c r="O1020">
        <f>IF(tblDowntime[[#This Row],[Production Downtime Hours]]="","",tblDowntime[[#This Row],[Equipment ID]])</f>
        <v/>
      </c>
      <c r="P1020" s="10" t="n"/>
    </row>
    <row r="1021">
      <c r="B1021">
        <f t="array" ref="B1021">_xlfn.XLOOKUP(C1021,INDIRECT("tblEquipment[Equipment ID]"),INDIRECT("tblEquipment[Production Department]"),"")</f>
        <v/>
      </c>
      <c r="D1021">
        <f t="array" ref="D1021">_xlfn.XLOOKUP(C1021,INDIRECT("tblEquipment[Equipment ID]"),INDIRECT("tblEquipment[Equipment Name]"),"")</f>
        <v/>
      </c>
      <c r="F1021" s="16" t="n"/>
      <c r="G1021" s="16" t="n"/>
      <c r="H1021" s="1">
        <f>IF(OR(F1021=0,G1021=0),"",(G1021-F1021)*24)</f>
        <v/>
      </c>
      <c r="I1021" s="10" t="n"/>
      <c r="J1021" s="1">
        <f>IF(OR(tblDowntime[[#This Row],[Failure Type]]="Sawshop",tblDowntime[[#This Row],[Failure Type]]="Electrical",tblDowntime[[#This Row],[Failure Type]]="Mechanical"),tblDowntime[[#This Row],[Downtime Hours]],"")</f>
        <v/>
      </c>
      <c r="K1021" s="10" t="n"/>
      <c r="L1021" s="10" t="n"/>
      <c r="M1021">
        <f>IF(tblDowntime[[#This Row],[Maintenance Downtime Hours]]="","",tblDowntime[[#This Row],[Equipment ID]])</f>
        <v/>
      </c>
      <c r="N1021" s="1">
        <f>IF(tblDowntime[[#This Row],[Failure Type]]="Production",tblDowntime[[#This Row],[Downtime Hours]],"")</f>
        <v/>
      </c>
      <c r="O1021">
        <f>IF(tblDowntime[[#This Row],[Production Downtime Hours]]="","",tblDowntime[[#This Row],[Equipment ID]])</f>
        <v/>
      </c>
      <c r="P1021" s="10" t="n"/>
    </row>
    <row r="1022">
      <c r="B1022">
        <f t="array" ref="B1022">_xlfn.XLOOKUP(C1022,INDIRECT("tblEquipment[Equipment ID]"),INDIRECT("tblEquipment[Production Department]"),"")</f>
        <v/>
      </c>
      <c r="D1022">
        <f t="array" ref="D1022">_xlfn.XLOOKUP(C1022,INDIRECT("tblEquipment[Equipment ID]"),INDIRECT("tblEquipment[Equipment Name]"),"")</f>
        <v/>
      </c>
      <c r="F1022" s="16" t="n"/>
      <c r="G1022" s="16" t="n"/>
      <c r="H1022" s="1">
        <f>IF(OR(F1022=0,G1022=0),"",(G1022-F1022)*24)</f>
        <v/>
      </c>
      <c r="I1022" s="10" t="n"/>
      <c r="J1022" s="1">
        <f>IF(OR(tblDowntime[[#This Row],[Failure Type]]="Sawshop",tblDowntime[[#This Row],[Failure Type]]="Electrical",tblDowntime[[#This Row],[Failure Type]]="Mechanical"),tblDowntime[[#This Row],[Downtime Hours]],"")</f>
        <v/>
      </c>
      <c r="K1022" s="10" t="n"/>
      <c r="L1022" s="10" t="n"/>
      <c r="M1022">
        <f>IF(tblDowntime[[#This Row],[Maintenance Downtime Hours]]="","",tblDowntime[[#This Row],[Equipment ID]])</f>
        <v/>
      </c>
      <c r="N1022" s="1">
        <f>IF(tblDowntime[[#This Row],[Failure Type]]="Production",tblDowntime[[#This Row],[Downtime Hours]],"")</f>
        <v/>
      </c>
      <c r="O1022">
        <f>IF(tblDowntime[[#This Row],[Production Downtime Hours]]="","",tblDowntime[[#This Row],[Equipment ID]])</f>
        <v/>
      </c>
      <c r="P1022" s="10" t="n"/>
    </row>
    <row r="1023">
      <c r="B1023">
        <f t="array" ref="B1023">_xlfn.XLOOKUP(C1023,INDIRECT("tblEquipment[Equipment ID]"),INDIRECT("tblEquipment[Production Department]"),"")</f>
        <v/>
      </c>
      <c r="D1023">
        <f t="array" ref="D1023">_xlfn.XLOOKUP(C1023,INDIRECT("tblEquipment[Equipment ID]"),INDIRECT("tblEquipment[Equipment Name]"),"")</f>
        <v/>
      </c>
      <c r="F1023" s="16" t="n"/>
      <c r="G1023" s="16" t="n"/>
      <c r="H1023" s="1">
        <f>IF(OR(F1023=0,G1023=0),"",(G1023-F1023)*24)</f>
        <v/>
      </c>
      <c r="I1023" s="10" t="n"/>
      <c r="J1023" s="1">
        <f>IF(OR(tblDowntime[[#This Row],[Failure Type]]="Sawshop",tblDowntime[[#This Row],[Failure Type]]="Electrical",tblDowntime[[#This Row],[Failure Type]]="Mechanical"),tblDowntime[[#This Row],[Downtime Hours]],"")</f>
        <v/>
      </c>
      <c r="K1023" s="10" t="n"/>
      <c r="L1023" s="10" t="n"/>
      <c r="M1023">
        <f>IF(tblDowntime[[#This Row],[Maintenance Downtime Hours]]="","",tblDowntime[[#This Row],[Equipment ID]])</f>
        <v/>
      </c>
      <c r="N1023" s="1">
        <f>IF(tblDowntime[[#This Row],[Failure Type]]="Production",tblDowntime[[#This Row],[Downtime Hours]],"")</f>
        <v/>
      </c>
      <c r="O1023">
        <f>IF(tblDowntime[[#This Row],[Production Downtime Hours]]="","",tblDowntime[[#This Row],[Equipment ID]])</f>
        <v/>
      </c>
      <c r="P1023" s="10" t="n"/>
    </row>
    <row r="1024">
      <c r="B1024">
        <f t="array" ref="B1024">_xlfn.XLOOKUP(C1024,INDIRECT("tblEquipment[Equipment ID]"),INDIRECT("tblEquipment[Production Department]"),"")</f>
        <v/>
      </c>
      <c r="D1024">
        <f t="array" ref="D1024">_xlfn.XLOOKUP(C1024,INDIRECT("tblEquipment[Equipment ID]"),INDIRECT("tblEquipment[Equipment Name]"),"")</f>
        <v/>
      </c>
      <c r="F1024" s="16" t="n"/>
      <c r="G1024" s="16" t="n"/>
      <c r="H1024" s="1">
        <f>IF(OR(F1024=0,G1024=0),"",(G1024-F1024)*24)</f>
        <v/>
      </c>
      <c r="I1024" s="10" t="n"/>
      <c r="J1024" s="1">
        <f>IF(OR(tblDowntime[[#This Row],[Failure Type]]="Sawshop",tblDowntime[[#This Row],[Failure Type]]="Electrical",tblDowntime[[#This Row],[Failure Type]]="Mechanical"),tblDowntime[[#This Row],[Downtime Hours]],"")</f>
        <v/>
      </c>
      <c r="K1024" s="10" t="n"/>
      <c r="L1024" s="10" t="n"/>
      <c r="M1024">
        <f>IF(tblDowntime[[#This Row],[Maintenance Downtime Hours]]="","",tblDowntime[[#This Row],[Equipment ID]])</f>
        <v/>
      </c>
      <c r="N1024" s="1">
        <f>IF(tblDowntime[[#This Row],[Failure Type]]="Production",tblDowntime[[#This Row],[Downtime Hours]],"")</f>
        <v/>
      </c>
      <c r="O1024">
        <f>IF(tblDowntime[[#This Row],[Production Downtime Hours]]="","",tblDowntime[[#This Row],[Equipment ID]])</f>
        <v/>
      </c>
      <c r="P1024" s="10" t="n"/>
    </row>
    <row r="1025">
      <c r="B1025">
        <f t="array" ref="B1025">_xlfn.XLOOKUP(C1025,INDIRECT("tblEquipment[Equipment ID]"),INDIRECT("tblEquipment[Production Department]"),"")</f>
        <v/>
      </c>
      <c r="D1025">
        <f t="array" ref="D1025">_xlfn.XLOOKUP(C1025,INDIRECT("tblEquipment[Equipment ID]"),INDIRECT("tblEquipment[Equipment Name]"),"")</f>
        <v/>
      </c>
      <c r="F1025" s="16" t="n"/>
      <c r="G1025" s="16" t="n"/>
      <c r="H1025" s="1">
        <f>IF(OR(F1025=0,G1025=0),"",(G1025-F1025)*24)</f>
        <v/>
      </c>
      <c r="I1025" s="10" t="n"/>
      <c r="J1025" s="1">
        <f>IF(OR(tblDowntime[[#This Row],[Failure Type]]="Sawshop",tblDowntime[[#This Row],[Failure Type]]="Electrical",tblDowntime[[#This Row],[Failure Type]]="Mechanical"),tblDowntime[[#This Row],[Downtime Hours]],"")</f>
        <v/>
      </c>
      <c r="K1025" s="10" t="n"/>
      <c r="L1025" s="10" t="n"/>
      <c r="M1025">
        <f>IF(tblDowntime[[#This Row],[Maintenance Downtime Hours]]="","",tblDowntime[[#This Row],[Equipment ID]])</f>
        <v/>
      </c>
      <c r="N1025" s="1">
        <f>IF(tblDowntime[[#This Row],[Failure Type]]="Production",tblDowntime[[#This Row],[Downtime Hours]],"")</f>
        <v/>
      </c>
      <c r="O1025">
        <f>IF(tblDowntime[[#This Row],[Production Downtime Hours]]="","",tblDowntime[[#This Row],[Equipment ID]])</f>
        <v/>
      </c>
      <c r="P1025" s="10" t="n"/>
    </row>
    <row r="1026">
      <c r="B1026">
        <f t="array" ref="B1026">_xlfn.XLOOKUP(C1026,INDIRECT("tblEquipment[Equipment ID]"),INDIRECT("tblEquipment[Production Department]"),"")</f>
        <v/>
      </c>
      <c r="D1026">
        <f t="array" ref="D1026">_xlfn.XLOOKUP(C1026,INDIRECT("tblEquipment[Equipment ID]"),INDIRECT("tblEquipment[Equipment Name]"),"")</f>
        <v/>
      </c>
      <c r="F1026" s="16" t="n"/>
      <c r="G1026" s="16" t="n"/>
      <c r="H1026" s="1">
        <f>IF(OR(F1026=0,G1026=0),"",(G1026-F1026)*24)</f>
        <v/>
      </c>
      <c r="I1026" s="10" t="n"/>
      <c r="J1026" s="1">
        <f>IF(OR(tblDowntime[[#This Row],[Failure Type]]="Sawshop",tblDowntime[[#This Row],[Failure Type]]="Electrical",tblDowntime[[#This Row],[Failure Type]]="Mechanical"),tblDowntime[[#This Row],[Downtime Hours]],"")</f>
        <v/>
      </c>
      <c r="K1026" s="10" t="n"/>
      <c r="L1026" s="10" t="n"/>
      <c r="M1026">
        <f>IF(tblDowntime[[#This Row],[Maintenance Downtime Hours]]="","",tblDowntime[[#This Row],[Equipment ID]])</f>
        <v/>
      </c>
      <c r="N1026" s="1">
        <f>IF(tblDowntime[[#This Row],[Failure Type]]="Production",tblDowntime[[#This Row],[Downtime Hours]],"")</f>
        <v/>
      </c>
      <c r="O1026">
        <f>IF(tblDowntime[[#This Row],[Production Downtime Hours]]="","",tblDowntime[[#This Row],[Equipment ID]])</f>
        <v/>
      </c>
      <c r="P1026" s="10" t="n"/>
    </row>
    <row r="1027">
      <c r="B1027">
        <f t="array" ref="B1027">_xlfn.XLOOKUP(C1027,INDIRECT("tblEquipment[Equipment ID]"),INDIRECT("tblEquipment[Production Department]"),"")</f>
        <v/>
      </c>
      <c r="D1027">
        <f t="array" ref="D1027">_xlfn.XLOOKUP(C1027,INDIRECT("tblEquipment[Equipment ID]"),INDIRECT("tblEquipment[Equipment Name]"),"")</f>
        <v/>
      </c>
      <c r="F1027" s="16" t="n"/>
      <c r="G1027" s="16" t="n"/>
      <c r="H1027" s="1">
        <f>IF(OR(F1027=0,G1027=0),"",(G1027-F1027)*24)</f>
        <v/>
      </c>
      <c r="I1027" s="10" t="n"/>
      <c r="J1027" s="1">
        <f>IF(OR(tblDowntime[[#This Row],[Failure Type]]="Sawshop",tblDowntime[[#This Row],[Failure Type]]="Electrical",tblDowntime[[#This Row],[Failure Type]]="Mechanical"),tblDowntime[[#This Row],[Downtime Hours]],"")</f>
        <v/>
      </c>
      <c r="K1027" s="10" t="n"/>
      <c r="L1027" s="10" t="n"/>
      <c r="M1027">
        <f>IF(tblDowntime[[#This Row],[Maintenance Downtime Hours]]="","",tblDowntime[[#This Row],[Equipment ID]])</f>
        <v/>
      </c>
      <c r="N1027" s="1">
        <f>IF(tblDowntime[[#This Row],[Failure Type]]="Production",tblDowntime[[#This Row],[Downtime Hours]],"")</f>
        <v/>
      </c>
      <c r="O1027">
        <f>IF(tblDowntime[[#This Row],[Production Downtime Hours]]="","",tblDowntime[[#This Row],[Equipment ID]])</f>
        <v/>
      </c>
      <c r="P1027" s="10" t="n"/>
    </row>
    <row r="1028">
      <c r="B1028">
        <f t="array" ref="B1028">_xlfn.XLOOKUP(C1028,INDIRECT("tblEquipment[Equipment ID]"),INDIRECT("tblEquipment[Production Department]"),"")</f>
        <v/>
      </c>
      <c r="D1028">
        <f t="array" ref="D1028">_xlfn.XLOOKUP(C1028,INDIRECT("tblEquipment[Equipment ID]"),INDIRECT("tblEquipment[Equipment Name]"),"")</f>
        <v/>
      </c>
      <c r="F1028" s="16" t="n"/>
      <c r="G1028" s="16" t="n"/>
      <c r="H1028" s="1">
        <f>IF(OR(F1028=0,G1028=0),"",(G1028-F1028)*24)</f>
        <v/>
      </c>
      <c r="I1028" s="10" t="n"/>
      <c r="J1028" s="1">
        <f>IF(OR(tblDowntime[[#This Row],[Failure Type]]="Sawshop",tblDowntime[[#This Row],[Failure Type]]="Electrical",tblDowntime[[#This Row],[Failure Type]]="Mechanical"),tblDowntime[[#This Row],[Downtime Hours]],"")</f>
        <v/>
      </c>
      <c r="K1028" s="10" t="n"/>
      <c r="L1028" s="10" t="n"/>
      <c r="M1028">
        <f>IF(tblDowntime[[#This Row],[Maintenance Downtime Hours]]="","",tblDowntime[[#This Row],[Equipment ID]])</f>
        <v/>
      </c>
      <c r="N1028" s="1">
        <f>IF(tblDowntime[[#This Row],[Failure Type]]="Production",tblDowntime[[#This Row],[Downtime Hours]],"")</f>
        <v/>
      </c>
      <c r="O1028">
        <f>IF(tblDowntime[[#This Row],[Production Downtime Hours]]="","",tblDowntime[[#This Row],[Equipment ID]])</f>
        <v/>
      </c>
      <c r="P1028" s="10" t="n"/>
    </row>
    <row r="1029">
      <c r="B1029">
        <f t="array" ref="B1029">_xlfn.XLOOKUP(C1029,INDIRECT("tblEquipment[Equipment ID]"),INDIRECT("tblEquipment[Production Department]"),"")</f>
        <v/>
      </c>
      <c r="D1029">
        <f t="array" ref="D1029">_xlfn.XLOOKUP(C1029,INDIRECT("tblEquipment[Equipment ID]"),INDIRECT("tblEquipment[Equipment Name]"),"")</f>
        <v/>
      </c>
      <c r="F1029" s="16" t="n"/>
      <c r="G1029" s="16" t="n"/>
      <c r="H1029" s="1">
        <f>IF(OR(F1029=0,G1029=0),"",(G1029-F1029)*24)</f>
        <v/>
      </c>
      <c r="I1029" s="10" t="n"/>
      <c r="J1029" s="1">
        <f>IF(OR(tblDowntime[[#This Row],[Failure Type]]="Sawshop",tblDowntime[[#This Row],[Failure Type]]="Electrical",tblDowntime[[#This Row],[Failure Type]]="Mechanical"),tblDowntime[[#This Row],[Downtime Hours]],"")</f>
        <v/>
      </c>
      <c r="K1029" s="10" t="n"/>
      <c r="L1029" s="10" t="n"/>
      <c r="M1029">
        <f>IF(tblDowntime[[#This Row],[Maintenance Downtime Hours]]="","",tblDowntime[[#This Row],[Equipment ID]])</f>
        <v/>
      </c>
      <c r="N1029" s="1">
        <f>IF(tblDowntime[[#This Row],[Failure Type]]="Production",tblDowntime[[#This Row],[Downtime Hours]],"")</f>
        <v/>
      </c>
      <c r="O1029">
        <f>IF(tblDowntime[[#This Row],[Production Downtime Hours]]="","",tblDowntime[[#This Row],[Equipment ID]])</f>
        <v/>
      </c>
      <c r="P1029" s="10" t="n"/>
    </row>
    <row r="1030">
      <c r="B1030">
        <f t="array" ref="B1030">_xlfn.XLOOKUP(C1030,INDIRECT("tblEquipment[Equipment ID]"),INDIRECT("tblEquipment[Production Department]"),"")</f>
        <v/>
      </c>
      <c r="D1030">
        <f t="array" ref="D1030">_xlfn.XLOOKUP(C1030,INDIRECT("tblEquipment[Equipment ID]"),INDIRECT("tblEquipment[Equipment Name]"),"")</f>
        <v/>
      </c>
      <c r="F1030" s="16" t="n"/>
      <c r="G1030" s="16" t="n"/>
      <c r="H1030" s="1">
        <f>IF(OR(F1030=0,G1030=0),"",(G1030-F1030)*24)</f>
        <v/>
      </c>
      <c r="I1030" s="10" t="n"/>
      <c r="J1030" s="1">
        <f>IF(OR(tblDowntime[[#This Row],[Failure Type]]="Sawshop",tblDowntime[[#This Row],[Failure Type]]="Electrical",tblDowntime[[#This Row],[Failure Type]]="Mechanical"),tblDowntime[[#This Row],[Downtime Hours]],"")</f>
        <v/>
      </c>
      <c r="K1030" s="10" t="n"/>
      <c r="L1030" s="10" t="n"/>
      <c r="M1030">
        <f>IF(tblDowntime[[#This Row],[Maintenance Downtime Hours]]="","",tblDowntime[[#This Row],[Equipment ID]])</f>
        <v/>
      </c>
      <c r="N1030" s="1">
        <f>IF(tblDowntime[[#This Row],[Failure Type]]="Production",tblDowntime[[#This Row],[Downtime Hours]],"")</f>
        <v/>
      </c>
      <c r="O1030">
        <f>IF(tblDowntime[[#This Row],[Production Downtime Hours]]="","",tblDowntime[[#This Row],[Equipment ID]])</f>
        <v/>
      </c>
      <c r="P1030" s="10" t="n"/>
    </row>
    <row r="1031">
      <c r="B1031">
        <f t="array" ref="B1031">_xlfn.XLOOKUP(C1031,INDIRECT("tblEquipment[Equipment ID]"),INDIRECT("tblEquipment[Production Department]"),"")</f>
        <v/>
      </c>
      <c r="D1031">
        <f t="array" ref="D1031">_xlfn.XLOOKUP(C1031,INDIRECT("tblEquipment[Equipment ID]"),INDIRECT("tblEquipment[Equipment Name]"),"")</f>
        <v/>
      </c>
      <c r="F1031" s="16" t="n"/>
      <c r="G1031" s="16" t="n"/>
      <c r="H1031" s="1">
        <f>IF(OR(F1031=0,G1031=0),"",(G1031-F1031)*24)</f>
        <v/>
      </c>
      <c r="I1031" s="10" t="n"/>
      <c r="J1031" s="1">
        <f>IF(OR(tblDowntime[[#This Row],[Failure Type]]="Sawshop",tblDowntime[[#This Row],[Failure Type]]="Electrical",tblDowntime[[#This Row],[Failure Type]]="Mechanical"),tblDowntime[[#This Row],[Downtime Hours]],"")</f>
        <v/>
      </c>
      <c r="K1031" s="10" t="n"/>
      <c r="L1031" s="10" t="n"/>
      <c r="M1031">
        <f>IF(tblDowntime[[#This Row],[Maintenance Downtime Hours]]="","",tblDowntime[[#This Row],[Equipment ID]])</f>
        <v/>
      </c>
      <c r="N1031" s="1">
        <f>IF(tblDowntime[[#This Row],[Failure Type]]="Production",tblDowntime[[#This Row],[Downtime Hours]],"")</f>
        <v/>
      </c>
      <c r="O1031">
        <f>IF(tblDowntime[[#This Row],[Production Downtime Hours]]="","",tblDowntime[[#This Row],[Equipment ID]])</f>
        <v/>
      </c>
      <c r="P1031" s="10" t="n"/>
    </row>
    <row r="1032">
      <c r="B1032">
        <f t="array" ref="B1032">_xlfn.XLOOKUP(C1032,INDIRECT("tblEquipment[Equipment ID]"),INDIRECT("tblEquipment[Production Department]"),"")</f>
        <v/>
      </c>
      <c r="D1032">
        <f t="array" ref="D1032">_xlfn.XLOOKUP(C1032,INDIRECT("tblEquipment[Equipment ID]"),INDIRECT("tblEquipment[Equipment Name]"),"")</f>
        <v/>
      </c>
      <c r="F1032" s="16" t="n"/>
      <c r="G1032" s="16" t="n"/>
      <c r="H1032" s="1">
        <f>IF(OR(F1032=0,G1032=0),"",(G1032-F1032)*24)</f>
        <v/>
      </c>
      <c r="I1032" s="10" t="n"/>
      <c r="J1032" s="1">
        <f>IF(OR(tblDowntime[[#This Row],[Failure Type]]="Sawshop",tblDowntime[[#This Row],[Failure Type]]="Electrical",tblDowntime[[#This Row],[Failure Type]]="Mechanical"),tblDowntime[[#This Row],[Downtime Hours]],"")</f>
        <v/>
      </c>
      <c r="K1032" s="10" t="n"/>
      <c r="L1032" s="10" t="n"/>
      <c r="M1032">
        <f>IF(tblDowntime[[#This Row],[Maintenance Downtime Hours]]="","",tblDowntime[[#This Row],[Equipment ID]])</f>
        <v/>
      </c>
      <c r="N1032" s="1">
        <f>IF(tblDowntime[[#This Row],[Failure Type]]="Production",tblDowntime[[#This Row],[Downtime Hours]],"")</f>
        <v/>
      </c>
      <c r="O1032">
        <f>IF(tblDowntime[[#This Row],[Production Downtime Hours]]="","",tblDowntime[[#This Row],[Equipment ID]])</f>
        <v/>
      </c>
      <c r="P1032" s="10" t="n"/>
    </row>
    <row r="1033">
      <c r="B1033">
        <f t="array" ref="B1033">_xlfn.XLOOKUP(C1033,INDIRECT("tblEquipment[Equipment ID]"),INDIRECT("tblEquipment[Production Department]"),"")</f>
        <v/>
      </c>
      <c r="D1033">
        <f t="array" ref="D1033">_xlfn.XLOOKUP(C1033,INDIRECT("tblEquipment[Equipment ID]"),INDIRECT("tblEquipment[Equipment Name]"),"")</f>
        <v/>
      </c>
      <c r="F1033" s="16" t="n"/>
      <c r="G1033" s="16" t="n"/>
      <c r="H1033" s="1">
        <f>IF(OR(F1033=0,G1033=0),"",(G1033-F1033)*24)</f>
        <v/>
      </c>
      <c r="I1033" s="10" t="n"/>
      <c r="J1033" s="1">
        <f>IF(OR(tblDowntime[[#This Row],[Failure Type]]="Sawshop",tblDowntime[[#This Row],[Failure Type]]="Electrical",tblDowntime[[#This Row],[Failure Type]]="Mechanical"),tblDowntime[[#This Row],[Downtime Hours]],"")</f>
        <v/>
      </c>
      <c r="K1033" s="10" t="n"/>
      <c r="L1033" s="10" t="n"/>
      <c r="M1033">
        <f>IF(tblDowntime[[#This Row],[Maintenance Downtime Hours]]="","",tblDowntime[[#This Row],[Equipment ID]])</f>
        <v/>
      </c>
      <c r="N1033" s="1">
        <f>IF(tblDowntime[[#This Row],[Failure Type]]="Production",tblDowntime[[#This Row],[Downtime Hours]],"")</f>
        <v/>
      </c>
      <c r="O1033">
        <f>IF(tblDowntime[[#This Row],[Production Downtime Hours]]="","",tblDowntime[[#This Row],[Equipment ID]])</f>
        <v/>
      </c>
      <c r="P1033" s="10" t="n"/>
    </row>
    <row r="1034">
      <c r="B1034">
        <f t="array" ref="B1034">_xlfn.XLOOKUP(C1034,INDIRECT("tblEquipment[Equipment ID]"),INDIRECT("tblEquipment[Production Department]"),"")</f>
        <v/>
      </c>
      <c r="D1034">
        <f t="array" ref="D1034">_xlfn.XLOOKUP(C1034,INDIRECT("tblEquipment[Equipment ID]"),INDIRECT("tblEquipment[Equipment Name]"),"")</f>
        <v/>
      </c>
      <c r="F1034" s="16" t="n"/>
      <c r="G1034" s="16" t="n"/>
      <c r="H1034" s="1">
        <f>IF(OR(F1034=0,G1034=0),"",(G1034-F1034)*24)</f>
        <v/>
      </c>
      <c r="I1034" s="10" t="n"/>
      <c r="J1034" s="1">
        <f>IF(OR(tblDowntime[[#This Row],[Failure Type]]="Sawshop",tblDowntime[[#This Row],[Failure Type]]="Electrical",tblDowntime[[#This Row],[Failure Type]]="Mechanical"),tblDowntime[[#This Row],[Downtime Hours]],"")</f>
        <v/>
      </c>
      <c r="K1034" s="10" t="n"/>
      <c r="L1034" s="10" t="n"/>
      <c r="M1034">
        <f>IF(tblDowntime[[#This Row],[Maintenance Downtime Hours]]="","",tblDowntime[[#This Row],[Equipment ID]])</f>
        <v/>
      </c>
      <c r="N1034" s="1">
        <f>IF(tblDowntime[[#This Row],[Failure Type]]="Production",tblDowntime[[#This Row],[Downtime Hours]],"")</f>
        <v/>
      </c>
      <c r="O1034">
        <f>IF(tblDowntime[[#This Row],[Production Downtime Hours]]="","",tblDowntime[[#This Row],[Equipment ID]])</f>
        <v/>
      </c>
      <c r="P1034" s="10" t="n"/>
    </row>
    <row r="1035">
      <c r="B1035">
        <f t="array" ref="B1035">_xlfn.XLOOKUP(C1035,INDIRECT("tblEquipment[Equipment ID]"),INDIRECT("tblEquipment[Production Department]"),"")</f>
        <v/>
      </c>
      <c r="D1035">
        <f t="array" ref="D1035">_xlfn.XLOOKUP(C1035,INDIRECT("tblEquipment[Equipment ID]"),INDIRECT("tblEquipment[Equipment Name]"),"")</f>
        <v/>
      </c>
      <c r="F1035" s="16" t="n"/>
      <c r="G1035" s="16" t="n"/>
      <c r="H1035" s="1">
        <f>IF(OR(F1035=0,G1035=0),"",(G1035-F1035)*24)</f>
        <v/>
      </c>
      <c r="I1035" s="10" t="n"/>
      <c r="J1035" s="1">
        <f>IF(OR(tblDowntime[[#This Row],[Failure Type]]="Sawshop",tblDowntime[[#This Row],[Failure Type]]="Electrical",tblDowntime[[#This Row],[Failure Type]]="Mechanical"),tblDowntime[[#This Row],[Downtime Hours]],"")</f>
        <v/>
      </c>
      <c r="K1035" s="10" t="n"/>
      <c r="L1035" s="10" t="n"/>
      <c r="M1035">
        <f>IF(tblDowntime[[#This Row],[Maintenance Downtime Hours]]="","",tblDowntime[[#This Row],[Equipment ID]])</f>
        <v/>
      </c>
      <c r="N1035" s="1">
        <f>IF(tblDowntime[[#This Row],[Failure Type]]="Production",tblDowntime[[#This Row],[Downtime Hours]],"")</f>
        <v/>
      </c>
      <c r="O1035">
        <f>IF(tblDowntime[[#This Row],[Production Downtime Hours]]="","",tblDowntime[[#This Row],[Equipment ID]])</f>
        <v/>
      </c>
      <c r="P1035" s="10" t="n"/>
    </row>
    <row r="1036">
      <c r="B1036">
        <f t="array" ref="B1036">_xlfn.XLOOKUP(C1036,INDIRECT("tblEquipment[Equipment ID]"),INDIRECT("tblEquipment[Production Department]"),"")</f>
        <v/>
      </c>
      <c r="D1036">
        <f t="array" ref="D1036">_xlfn.XLOOKUP(C1036,INDIRECT("tblEquipment[Equipment ID]"),INDIRECT("tblEquipment[Equipment Name]"),"")</f>
        <v/>
      </c>
      <c r="F1036" s="16" t="n"/>
      <c r="G1036" s="16" t="n"/>
      <c r="H1036" s="1">
        <f>IF(OR(F1036=0,G1036=0),"",(G1036-F1036)*24)</f>
        <v/>
      </c>
      <c r="I1036" s="10" t="n"/>
      <c r="J1036" s="1">
        <f>IF(OR(tblDowntime[[#This Row],[Failure Type]]="Sawshop",tblDowntime[[#This Row],[Failure Type]]="Electrical",tblDowntime[[#This Row],[Failure Type]]="Mechanical"),tblDowntime[[#This Row],[Downtime Hours]],"")</f>
        <v/>
      </c>
      <c r="K1036" s="10" t="n"/>
      <c r="L1036" s="10" t="n"/>
      <c r="M1036">
        <f>IF(tblDowntime[[#This Row],[Maintenance Downtime Hours]]="","",tblDowntime[[#This Row],[Equipment ID]])</f>
        <v/>
      </c>
      <c r="N1036" s="1">
        <f>IF(tblDowntime[[#This Row],[Failure Type]]="Production",tblDowntime[[#This Row],[Downtime Hours]],"")</f>
        <v/>
      </c>
      <c r="O1036">
        <f>IF(tblDowntime[[#This Row],[Production Downtime Hours]]="","",tblDowntime[[#This Row],[Equipment ID]])</f>
        <v/>
      </c>
      <c r="P1036" s="10" t="n"/>
    </row>
    <row r="1037">
      <c r="B1037">
        <f t="array" ref="B1037">_xlfn.XLOOKUP(C1037,INDIRECT("tblEquipment[Equipment ID]"),INDIRECT("tblEquipment[Production Department]"),"")</f>
        <v/>
      </c>
      <c r="D1037">
        <f t="array" ref="D1037">_xlfn.XLOOKUP(C1037,INDIRECT("tblEquipment[Equipment ID]"),INDIRECT("tblEquipment[Equipment Name]"),"")</f>
        <v/>
      </c>
      <c r="F1037" s="16" t="n"/>
      <c r="G1037" s="16" t="n"/>
      <c r="H1037" s="1">
        <f>IF(OR(F1037=0,G1037=0),"",(G1037-F1037)*24)</f>
        <v/>
      </c>
      <c r="I1037" s="10" t="n"/>
      <c r="J1037" s="1">
        <f>IF(OR(tblDowntime[[#This Row],[Failure Type]]="Sawshop",tblDowntime[[#This Row],[Failure Type]]="Electrical",tblDowntime[[#This Row],[Failure Type]]="Mechanical"),tblDowntime[[#This Row],[Downtime Hours]],"")</f>
        <v/>
      </c>
      <c r="K1037" s="10" t="n"/>
      <c r="L1037" s="10" t="n"/>
      <c r="M1037">
        <f>IF(tblDowntime[[#This Row],[Maintenance Downtime Hours]]="","",tblDowntime[[#This Row],[Equipment ID]])</f>
        <v/>
      </c>
      <c r="N1037" s="1">
        <f>IF(tblDowntime[[#This Row],[Failure Type]]="Production",tblDowntime[[#This Row],[Downtime Hours]],"")</f>
        <v/>
      </c>
      <c r="O1037">
        <f>IF(tblDowntime[[#This Row],[Production Downtime Hours]]="","",tblDowntime[[#This Row],[Equipment ID]])</f>
        <v/>
      </c>
      <c r="P1037" s="10" t="n"/>
    </row>
    <row r="1038">
      <c r="B1038">
        <f t="array" ref="B1038">_xlfn.XLOOKUP(C1038,INDIRECT("tblEquipment[Equipment ID]"),INDIRECT("tblEquipment[Production Department]"),"")</f>
        <v/>
      </c>
      <c r="D1038">
        <f t="array" ref="D1038">_xlfn.XLOOKUP(C1038,INDIRECT("tblEquipment[Equipment ID]"),INDIRECT("tblEquipment[Equipment Name]"),"")</f>
        <v/>
      </c>
      <c r="F1038" s="16" t="n"/>
      <c r="G1038" s="16" t="n"/>
      <c r="H1038" s="1">
        <f>IF(OR(F1038=0,G1038=0),"",(G1038-F1038)*24)</f>
        <v/>
      </c>
      <c r="I1038" s="10" t="n"/>
      <c r="J1038" s="1">
        <f>IF(OR(tblDowntime[[#This Row],[Failure Type]]="Sawshop",tblDowntime[[#This Row],[Failure Type]]="Electrical",tblDowntime[[#This Row],[Failure Type]]="Mechanical"),tblDowntime[[#This Row],[Downtime Hours]],"")</f>
        <v/>
      </c>
      <c r="K1038" s="10" t="n"/>
      <c r="L1038" s="10" t="n"/>
      <c r="M1038">
        <f>IF(tblDowntime[[#This Row],[Maintenance Downtime Hours]]="","",tblDowntime[[#This Row],[Equipment ID]])</f>
        <v/>
      </c>
      <c r="N1038" s="1">
        <f>IF(tblDowntime[[#This Row],[Failure Type]]="Production",tblDowntime[[#This Row],[Downtime Hours]],"")</f>
        <v/>
      </c>
      <c r="O1038">
        <f>IF(tblDowntime[[#This Row],[Production Downtime Hours]]="","",tblDowntime[[#This Row],[Equipment ID]])</f>
        <v/>
      </c>
      <c r="P1038" s="10" t="n"/>
    </row>
    <row r="1039">
      <c r="B1039">
        <f t="array" ref="B1039">_xlfn.XLOOKUP(C1039,INDIRECT("tblEquipment[Equipment ID]"),INDIRECT("tblEquipment[Production Department]"),"")</f>
        <v/>
      </c>
      <c r="D1039">
        <f t="array" ref="D1039">_xlfn.XLOOKUP(C1039,INDIRECT("tblEquipment[Equipment ID]"),INDIRECT("tblEquipment[Equipment Name]"),"")</f>
        <v/>
      </c>
      <c r="F1039" s="16" t="n"/>
      <c r="G1039" s="16" t="n"/>
      <c r="H1039" s="1">
        <f>IF(OR(F1039=0,G1039=0),"",(G1039-F1039)*24)</f>
        <v/>
      </c>
      <c r="I1039" s="10" t="n"/>
      <c r="J1039" s="1">
        <f>IF(OR(tblDowntime[[#This Row],[Failure Type]]="Sawshop",tblDowntime[[#This Row],[Failure Type]]="Electrical",tblDowntime[[#This Row],[Failure Type]]="Mechanical"),tblDowntime[[#This Row],[Downtime Hours]],"")</f>
        <v/>
      </c>
      <c r="K1039" s="10" t="n"/>
      <c r="L1039" s="10" t="n"/>
      <c r="M1039">
        <f>IF(tblDowntime[[#This Row],[Maintenance Downtime Hours]]="","",tblDowntime[[#This Row],[Equipment ID]])</f>
        <v/>
      </c>
      <c r="N1039" s="1">
        <f>IF(tblDowntime[[#This Row],[Failure Type]]="Production",tblDowntime[[#This Row],[Downtime Hours]],"")</f>
        <v/>
      </c>
      <c r="O1039">
        <f>IF(tblDowntime[[#This Row],[Production Downtime Hours]]="","",tblDowntime[[#This Row],[Equipment ID]])</f>
        <v/>
      </c>
      <c r="P1039" s="10" t="n"/>
    </row>
    <row r="1040">
      <c r="B1040">
        <f t="array" ref="B1040">_xlfn.XLOOKUP(C1040,INDIRECT("tblEquipment[Equipment ID]"),INDIRECT("tblEquipment[Production Department]"),"")</f>
        <v/>
      </c>
      <c r="D1040">
        <f t="array" ref="D1040">_xlfn.XLOOKUP(C1040,INDIRECT("tblEquipment[Equipment ID]"),INDIRECT("tblEquipment[Equipment Name]"),"")</f>
        <v/>
      </c>
      <c r="F1040" s="16" t="n"/>
      <c r="G1040" s="16" t="n"/>
      <c r="H1040" s="1">
        <f>IF(OR(F1040=0,G1040=0),"",(G1040-F1040)*24)</f>
        <v/>
      </c>
      <c r="I1040" s="10" t="n"/>
      <c r="J1040" s="1">
        <f>IF(OR(tblDowntime[[#This Row],[Failure Type]]="Sawshop",tblDowntime[[#This Row],[Failure Type]]="Electrical",tblDowntime[[#This Row],[Failure Type]]="Mechanical"),tblDowntime[[#This Row],[Downtime Hours]],"")</f>
        <v/>
      </c>
      <c r="K1040" s="10" t="n"/>
      <c r="L1040" s="10" t="n"/>
      <c r="M1040">
        <f>IF(tblDowntime[[#This Row],[Maintenance Downtime Hours]]="","",tblDowntime[[#This Row],[Equipment ID]])</f>
        <v/>
      </c>
      <c r="N1040" s="1">
        <f>IF(tblDowntime[[#This Row],[Failure Type]]="Production",tblDowntime[[#This Row],[Downtime Hours]],"")</f>
        <v/>
      </c>
      <c r="O1040">
        <f>IF(tblDowntime[[#This Row],[Production Downtime Hours]]="","",tblDowntime[[#This Row],[Equipment ID]])</f>
        <v/>
      </c>
      <c r="P1040" s="10" t="n"/>
    </row>
    <row r="1041">
      <c r="B1041">
        <f t="array" ref="B1041">_xlfn.XLOOKUP(C1041,INDIRECT("tblEquipment[Equipment ID]"),INDIRECT("tblEquipment[Production Department]"),"")</f>
        <v/>
      </c>
      <c r="D1041">
        <f t="array" ref="D1041">_xlfn.XLOOKUP(C1041,INDIRECT("tblEquipment[Equipment ID]"),INDIRECT("tblEquipment[Equipment Name]"),"")</f>
        <v/>
      </c>
      <c r="F1041" s="16" t="n"/>
      <c r="G1041" s="16" t="n"/>
      <c r="H1041" s="1">
        <f>IF(OR(F1041=0,G1041=0),"",(G1041-F1041)*24)</f>
        <v/>
      </c>
      <c r="I1041" s="10" t="n"/>
      <c r="J1041" s="1">
        <f>IF(OR(tblDowntime[[#This Row],[Failure Type]]="Sawshop",tblDowntime[[#This Row],[Failure Type]]="Electrical",tblDowntime[[#This Row],[Failure Type]]="Mechanical"),tblDowntime[[#This Row],[Downtime Hours]],"")</f>
        <v/>
      </c>
      <c r="K1041" s="10" t="n"/>
      <c r="L1041" s="10" t="n"/>
      <c r="M1041">
        <f>IF(tblDowntime[[#This Row],[Maintenance Downtime Hours]]="","",tblDowntime[[#This Row],[Equipment ID]])</f>
        <v/>
      </c>
      <c r="N1041" s="1">
        <f>IF(tblDowntime[[#This Row],[Failure Type]]="Production",tblDowntime[[#This Row],[Downtime Hours]],"")</f>
        <v/>
      </c>
      <c r="O1041">
        <f>IF(tblDowntime[[#This Row],[Production Downtime Hours]]="","",tblDowntime[[#This Row],[Equipment ID]])</f>
        <v/>
      </c>
      <c r="P1041" s="10" t="n"/>
    </row>
    <row r="1042">
      <c r="B1042">
        <f t="array" ref="B1042">_xlfn.XLOOKUP(C1042,INDIRECT("tblEquipment[Equipment ID]"),INDIRECT("tblEquipment[Production Department]"),"")</f>
        <v/>
      </c>
      <c r="D1042">
        <f t="array" ref="D1042">_xlfn.XLOOKUP(C1042,INDIRECT("tblEquipment[Equipment ID]"),INDIRECT("tblEquipment[Equipment Name]"),"")</f>
        <v/>
      </c>
      <c r="F1042" s="16" t="n"/>
      <c r="G1042" s="16" t="n"/>
      <c r="H1042" s="1">
        <f>IF(OR(F1042=0,G1042=0),"",(G1042-F1042)*24)</f>
        <v/>
      </c>
      <c r="I1042" s="10" t="n"/>
      <c r="J1042" s="1">
        <f>IF(OR(tblDowntime[[#This Row],[Failure Type]]="Sawshop",tblDowntime[[#This Row],[Failure Type]]="Electrical",tblDowntime[[#This Row],[Failure Type]]="Mechanical"),tblDowntime[[#This Row],[Downtime Hours]],"")</f>
        <v/>
      </c>
      <c r="K1042" s="10" t="n"/>
      <c r="L1042" s="10" t="n"/>
      <c r="M1042">
        <f>IF(tblDowntime[[#This Row],[Maintenance Downtime Hours]]="","",tblDowntime[[#This Row],[Equipment ID]])</f>
        <v/>
      </c>
      <c r="N1042" s="1">
        <f>IF(tblDowntime[[#This Row],[Failure Type]]="Production",tblDowntime[[#This Row],[Downtime Hours]],"")</f>
        <v/>
      </c>
      <c r="O1042">
        <f>IF(tblDowntime[[#This Row],[Production Downtime Hours]]="","",tblDowntime[[#This Row],[Equipment ID]])</f>
        <v/>
      </c>
      <c r="P1042" s="10" t="n"/>
    </row>
    <row r="1043">
      <c r="B1043">
        <f t="array" ref="B1043">_xlfn.XLOOKUP(C1043,INDIRECT("tblEquipment[Equipment ID]"),INDIRECT("tblEquipment[Production Department]"),"")</f>
        <v/>
      </c>
      <c r="D1043">
        <f t="array" ref="D1043">_xlfn.XLOOKUP(C1043,INDIRECT("tblEquipment[Equipment ID]"),INDIRECT("tblEquipment[Equipment Name]"),"")</f>
        <v/>
      </c>
      <c r="F1043" s="16" t="n"/>
      <c r="G1043" s="16" t="n"/>
      <c r="H1043" s="1">
        <f>IF(OR(F1043=0,G1043=0),"",(G1043-F1043)*24)</f>
        <v/>
      </c>
      <c r="I1043" s="10" t="n"/>
      <c r="J1043" s="1">
        <f>IF(OR(tblDowntime[[#This Row],[Failure Type]]="Sawshop",tblDowntime[[#This Row],[Failure Type]]="Electrical",tblDowntime[[#This Row],[Failure Type]]="Mechanical"),tblDowntime[[#This Row],[Downtime Hours]],"")</f>
        <v/>
      </c>
      <c r="K1043" s="10" t="n"/>
      <c r="L1043" s="10" t="n"/>
      <c r="M1043">
        <f>IF(tblDowntime[[#This Row],[Maintenance Downtime Hours]]="","",tblDowntime[[#This Row],[Equipment ID]])</f>
        <v/>
      </c>
      <c r="N1043" s="1">
        <f>IF(tblDowntime[[#This Row],[Failure Type]]="Production",tblDowntime[[#This Row],[Downtime Hours]],"")</f>
        <v/>
      </c>
      <c r="O1043">
        <f>IF(tblDowntime[[#This Row],[Production Downtime Hours]]="","",tblDowntime[[#This Row],[Equipment ID]])</f>
        <v/>
      </c>
      <c r="P1043" s="10" t="n"/>
    </row>
    <row r="1044">
      <c r="B1044">
        <f t="array" ref="B1044">_xlfn.XLOOKUP(C1044,INDIRECT("tblEquipment[Equipment ID]"),INDIRECT("tblEquipment[Production Department]"),"")</f>
        <v/>
      </c>
      <c r="D1044">
        <f t="array" ref="D1044">_xlfn.XLOOKUP(C1044,INDIRECT("tblEquipment[Equipment ID]"),INDIRECT("tblEquipment[Equipment Name]"),"")</f>
        <v/>
      </c>
      <c r="F1044" s="16" t="n"/>
      <c r="G1044" s="16" t="n"/>
      <c r="H1044" s="1">
        <f>IF(OR(F1044=0,G1044=0),"",(G1044-F1044)*24)</f>
        <v/>
      </c>
      <c r="I1044" s="10" t="n"/>
      <c r="J1044" s="1">
        <f>IF(OR(tblDowntime[[#This Row],[Failure Type]]="Sawshop",tblDowntime[[#This Row],[Failure Type]]="Electrical",tblDowntime[[#This Row],[Failure Type]]="Mechanical"),tblDowntime[[#This Row],[Downtime Hours]],"")</f>
        <v/>
      </c>
      <c r="K1044" s="10" t="n"/>
      <c r="L1044" s="10" t="n"/>
      <c r="M1044">
        <f>IF(tblDowntime[[#This Row],[Maintenance Downtime Hours]]="","",tblDowntime[[#This Row],[Equipment ID]])</f>
        <v/>
      </c>
      <c r="N1044" s="1">
        <f>IF(tblDowntime[[#This Row],[Failure Type]]="Production",tblDowntime[[#This Row],[Downtime Hours]],"")</f>
        <v/>
      </c>
      <c r="O1044">
        <f>IF(tblDowntime[[#This Row],[Production Downtime Hours]]="","",tblDowntime[[#This Row],[Equipment ID]])</f>
        <v/>
      </c>
      <c r="P1044" s="10" t="n"/>
    </row>
    <row r="1045">
      <c r="B1045">
        <f t="array" ref="B1045">_xlfn.XLOOKUP(C1045,INDIRECT("tblEquipment[Equipment ID]"),INDIRECT("tblEquipment[Production Department]"),"")</f>
        <v/>
      </c>
      <c r="D1045">
        <f t="array" ref="D1045">_xlfn.XLOOKUP(C1045,INDIRECT("tblEquipment[Equipment ID]"),INDIRECT("tblEquipment[Equipment Name]"),"")</f>
        <v/>
      </c>
      <c r="F1045" s="16" t="n"/>
      <c r="G1045" s="16" t="n"/>
      <c r="H1045" s="1">
        <f>IF(OR(F1045=0,G1045=0),"",(G1045-F1045)*24)</f>
        <v/>
      </c>
      <c r="I1045" s="10" t="n"/>
      <c r="J1045" s="1">
        <f>IF(OR(tblDowntime[[#This Row],[Failure Type]]="Sawshop",tblDowntime[[#This Row],[Failure Type]]="Electrical",tblDowntime[[#This Row],[Failure Type]]="Mechanical"),tblDowntime[[#This Row],[Downtime Hours]],"")</f>
        <v/>
      </c>
      <c r="K1045" s="10" t="n"/>
      <c r="L1045" s="10" t="n"/>
      <c r="M1045">
        <f>IF(tblDowntime[[#This Row],[Maintenance Downtime Hours]]="","",tblDowntime[[#This Row],[Equipment ID]])</f>
        <v/>
      </c>
      <c r="N1045" s="1">
        <f>IF(tblDowntime[[#This Row],[Failure Type]]="Production",tblDowntime[[#This Row],[Downtime Hours]],"")</f>
        <v/>
      </c>
      <c r="O1045">
        <f>IF(tblDowntime[[#This Row],[Production Downtime Hours]]="","",tblDowntime[[#This Row],[Equipment ID]])</f>
        <v/>
      </c>
      <c r="P1045" s="10" t="n"/>
    </row>
    <row r="1046">
      <c r="B1046">
        <f t="array" ref="B1046">_xlfn.XLOOKUP(C1046,INDIRECT("tblEquipment[Equipment ID]"),INDIRECT("tblEquipment[Production Department]"),"")</f>
        <v/>
      </c>
      <c r="D1046">
        <f t="array" ref="D1046">_xlfn.XLOOKUP(C1046,INDIRECT("tblEquipment[Equipment ID]"),INDIRECT("tblEquipment[Equipment Name]"),"")</f>
        <v/>
      </c>
      <c r="F1046" s="16" t="n"/>
      <c r="G1046" s="16" t="n"/>
      <c r="H1046" s="1">
        <f>IF(OR(F1046=0,G1046=0),"",(G1046-F1046)*24)</f>
        <v/>
      </c>
      <c r="I1046" s="10" t="n"/>
      <c r="J1046" s="1">
        <f>IF(OR(tblDowntime[[#This Row],[Failure Type]]="Sawshop",tblDowntime[[#This Row],[Failure Type]]="Electrical",tblDowntime[[#This Row],[Failure Type]]="Mechanical"),tblDowntime[[#This Row],[Downtime Hours]],"")</f>
        <v/>
      </c>
      <c r="K1046" s="10" t="n"/>
      <c r="L1046" s="10" t="n"/>
      <c r="M1046">
        <f>IF(tblDowntime[[#This Row],[Maintenance Downtime Hours]]="","",tblDowntime[[#This Row],[Equipment ID]])</f>
        <v/>
      </c>
      <c r="N1046" s="1">
        <f>IF(tblDowntime[[#This Row],[Failure Type]]="Production",tblDowntime[[#This Row],[Downtime Hours]],"")</f>
        <v/>
      </c>
      <c r="O1046">
        <f>IF(tblDowntime[[#This Row],[Production Downtime Hours]]="","",tblDowntime[[#This Row],[Equipment ID]])</f>
        <v/>
      </c>
      <c r="P1046" s="10" t="n"/>
    </row>
    <row r="1047">
      <c r="B1047">
        <f t="array" ref="B1047">_xlfn.XLOOKUP(C1047,INDIRECT("tblEquipment[Equipment ID]"),INDIRECT("tblEquipment[Production Department]"),"")</f>
        <v/>
      </c>
      <c r="D1047">
        <f t="array" ref="D1047">_xlfn.XLOOKUP(C1047,INDIRECT("tblEquipment[Equipment ID]"),INDIRECT("tblEquipment[Equipment Name]"),"")</f>
        <v/>
      </c>
      <c r="F1047" s="16" t="n"/>
      <c r="G1047" s="16" t="n"/>
      <c r="H1047" s="1">
        <f>IF(OR(F1047=0,G1047=0),"",(G1047-F1047)*24)</f>
        <v/>
      </c>
      <c r="I1047" s="10" t="n"/>
      <c r="J1047" s="1">
        <f>IF(OR(tblDowntime[[#This Row],[Failure Type]]="Sawshop",tblDowntime[[#This Row],[Failure Type]]="Electrical",tblDowntime[[#This Row],[Failure Type]]="Mechanical"),tblDowntime[[#This Row],[Downtime Hours]],"")</f>
        <v/>
      </c>
      <c r="K1047" s="10" t="n"/>
      <c r="L1047" s="10" t="n"/>
      <c r="M1047">
        <f>IF(tblDowntime[[#This Row],[Maintenance Downtime Hours]]="","",tblDowntime[[#This Row],[Equipment ID]])</f>
        <v/>
      </c>
      <c r="N1047" s="1">
        <f>IF(tblDowntime[[#This Row],[Failure Type]]="Production",tblDowntime[[#This Row],[Downtime Hours]],"")</f>
        <v/>
      </c>
      <c r="O1047">
        <f>IF(tblDowntime[[#This Row],[Production Downtime Hours]]="","",tblDowntime[[#This Row],[Equipment ID]])</f>
        <v/>
      </c>
      <c r="P1047" s="10" t="n"/>
    </row>
    <row r="1048">
      <c r="B1048">
        <f t="array" ref="B1048">_xlfn.XLOOKUP(C1048,INDIRECT("tblEquipment[Equipment ID]"),INDIRECT("tblEquipment[Production Department]"),"")</f>
        <v/>
      </c>
      <c r="D1048">
        <f t="array" ref="D1048">_xlfn.XLOOKUP(C1048,INDIRECT("tblEquipment[Equipment ID]"),INDIRECT("tblEquipment[Equipment Name]"),"")</f>
        <v/>
      </c>
      <c r="F1048" s="16" t="n"/>
      <c r="G1048" s="16" t="n"/>
      <c r="H1048" s="1">
        <f>IF(OR(F1048=0,G1048=0),"",(G1048-F1048)*24)</f>
        <v/>
      </c>
      <c r="I1048" s="10" t="n"/>
      <c r="J1048" s="1">
        <f>IF(OR(tblDowntime[[#This Row],[Failure Type]]="Sawshop",tblDowntime[[#This Row],[Failure Type]]="Electrical",tblDowntime[[#This Row],[Failure Type]]="Mechanical"),tblDowntime[[#This Row],[Downtime Hours]],"")</f>
        <v/>
      </c>
      <c r="K1048" s="10" t="n"/>
      <c r="L1048" s="10" t="n"/>
      <c r="M1048">
        <f>IF(tblDowntime[[#This Row],[Maintenance Downtime Hours]]="","",tblDowntime[[#This Row],[Equipment ID]])</f>
        <v/>
      </c>
      <c r="N1048" s="1">
        <f>IF(tblDowntime[[#This Row],[Failure Type]]="Production",tblDowntime[[#This Row],[Downtime Hours]],"")</f>
        <v/>
      </c>
      <c r="O1048">
        <f>IF(tblDowntime[[#This Row],[Production Downtime Hours]]="","",tblDowntime[[#This Row],[Equipment ID]])</f>
        <v/>
      </c>
      <c r="P1048" s="10" t="n"/>
    </row>
    <row r="1049">
      <c r="B1049">
        <f t="array" ref="B1049">_xlfn.XLOOKUP(C1049,INDIRECT("tblEquipment[Equipment ID]"),INDIRECT("tblEquipment[Production Department]"),"")</f>
        <v/>
      </c>
      <c r="D1049">
        <f t="array" ref="D1049">_xlfn.XLOOKUP(C1049,INDIRECT("tblEquipment[Equipment ID]"),INDIRECT("tblEquipment[Equipment Name]"),"")</f>
        <v/>
      </c>
      <c r="F1049" s="16" t="n"/>
      <c r="G1049" s="16" t="n"/>
      <c r="H1049" s="1">
        <f>IF(OR(F1049=0,G1049=0),"",(G1049-F1049)*24)</f>
        <v/>
      </c>
      <c r="I1049" s="10" t="n"/>
      <c r="J1049" s="1">
        <f>IF(OR(tblDowntime[[#This Row],[Failure Type]]="Sawshop",tblDowntime[[#This Row],[Failure Type]]="Electrical",tblDowntime[[#This Row],[Failure Type]]="Mechanical"),tblDowntime[[#This Row],[Downtime Hours]],"")</f>
        <v/>
      </c>
      <c r="K1049" s="10" t="n"/>
      <c r="L1049" s="10" t="n"/>
      <c r="M1049">
        <f>IF(tblDowntime[[#This Row],[Maintenance Downtime Hours]]="","",tblDowntime[[#This Row],[Equipment ID]])</f>
        <v/>
      </c>
      <c r="N1049" s="1">
        <f>IF(tblDowntime[[#This Row],[Failure Type]]="Production",tblDowntime[[#This Row],[Downtime Hours]],"")</f>
        <v/>
      </c>
      <c r="O1049">
        <f>IF(tblDowntime[[#This Row],[Production Downtime Hours]]="","",tblDowntime[[#This Row],[Equipment ID]])</f>
        <v/>
      </c>
      <c r="P1049" s="10" t="n"/>
    </row>
    <row r="1050">
      <c r="B1050">
        <f t="array" ref="B1050">_xlfn.XLOOKUP(C1050,INDIRECT("tblEquipment[Equipment ID]"),INDIRECT("tblEquipment[Production Department]"),"")</f>
        <v/>
      </c>
      <c r="D1050">
        <f t="array" ref="D1050">_xlfn.XLOOKUP(C1050,INDIRECT("tblEquipment[Equipment ID]"),INDIRECT("tblEquipment[Equipment Name]"),"")</f>
        <v/>
      </c>
      <c r="F1050" s="16" t="n"/>
      <c r="G1050" s="16" t="n"/>
      <c r="H1050" s="1">
        <f>IF(OR(F1050=0,G1050=0),"",(G1050-F1050)*24)</f>
        <v/>
      </c>
      <c r="I1050" s="10" t="n"/>
      <c r="J1050" s="1">
        <f>IF(OR(tblDowntime[[#This Row],[Failure Type]]="Sawshop",tblDowntime[[#This Row],[Failure Type]]="Electrical",tblDowntime[[#This Row],[Failure Type]]="Mechanical"),tblDowntime[[#This Row],[Downtime Hours]],"")</f>
        <v/>
      </c>
      <c r="K1050" s="10" t="n"/>
      <c r="L1050" s="10" t="n"/>
      <c r="M1050">
        <f>IF(tblDowntime[[#This Row],[Maintenance Downtime Hours]]="","",tblDowntime[[#This Row],[Equipment ID]])</f>
        <v/>
      </c>
      <c r="N1050" s="1">
        <f>IF(tblDowntime[[#This Row],[Failure Type]]="Production",tblDowntime[[#This Row],[Downtime Hours]],"")</f>
        <v/>
      </c>
      <c r="O1050">
        <f>IF(tblDowntime[[#This Row],[Production Downtime Hours]]="","",tblDowntime[[#This Row],[Equipment ID]])</f>
        <v/>
      </c>
      <c r="P1050" s="10" t="n"/>
    </row>
    <row r="1051">
      <c r="B1051">
        <f t="array" ref="B1051">_xlfn.XLOOKUP(C1051,INDIRECT("tblEquipment[Equipment ID]"),INDIRECT("tblEquipment[Production Department]"),"")</f>
        <v/>
      </c>
      <c r="D1051">
        <f t="array" ref="D1051">_xlfn.XLOOKUP(C1051,INDIRECT("tblEquipment[Equipment ID]"),INDIRECT("tblEquipment[Equipment Name]"),"")</f>
        <v/>
      </c>
      <c r="F1051" s="16" t="n"/>
      <c r="G1051" s="16" t="n"/>
      <c r="H1051" s="1">
        <f>IF(OR(F1051=0,G1051=0),"",(G1051-F1051)*24)</f>
        <v/>
      </c>
      <c r="I1051" s="10" t="n"/>
      <c r="J1051" s="1">
        <f>IF(OR(tblDowntime[[#This Row],[Failure Type]]="Sawshop",tblDowntime[[#This Row],[Failure Type]]="Electrical",tblDowntime[[#This Row],[Failure Type]]="Mechanical"),tblDowntime[[#This Row],[Downtime Hours]],"")</f>
        <v/>
      </c>
      <c r="K1051" s="10" t="n"/>
      <c r="L1051" s="10" t="n"/>
      <c r="M1051">
        <f>IF(tblDowntime[[#This Row],[Maintenance Downtime Hours]]="","",tblDowntime[[#This Row],[Equipment ID]])</f>
        <v/>
      </c>
      <c r="N1051" s="1">
        <f>IF(tblDowntime[[#This Row],[Failure Type]]="Production",tblDowntime[[#This Row],[Downtime Hours]],"")</f>
        <v/>
      </c>
      <c r="O1051">
        <f>IF(tblDowntime[[#This Row],[Production Downtime Hours]]="","",tblDowntime[[#This Row],[Equipment ID]])</f>
        <v/>
      </c>
      <c r="P1051" s="10" t="n"/>
    </row>
    <row r="1052">
      <c r="B1052">
        <f t="array" ref="B1052">_xlfn.XLOOKUP(C1052,INDIRECT("tblEquipment[Equipment ID]"),INDIRECT("tblEquipment[Production Department]"),"")</f>
        <v/>
      </c>
      <c r="D1052">
        <f t="array" ref="D1052">_xlfn.XLOOKUP(C1052,INDIRECT("tblEquipment[Equipment ID]"),INDIRECT("tblEquipment[Equipment Name]"),"")</f>
        <v/>
      </c>
      <c r="F1052" s="16" t="n"/>
      <c r="G1052" s="16" t="n"/>
      <c r="H1052" s="1">
        <f>IF(OR(F1052=0,G1052=0),"",(G1052-F1052)*24)</f>
        <v/>
      </c>
      <c r="I1052" s="10" t="n"/>
      <c r="J1052" s="1">
        <f>IF(OR(tblDowntime[[#This Row],[Failure Type]]="Sawshop",tblDowntime[[#This Row],[Failure Type]]="Electrical",tblDowntime[[#This Row],[Failure Type]]="Mechanical"),tblDowntime[[#This Row],[Downtime Hours]],"")</f>
        <v/>
      </c>
      <c r="K1052" s="10" t="n"/>
      <c r="L1052" s="10" t="n"/>
      <c r="M1052">
        <f>IF(tblDowntime[[#This Row],[Maintenance Downtime Hours]]="","",tblDowntime[[#This Row],[Equipment ID]])</f>
        <v/>
      </c>
      <c r="N1052" s="1">
        <f>IF(tblDowntime[[#This Row],[Failure Type]]="Production",tblDowntime[[#This Row],[Downtime Hours]],"")</f>
        <v/>
      </c>
      <c r="O1052">
        <f>IF(tblDowntime[[#This Row],[Production Downtime Hours]]="","",tblDowntime[[#This Row],[Equipment ID]])</f>
        <v/>
      </c>
      <c r="P1052" s="10" t="n"/>
    </row>
    <row r="1053">
      <c r="B1053">
        <f t="array" ref="B1053">_xlfn.XLOOKUP(C1053,INDIRECT("tblEquipment[Equipment ID]"),INDIRECT("tblEquipment[Production Department]"),"")</f>
        <v/>
      </c>
      <c r="D1053">
        <f t="array" ref="D1053">_xlfn.XLOOKUP(C1053,INDIRECT("tblEquipment[Equipment ID]"),INDIRECT("tblEquipment[Equipment Name]"),"")</f>
        <v/>
      </c>
      <c r="F1053" s="16" t="n"/>
      <c r="G1053" s="16" t="n"/>
      <c r="H1053" s="1">
        <f>IF(OR(F1053=0,G1053=0),"",(G1053-F1053)*24)</f>
        <v/>
      </c>
      <c r="I1053" s="10" t="n"/>
      <c r="J1053" s="1">
        <f>IF(OR(tblDowntime[[#This Row],[Failure Type]]="Sawshop",tblDowntime[[#This Row],[Failure Type]]="Electrical",tblDowntime[[#This Row],[Failure Type]]="Mechanical"),tblDowntime[[#This Row],[Downtime Hours]],"")</f>
        <v/>
      </c>
      <c r="K1053" s="10" t="n"/>
      <c r="L1053" s="10" t="n"/>
      <c r="M1053">
        <f>IF(tblDowntime[[#This Row],[Maintenance Downtime Hours]]="","",tblDowntime[[#This Row],[Equipment ID]])</f>
        <v/>
      </c>
      <c r="N1053" s="1">
        <f>IF(tblDowntime[[#This Row],[Failure Type]]="Production",tblDowntime[[#This Row],[Downtime Hours]],"")</f>
        <v/>
      </c>
      <c r="O1053">
        <f>IF(tblDowntime[[#This Row],[Production Downtime Hours]]="","",tblDowntime[[#This Row],[Equipment ID]])</f>
        <v/>
      </c>
      <c r="P1053" s="10" t="n"/>
    </row>
    <row r="1054">
      <c r="B1054">
        <f t="array" ref="B1054">_xlfn.XLOOKUP(C1054,INDIRECT("tblEquipment[Equipment ID]"),INDIRECT("tblEquipment[Production Department]"),"")</f>
        <v/>
      </c>
      <c r="D1054">
        <f t="array" ref="D1054">_xlfn.XLOOKUP(C1054,INDIRECT("tblEquipment[Equipment ID]"),INDIRECT("tblEquipment[Equipment Name]"),"")</f>
        <v/>
      </c>
      <c r="F1054" s="16" t="n"/>
      <c r="G1054" s="16" t="n"/>
      <c r="H1054" s="1">
        <f>IF(OR(F1054=0,G1054=0),"",(G1054-F1054)*24)</f>
        <v/>
      </c>
      <c r="I1054" s="10" t="n"/>
      <c r="J1054" s="1">
        <f>IF(OR(tblDowntime[[#This Row],[Failure Type]]="Sawshop",tblDowntime[[#This Row],[Failure Type]]="Electrical",tblDowntime[[#This Row],[Failure Type]]="Mechanical"),tblDowntime[[#This Row],[Downtime Hours]],"")</f>
        <v/>
      </c>
      <c r="K1054" s="10" t="n"/>
      <c r="L1054" s="10" t="n"/>
      <c r="M1054">
        <f>IF(tblDowntime[[#This Row],[Maintenance Downtime Hours]]="","",tblDowntime[[#This Row],[Equipment ID]])</f>
        <v/>
      </c>
      <c r="N1054" s="1">
        <f>IF(tblDowntime[[#This Row],[Failure Type]]="Production",tblDowntime[[#This Row],[Downtime Hours]],"")</f>
        <v/>
      </c>
      <c r="O1054">
        <f>IF(tblDowntime[[#This Row],[Production Downtime Hours]]="","",tblDowntime[[#This Row],[Equipment ID]])</f>
        <v/>
      </c>
      <c r="P1054" s="10" t="n"/>
    </row>
    <row r="1055">
      <c r="B1055">
        <f t="array" ref="B1055">_xlfn.XLOOKUP(C1055,INDIRECT("tblEquipment[Equipment ID]"),INDIRECT("tblEquipment[Production Department]"),"")</f>
        <v/>
      </c>
      <c r="D1055">
        <f t="array" ref="D1055">_xlfn.XLOOKUP(C1055,INDIRECT("tblEquipment[Equipment ID]"),INDIRECT("tblEquipment[Equipment Name]"),"")</f>
        <v/>
      </c>
      <c r="F1055" s="16" t="n"/>
      <c r="G1055" s="16" t="n"/>
      <c r="H1055" s="1">
        <f>IF(OR(F1055=0,G1055=0),"",(G1055-F1055)*24)</f>
        <v/>
      </c>
      <c r="I1055" s="10" t="n"/>
      <c r="J1055" s="1">
        <f>IF(OR(tblDowntime[[#This Row],[Failure Type]]="Sawshop",tblDowntime[[#This Row],[Failure Type]]="Electrical",tblDowntime[[#This Row],[Failure Type]]="Mechanical"),tblDowntime[[#This Row],[Downtime Hours]],"")</f>
        <v/>
      </c>
      <c r="K1055" s="10" t="n"/>
      <c r="L1055" s="10" t="n"/>
      <c r="M1055">
        <f>IF(tblDowntime[[#This Row],[Maintenance Downtime Hours]]="","",tblDowntime[[#This Row],[Equipment ID]])</f>
        <v/>
      </c>
      <c r="N1055" s="1">
        <f>IF(tblDowntime[[#This Row],[Failure Type]]="Production",tblDowntime[[#This Row],[Downtime Hours]],"")</f>
        <v/>
      </c>
      <c r="O1055">
        <f>IF(tblDowntime[[#This Row],[Production Downtime Hours]]="","",tblDowntime[[#This Row],[Equipment ID]])</f>
        <v/>
      </c>
      <c r="P1055" s="10" t="n"/>
    </row>
    <row r="1056">
      <c r="B1056">
        <f t="array" ref="B1056">_xlfn.XLOOKUP(C1056,INDIRECT("tblEquipment[Equipment ID]"),INDIRECT("tblEquipment[Production Department]"),"")</f>
        <v/>
      </c>
      <c r="D1056">
        <f t="array" ref="D1056">_xlfn.XLOOKUP(C1056,INDIRECT("tblEquipment[Equipment ID]"),INDIRECT("tblEquipment[Equipment Name]"),"")</f>
        <v/>
      </c>
      <c r="F1056" s="16" t="n"/>
      <c r="G1056" s="16" t="n"/>
      <c r="H1056" s="1">
        <f>IF(OR(F1056=0,G1056=0),"",(G1056-F1056)*24)</f>
        <v/>
      </c>
      <c r="I1056" s="10" t="n"/>
      <c r="J1056" s="1">
        <f>IF(OR(tblDowntime[[#This Row],[Failure Type]]="Sawshop",tblDowntime[[#This Row],[Failure Type]]="Electrical",tblDowntime[[#This Row],[Failure Type]]="Mechanical"),tblDowntime[[#This Row],[Downtime Hours]],"")</f>
        <v/>
      </c>
      <c r="K1056" s="10" t="n"/>
      <c r="L1056" s="10" t="n"/>
      <c r="M1056">
        <f>IF(tblDowntime[[#This Row],[Maintenance Downtime Hours]]="","",tblDowntime[[#This Row],[Equipment ID]])</f>
        <v/>
      </c>
      <c r="N1056" s="1">
        <f>IF(tblDowntime[[#This Row],[Failure Type]]="Production",tblDowntime[[#This Row],[Downtime Hours]],"")</f>
        <v/>
      </c>
      <c r="O1056">
        <f>IF(tblDowntime[[#This Row],[Production Downtime Hours]]="","",tblDowntime[[#This Row],[Equipment ID]])</f>
        <v/>
      </c>
      <c r="P1056" s="10" t="n"/>
    </row>
    <row r="1057">
      <c r="B1057">
        <f t="array" ref="B1057">_xlfn.XLOOKUP(C1057,INDIRECT("tblEquipment[Equipment ID]"),INDIRECT("tblEquipment[Production Department]"),"")</f>
        <v/>
      </c>
      <c r="D1057">
        <f t="array" ref="D1057">_xlfn.XLOOKUP(C1057,INDIRECT("tblEquipment[Equipment ID]"),INDIRECT("tblEquipment[Equipment Name]"),"")</f>
        <v/>
      </c>
      <c r="F1057" s="16" t="n"/>
      <c r="G1057" s="16" t="n"/>
      <c r="H1057" s="1">
        <f>IF(OR(F1057=0,G1057=0),"",(G1057-F1057)*24)</f>
        <v/>
      </c>
      <c r="I1057" s="10" t="n"/>
      <c r="J1057" s="1">
        <f>IF(OR(tblDowntime[[#This Row],[Failure Type]]="Sawshop",tblDowntime[[#This Row],[Failure Type]]="Electrical",tblDowntime[[#This Row],[Failure Type]]="Mechanical"),tblDowntime[[#This Row],[Downtime Hours]],"")</f>
        <v/>
      </c>
      <c r="K1057" s="10" t="n"/>
      <c r="L1057" s="10" t="n"/>
      <c r="M1057">
        <f>IF(tblDowntime[[#This Row],[Maintenance Downtime Hours]]="","",tblDowntime[[#This Row],[Equipment ID]])</f>
        <v/>
      </c>
      <c r="N1057" s="1">
        <f>IF(tblDowntime[[#This Row],[Failure Type]]="Production",tblDowntime[[#This Row],[Downtime Hours]],"")</f>
        <v/>
      </c>
      <c r="O1057">
        <f>IF(tblDowntime[[#This Row],[Production Downtime Hours]]="","",tblDowntime[[#This Row],[Equipment ID]])</f>
        <v/>
      </c>
      <c r="P1057" s="10" t="n"/>
    </row>
    <row r="1058">
      <c r="B1058">
        <f t="array" ref="B1058">_xlfn.XLOOKUP(C1058,INDIRECT("tblEquipment[Equipment ID]"),INDIRECT("tblEquipment[Production Department]"),"")</f>
        <v/>
      </c>
      <c r="D1058">
        <f t="array" ref="D1058">_xlfn.XLOOKUP(C1058,INDIRECT("tblEquipment[Equipment ID]"),INDIRECT("tblEquipment[Equipment Name]"),"")</f>
        <v/>
      </c>
      <c r="F1058" s="16" t="n"/>
      <c r="G1058" s="16" t="n"/>
      <c r="H1058" s="1">
        <f>IF(OR(F1058=0,G1058=0),"",(G1058-F1058)*24)</f>
        <v/>
      </c>
      <c r="I1058" s="10" t="n"/>
      <c r="J1058" s="1">
        <f>IF(OR(tblDowntime[[#This Row],[Failure Type]]="Sawshop",tblDowntime[[#This Row],[Failure Type]]="Electrical",tblDowntime[[#This Row],[Failure Type]]="Mechanical"),tblDowntime[[#This Row],[Downtime Hours]],"")</f>
        <v/>
      </c>
      <c r="K1058" s="10" t="n"/>
      <c r="L1058" s="10" t="n"/>
      <c r="M1058">
        <f>IF(tblDowntime[[#This Row],[Maintenance Downtime Hours]]="","",tblDowntime[[#This Row],[Equipment ID]])</f>
        <v/>
      </c>
      <c r="N1058" s="1">
        <f>IF(tblDowntime[[#This Row],[Failure Type]]="Production",tblDowntime[[#This Row],[Downtime Hours]],"")</f>
        <v/>
      </c>
      <c r="O1058">
        <f>IF(tblDowntime[[#This Row],[Production Downtime Hours]]="","",tblDowntime[[#This Row],[Equipment ID]])</f>
        <v/>
      </c>
      <c r="P1058" s="10" t="n"/>
    </row>
    <row r="1059">
      <c r="B1059">
        <f t="array" ref="B1059">_xlfn.XLOOKUP(C1059,INDIRECT("tblEquipment[Equipment ID]"),INDIRECT("tblEquipment[Production Department]"),"")</f>
        <v/>
      </c>
      <c r="D1059">
        <f t="array" ref="D1059">_xlfn.XLOOKUP(C1059,INDIRECT("tblEquipment[Equipment ID]"),INDIRECT("tblEquipment[Equipment Name]"),"")</f>
        <v/>
      </c>
      <c r="F1059" s="16" t="n"/>
      <c r="G1059" s="16" t="n"/>
      <c r="H1059" s="1">
        <f>IF(OR(F1059=0,G1059=0),"",(G1059-F1059)*24)</f>
        <v/>
      </c>
      <c r="I1059" s="10" t="n"/>
      <c r="J1059" s="1">
        <f>IF(OR(tblDowntime[[#This Row],[Failure Type]]="Sawshop",tblDowntime[[#This Row],[Failure Type]]="Electrical",tblDowntime[[#This Row],[Failure Type]]="Mechanical"),tblDowntime[[#This Row],[Downtime Hours]],"")</f>
        <v/>
      </c>
      <c r="K1059" s="10" t="n"/>
      <c r="L1059" s="10" t="n"/>
      <c r="M1059">
        <f>IF(tblDowntime[[#This Row],[Maintenance Downtime Hours]]="","",tblDowntime[[#This Row],[Equipment ID]])</f>
        <v/>
      </c>
      <c r="N1059" s="1">
        <f>IF(tblDowntime[[#This Row],[Failure Type]]="Production",tblDowntime[[#This Row],[Downtime Hours]],"")</f>
        <v/>
      </c>
      <c r="O1059">
        <f>IF(tblDowntime[[#This Row],[Production Downtime Hours]]="","",tblDowntime[[#This Row],[Equipment ID]])</f>
        <v/>
      </c>
      <c r="P1059" s="10" t="n"/>
    </row>
    <row r="1060">
      <c r="B1060">
        <f t="array" ref="B1060">_xlfn.XLOOKUP(C1060,INDIRECT("tblEquipment[Equipment ID]"),INDIRECT("tblEquipment[Production Department]"),"")</f>
        <v/>
      </c>
      <c r="D1060">
        <f t="array" ref="D1060">_xlfn.XLOOKUP(C1060,INDIRECT("tblEquipment[Equipment ID]"),INDIRECT("tblEquipment[Equipment Name]"),"")</f>
        <v/>
      </c>
      <c r="F1060" s="16" t="n"/>
      <c r="G1060" s="16" t="n"/>
      <c r="H1060" s="1">
        <f>IF(OR(F1060=0,G1060=0),"",(G1060-F1060)*24)</f>
        <v/>
      </c>
      <c r="I1060" s="10" t="n"/>
      <c r="J1060" s="1">
        <f>IF(OR(tblDowntime[[#This Row],[Failure Type]]="Sawshop",tblDowntime[[#This Row],[Failure Type]]="Electrical",tblDowntime[[#This Row],[Failure Type]]="Mechanical"),tblDowntime[[#This Row],[Downtime Hours]],"")</f>
        <v/>
      </c>
      <c r="K1060" s="10" t="n"/>
      <c r="L1060" s="10" t="n"/>
      <c r="M1060">
        <f>IF(tblDowntime[[#This Row],[Maintenance Downtime Hours]]="","",tblDowntime[[#This Row],[Equipment ID]])</f>
        <v/>
      </c>
      <c r="N1060" s="1">
        <f>IF(tblDowntime[[#This Row],[Failure Type]]="Production",tblDowntime[[#This Row],[Downtime Hours]],"")</f>
        <v/>
      </c>
      <c r="O1060">
        <f>IF(tblDowntime[[#This Row],[Production Downtime Hours]]="","",tblDowntime[[#This Row],[Equipment ID]])</f>
        <v/>
      </c>
      <c r="P1060" s="10" t="n"/>
    </row>
    <row r="1061">
      <c r="B1061">
        <f t="array" ref="B1061">_xlfn.XLOOKUP(C1061,INDIRECT("tblEquipment[Equipment ID]"),INDIRECT("tblEquipment[Production Department]"),"")</f>
        <v/>
      </c>
      <c r="D1061">
        <f t="array" ref="D1061">_xlfn.XLOOKUP(C1061,INDIRECT("tblEquipment[Equipment ID]"),INDIRECT("tblEquipment[Equipment Name]"),"")</f>
        <v/>
      </c>
      <c r="F1061" s="16" t="n"/>
      <c r="G1061" s="16" t="n"/>
      <c r="H1061" s="1">
        <f>IF(OR(F1061=0,G1061=0),"",(G1061-F1061)*24)</f>
        <v/>
      </c>
      <c r="I1061" s="10" t="n"/>
      <c r="J1061" s="1">
        <f>IF(OR(tblDowntime[[#This Row],[Failure Type]]="Sawshop",tblDowntime[[#This Row],[Failure Type]]="Electrical",tblDowntime[[#This Row],[Failure Type]]="Mechanical"),tblDowntime[[#This Row],[Downtime Hours]],"")</f>
        <v/>
      </c>
      <c r="K1061" s="10" t="n"/>
      <c r="L1061" s="10" t="n"/>
      <c r="M1061">
        <f>IF(tblDowntime[[#This Row],[Maintenance Downtime Hours]]="","",tblDowntime[[#This Row],[Equipment ID]])</f>
        <v/>
      </c>
      <c r="N1061" s="1">
        <f>IF(tblDowntime[[#This Row],[Failure Type]]="Production",tblDowntime[[#This Row],[Downtime Hours]],"")</f>
        <v/>
      </c>
      <c r="O1061">
        <f>IF(tblDowntime[[#This Row],[Production Downtime Hours]]="","",tblDowntime[[#This Row],[Equipment ID]])</f>
        <v/>
      </c>
      <c r="P1061" s="10" t="n"/>
    </row>
    <row r="1062">
      <c r="B1062">
        <f t="array" ref="B1062">_xlfn.XLOOKUP(C1062,INDIRECT("tblEquipment[Equipment ID]"),INDIRECT("tblEquipment[Production Department]"),"")</f>
        <v/>
      </c>
      <c r="D1062">
        <f t="array" ref="D1062">_xlfn.XLOOKUP(C1062,INDIRECT("tblEquipment[Equipment ID]"),INDIRECT("tblEquipment[Equipment Name]"),"")</f>
        <v/>
      </c>
      <c r="F1062" s="16" t="n"/>
      <c r="G1062" s="16" t="n"/>
      <c r="H1062" s="1">
        <f>IF(OR(F1062=0,G1062=0),"",(G1062-F1062)*24)</f>
        <v/>
      </c>
      <c r="I1062" s="10" t="n"/>
      <c r="J1062" s="1">
        <f>IF(OR(tblDowntime[[#This Row],[Failure Type]]="Sawshop",tblDowntime[[#This Row],[Failure Type]]="Electrical",tblDowntime[[#This Row],[Failure Type]]="Mechanical"),tblDowntime[[#This Row],[Downtime Hours]],"")</f>
        <v/>
      </c>
      <c r="K1062" s="10" t="n"/>
      <c r="L1062" s="10" t="n"/>
      <c r="M1062">
        <f>IF(tblDowntime[[#This Row],[Maintenance Downtime Hours]]="","",tblDowntime[[#This Row],[Equipment ID]])</f>
        <v/>
      </c>
      <c r="N1062" s="1">
        <f>IF(tblDowntime[[#This Row],[Failure Type]]="Production",tblDowntime[[#This Row],[Downtime Hours]],"")</f>
        <v/>
      </c>
      <c r="O1062">
        <f>IF(tblDowntime[[#This Row],[Production Downtime Hours]]="","",tblDowntime[[#This Row],[Equipment ID]])</f>
        <v/>
      </c>
      <c r="P1062" s="10" t="n"/>
    </row>
    <row r="1063">
      <c r="B1063">
        <f t="array" ref="B1063">_xlfn.XLOOKUP(C1063,INDIRECT("tblEquipment[Equipment ID]"),INDIRECT("tblEquipment[Production Department]"),"")</f>
        <v/>
      </c>
      <c r="D1063">
        <f t="array" ref="D1063">_xlfn.XLOOKUP(C1063,INDIRECT("tblEquipment[Equipment ID]"),INDIRECT("tblEquipment[Equipment Name]"),"")</f>
        <v/>
      </c>
      <c r="F1063" s="16" t="n"/>
      <c r="G1063" s="16" t="n"/>
      <c r="H1063" s="1">
        <f>IF(OR(F1063=0,G1063=0),"",(G1063-F1063)*24)</f>
        <v/>
      </c>
      <c r="I1063" s="10" t="n"/>
      <c r="J1063" s="1">
        <f>IF(OR(tblDowntime[[#This Row],[Failure Type]]="Sawshop",tblDowntime[[#This Row],[Failure Type]]="Electrical",tblDowntime[[#This Row],[Failure Type]]="Mechanical"),tblDowntime[[#This Row],[Downtime Hours]],"")</f>
        <v/>
      </c>
      <c r="K1063" s="10" t="n"/>
      <c r="L1063" s="10" t="n"/>
      <c r="M1063">
        <f>IF(tblDowntime[[#This Row],[Maintenance Downtime Hours]]="","",tblDowntime[[#This Row],[Equipment ID]])</f>
        <v/>
      </c>
      <c r="N1063" s="1">
        <f>IF(tblDowntime[[#This Row],[Failure Type]]="Production",tblDowntime[[#This Row],[Downtime Hours]],"")</f>
        <v/>
      </c>
      <c r="O1063">
        <f>IF(tblDowntime[[#This Row],[Production Downtime Hours]]="","",tblDowntime[[#This Row],[Equipment ID]])</f>
        <v/>
      </c>
      <c r="P1063" s="10" t="n"/>
    </row>
    <row r="1064">
      <c r="B1064">
        <f t="array" ref="B1064">_xlfn.XLOOKUP(C1064,INDIRECT("tblEquipment[Equipment ID]"),INDIRECT("tblEquipment[Production Department]"),"")</f>
        <v/>
      </c>
      <c r="D1064">
        <f t="array" ref="D1064">_xlfn.XLOOKUP(C1064,INDIRECT("tblEquipment[Equipment ID]"),INDIRECT("tblEquipment[Equipment Name]"),"")</f>
        <v/>
      </c>
      <c r="F1064" s="16" t="n"/>
      <c r="G1064" s="16" t="n"/>
      <c r="H1064" s="1">
        <f>IF(OR(F1064=0,G1064=0),"",(G1064-F1064)*24)</f>
        <v/>
      </c>
      <c r="I1064" s="10" t="n"/>
      <c r="J1064" s="1">
        <f>IF(OR(tblDowntime[[#This Row],[Failure Type]]="Sawshop",tblDowntime[[#This Row],[Failure Type]]="Electrical",tblDowntime[[#This Row],[Failure Type]]="Mechanical"),tblDowntime[[#This Row],[Downtime Hours]],"")</f>
        <v/>
      </c>
      <c r="K1064" s="10" t="n"/>
      <c r="L1064" s="10" t="n"/>
      <c r="M1064">
        <f>IF(tblDowntime[[#This Row],[Maintenance Downtime Hours]]="","",tblDowntime[[#This Row],[Equipment ID]])</f>
        <v/>
      </c>
      <c r="N1064" s="1">
        <f>IF(tblDowntime[[#This Row],[Failure Type]]="Production",tblDowntime[[#This Row],[Downtime Hours]],"")</f>
        <v/>
      </c>
      <c r="O1064">
        <f>IF(tblDowntime[[#This Row],[Production Downtime Hours]]="","",tblDowntime[[#This Row],[Equipment ID]])</f>
        <v/>
      </c>
      <c r="P1064" s="10" t="n"/>
    </row>
    <row r="1065">
      <c r="B1065">
        <f t="array" ref="B1065">_xlfn.XLOOKUP(C1065,INDIRECT("tblEquipment[Equipment ID]"),INDIRECT("tblEquipment[Production Department]"),"")</f>
        <v/>
      </c>
      <c r="D1065">
        <f t="array" ref="D1065">_xlfn.XLOOKUP(C1065,INDIRECT("tblEquipment[Equipment ID]"),INDIRECT("tblEquipment[Equipment Name]"),"")</f>
        <v/>
      </c>
      <c r="F1065" s="16" t="n"/>
      <c r="G1065" s="16" t="n"/>
      <c r="H1065" s="1">
        <f>IF(OR(F1065=0,G1065=0),"",(G1065-F1065)*24)</f>
        <v/>
      </c>
      <c r="I1065" s="10" t="n"/>
      <c r="J1065" s="1">
        <f>IF(OR(tblDowntime[[#This Row],[Failure Type]]="Sawshop",tblDowntime[[#This Row],[Failure Type]]="Electrical",tblDowntime[[#This Row],[Failure Type]]="Mechanical"),tblDowntime[[#This Row],[Downtime Hours]],"")</f>
        <v/>
      </c>
      <c r="K1065" s="10" t="n"/>
      <c r="L1065" s="10" t="n"/>
      <c r="M1065">
        <f>IF(tblDowntime[[#This Row],[Maintenance Downtime Hours]]="","",tblDowntime[[#This Row],[Equipment ID]])</f>
        <v/>
      </c>
      <c r="N1065" s="1">
        <f>IF(tblDowntime[[#This Row],[Failure Type]]="Production",tblDowntime[[#This Row],[Downtime Hours]],"")</f>
        <v/>
      </c>
      <c r="O1065">
        <f>IF(tblDowntime[[#This Row],[Production Downtime Hours]]="","",tblDowntime[[#This Row],[Equipment ID]])</f>
        <v/>
      </c>
      <c r="P1065" s="10" t="n"/>
    </row>
    <row r="1066">
      <c r="B1066">
        <f t="array" ref="B1066">_xlfn.XLOOKUP(C1066,INDIRECT("tblEquipment[Equipment ID]"),INDIRECT("tblEquipment[Production Department]"),"")</f>
        <v/>
      </c>
      <c r="D1066">
        <f t="array" ref="D1066">_xlfn.XLOOKUP(C1066,INDIRECT("tblEquipment[Equipment ID]"),INDIRECT("tblEquipment[Equipment Name]"),"")</f>
        <v/>
      </c>
      <c r="F1066" s="16" t="n"/>
      <c r="G1066" s="16" t="n"/>
      <c r="H1066" s="1">
        <f>IF(OR(F1066=0,G1066=0),"",(G1066-F1066)*24)</f>
        <v/>
      </c>
      <c r="I1066" s="10" t="n"/>
      <c r="J1066" s="1">
        <f>IF(OR(tblDowntime[[#This Row],[Failure Type]]="Sawshop",tblDowntime[[#This Row],[Failure Type]]="Electrical",tblDowntime[[#This Row],[Failure Type]]="Mechanical"),tblDowntime[[#This Row],[Downtime Hours]],"")</f>
        <v/>
      </c>
      <c r="K1066" s="10" t="n"/>
      <c r="L1066" s="10" t="n"/>
      <c r="M1066">
        <f>IF(tblDowntime[[#This Row],[Maintenance Downtime Hours]]="","",tblDowntime[[#This Row],[Equipment ID]])</f>
        <v/>
      </c>
      <c r="N1066" s="1">
        <f>IF(tblDowntime[[#This Row],[Failure Type]]="Production",tblDowntime[[#This Row],[Downtime Hours]],"")</f>
        <v/>
      </c>
      <c r="O1066">
        <f>IF(tblDowntime[[#This Row],[Production Downtime Hours]]="","",tblDowntime[[#This Row],[Equipment ID]])</f>
        <v/>
      </c>
      <c r="P1066" s="10" t="n"/>
    </row>
    <row r="1067">
      <c r="B1067">
        <f t="array" ref="B1067">_xlfn.XLOOKUP(C1067,INDIRECT("tblEquipment[Equipment ID]"),INDIRECT("tblEquipment[Production Department]"),"")</f>
        <v/>
      </c>
      <c r="D1067">
        <f t="array" ref="D1067">_xlfn.XLOOKUP(C1067,INDIRECT("tblEquipment[Equipment ID]"),INDIRECT("tblEquipment[Equipment Name]"),"")</f>
        <v/>
      </c>
      <c r="F1067" s="16" t="n"/>
      <c r="G1067" s="16" t="n"/>
      <c r="H1067" s="1">
        <f>IF(OR(F1067=0,G1067=0),"",(G1067-F1067)*24)</f>
        <v/>
      </c>
      <c r="I1067" s="10" t="n"/>
      <c r="J1067" s="1">
        <f>IF(OR(tblDowntime[[#This Row],[Failure Type]]="Sawshop",tblDowntime[[#This Row],[Failure Type]]="Electrical",tblDowntime[[#This Row],[Failure Type]]="Mechanical"),tblDowntime[[#This Row],[Downtime Hours]],"")</f>
        <v/>
      </c>
      <c r="K1067" s="10" t="n"/>
      <c r="L1067" s="10" t="n"/>
      <c r="M1067">
        <f>IF(tblDowntime[[#This Row],[Maintenance Downtime Hours]]="","",tblDowntime[[#This Row],[Equipment ID]])</f>
        <v/>
      </c>
      <c r="N1067" s="1">
        <f>IF(tblDowntime[[#This Row],[Failure Type]]="Production",tblDowntime[[#This Row],[Downtime Hours]],"")</f>
        <v/>
      </c>
      <c r="O1067">
        <f>IF(tblDowntime[[#This Row],[Production Downtime Hours]]="","",tblDowntime[[#This Row],[Equipment ID]])</f>
        <v/>
      </c>
      <c r="P1067" s="10" t="n"/>
    </row>
    <row r="1068">
      <c r="B1068">
        <f t="array" ref="B1068">_xlfn.XLOOKUP(C1068,INDIRECT("tblEquipment[Equipment ID]"),INDIRECT("tblEquipment[Production Department]"),"")</f>
        <v/>
      </c>
      <c r="D1068">
        <f t="array" ref="D1068">_xlfn.XLOOKUP(C1068,INDIRECT("tblEquipment[Equipment ID]"),INDIRECT("tblEquipment[Equipment Name]"),"")</f>
        <v/>
      </c>
      <c r="F1068" s="16" t="n"/>
      <c r="G1068" s="16" t="n"/>
      <c r="H1068" s="1">
        <f>IF(OR(F1068=0,G1068=0),"",(G1068-F1068)*24)</f>
        <v/>
      </c>
      <c r="I1068" s="10" t="n"/>
      <c r="J1068" s="1">
        <f>IF(OR(tblDowntime[[#This Row],[Failure Type]]="Sawshop",tblDowntime[[#This Row],[Failure Type]]="Electrical",tblDowntime[[#This Row],[Failure Type]]="Mechanical"),tblDowntime[[#This Row],[Downtime Hours]],"")</f>
        <v/>
      </c>
      <c r="K1068" s="10" t="n"/>
      <c r="L1068" s="10" t="n"/>
      <c r="M1068">
        <f>IF(tblDowntime[[#This Row],[Maintenance Downtime Hours]]="","",tblDowntime[[#This Row],[Equipment ID]])</f>
        <v/>
      </c>
      <c r="N1068" s="1">
        <f>IF(tblDowntime[[#This Row],[Failure Type]]="Production",tblDowntime[[#This Row],[Downtime Hours]],"")</f>
        <v/>
      </c>
      <c r="O1068">
        <f>IF(tblDowntime[[#This Row],[Production Downtime Hours]]="","",tblDowntime[[#This Row],[Equipment ID]])</f>
        <v/>
      </c>
      <c r="P1068" s="10" t="n"/>
    </row>
    <row r="1069">
      <c r="B1069">
        <f t="array" ref="B1069">_xlfn.XLOOKUP(C1069,INDIRECT("tblEquipment[Equipment ID]"),INDIRECT("tblEquipment[Production Department]"),"")</f>
        <v/>
      </c>
      <c r="D1069">
        <f t="array" ref="D1069">_xlfn.XLOOKUP(C1069,INDIRECT("tblEquipment[Equipment ID]"),INDIRECT("tblEquipment[Equipment Name]"),"")</f>
        <v/>
      </c>
      <c r="F1069" s="16" t="n"/>
      <c r="G1069" s="16" t="n"/>
      <c r="H1069" s="1">
        <f>IF(OR(F1069=0,G1069=0),"",(G1069-F1069)*24)</f>
        <v/>
      </c>
      <c r="I1069" s="10" t="n"/>
      <c r="J1069" s="1">
        <f>IF(OR(tblDowntime[[#This Row],[Failure Type]]="Sawshop",tblDowntime[[#This Row],[Failure Type]]="Electrical",tblDowntime[[#This Row],[Failure Type]]="Mechanical"),tblDowntime[[#This Row],[Downtime Hours]],"")</f>
        <v/>
      </c>
      <c r="K1069" s="10" t="n"/>
      <c r="L1069" s="10" t="n"/>
      <c r="M1069">
        <f>IF(tblDowntime[[#This Row],[Maintenance Downtime Hours]]="","",tblDowntime[[#This Row],[Equipment ID]])</f>
        <v/>
      </c>
      <c r="N1069" s="1">
        <f>IF(tblDowntime[[#This Row],[Failure Type]]="Production",tblDowntime[[#This Row],[Downtime Hours]],"")</f>
        <v/>
      </c>
      <c r="O1069">
        <f>IF(tblDowntime[[#This Row],[Production Downtime Hours]]="","",tblDowntime[[#This Row],[Equipment ID]])</f>
        <v/>
      </c>
      <c r="P1069" s="10" t="n"/>
    </row>
    <row r="1070">
      <c r="B1070">
        <f t="array" ref="B1070">_xlfn.XLOOKUP(C1070,INDIRECT("tblEquipment[Equipment ID]"),INDIRECT("tblEquipment[Production Department]"),"")</f>
        <v/>
      </c>
      <c r="D1070">
        <f t="array" ref="D1070">_xlfn.XLOOKUP(C1070,INDIRECT("tblEquipment[Equipment ID]"),INDIRECT("tblEquipment[Equipment Name]"),"")</f>
        <v/>
      </c>
      <c r="F1070" s="16" t="n"/>
      <c r="G1070" s="16" t="n"/>
      <c r="H1070" s="1">
        <f>IF(OR(F1070=0,G1070=0),"",(G1070-F1070)*24)</f>
        <v/>
      </c>
      <c r="I1070" s="10" t="n"/>
      <c r="J1070" s="1">
        <f>IF(OR(tblDowntime[[#This Row],[Failure Type]]="Sawshop",tblDowntime[[#This Row],[Failure Type]]="Electrical",tblDowntime[[#This Row],[Failure Type]]="Mechanical"),tblDowntime[[#This Row],[Downtime Hours]],"")</f>
        <v/>
      </c>
      <c r="K1070" s="10" t="n"/>
      <c r="L1070" s="10" t="n"/>
      <c r="M1070">
        <f>IF(tblDowntime[[#This Row],[Maintenance Downtime Hours]]="","",tblDowntime[[#This Row],[Equipment ID]])</f>
        <v/>
      </c>
      <c r="N1070" s="1">
        <f>IF(tblDowntime[[#This Row],[Failure Type]]="Production",tblDowntime[[#This Row],[Downtime Hours]],"")</f>
        <v/>
      </c>
      <c r="O1070">
        <f>IF(tblDowntime[[#This Row],[Production Downtime Hours]]="","",tblDowntime[[#This Row],[Equipment ID]])</f>
        <v/>
      </c>
      <c r="P1070" s="10" t="n"/>
    </row>
    <row r="1071">
      <c r="B1071">
        <f t="array" ref="B1071">_xlfn.XLOOKUP(C1071,INDIRECT("tblEquipment[Equipment ID]"),INDIRECT("tblEquipment[Production Department]"),"")</f>
        <v/>
      </c>
      <c r="D1071">
        <f t="array" ref="D1071">_xlfn.XLOOKUP(C1071,INDIRECT("tblEquipment[Equipment ID]"),INDIRECT("tblEquipment[Equipment Name]"),"")</f>
        <v/>
      </c>
      <c r="F1071" s="16" t="n"/>
      <c r="G1071" s="16" t="n"/>
      <c r="H1071" s="1">
        <f>IF(OR(F1071=0,G1071=0),"",(G1071-F1071)*24)</f>
        <v/>
      </c>
      <c r="I1071" s="10" t="n"/>
      <c r="J1071" s="1">
        <f>IF(OR(tblDowntime[[#This Row],[Failure Type]]="Sawshop",tblDowntime[[#This Row],[Failure Type]]="Electrical",tblDowntime[[#This Row],[Failure Type]]="Mechanical"),tblDowntime[[#This Row],[Downtime Hours]],"")</f>
        <v/>
      </c>
      <c r="K1071" s="10" t="n"/>
      <c r="L1071" s="10" t="n"/>
      <c r="M1071">
        <f>IF(tblDowntime[[#This Row],[Maintenance Downtime Hours]]="","",tblDowntime[[#This Row],[Equipment ID]])</f>
        <v/>
      </c>
      <c r="N1071" s="1">
        <f>IF(tblDowntime[[#This Row],[Failure Type]]="Production",tblDowntime[[#This Row],[Downtime Hours]],"")</f>
        <v/>
      </c>
      <c r="O1071">
        <f>IF(tblDowntime[[#This Row],[Production Downtime Hours]]="","",tblDowntime[[#This Row],[Equipment ID]])</f>
        <v/>
      </c>
      <c r="P1071" s="10" t="n"/>
    </row>
    <row r="1072">
      <c r="B1072">
        <f t="array" ref="B1072">_xlfn.XLOOKUP(C1072,INDIRECT("tblEquipment[Equipment ID]"),INDIRECT("tblEquipment[Production Department]"),"")</f>
        <v/>
      </c>
      <c r="D1072">
        <f t="array" ref="D1072">_xlfn.XLOOKUP(C1072,INDIRECT("tblEquipment[Equipment ID]"),INDIRECT("tblEquipment[Equipment Name]"),"")</f>
        <v/>
      </c>
      <c r="F1072" s="16" t="n"/>
      <c r="G1072" s="16" t="n"/>
      <c r="H1072" s="1">
        <f>IF(OR(F1072=0,G1072=0),"",(G1072-F1072)*24)</f>
        <v/>
      </c>
      <c r="I1072" s="10" t="n"/>
      <c r="J1072" s="1">
        <f>IF(OR(tblDowntime[[#This Row],[Failure Type]]="Sawshop",tblDowntime[[#This Row],[Failure Type]]="Electrical",tblDowntime[[#This Row],[Failure Type]]="Mechanical"),tblDowntime[[#This Row],[Downtime Hours]],"")</f>
        <v/>
      </c>
      <c r="K1072" s="10" t="n"/>
      <c r="L1072" s="10" t="n"/>
      <c r="M1072">
        <f>IF(tblDowntime[[#This Row],[Maintenance Downtime Hours]]="","",tblDowntime[[#This Row],[Equipment ID]])</f>
        <v/>
      </c>
      <c r="N1072" s="1">
        <f>IF(tblDowntime[[#This Row],[Failure Type]]="Production",tblDowntime[[#This Row],[Downtime Hours]],"")</f>
        <v/>
      </c>
      <c r="O1072">
        <f>IF(tblDowntime[[#This Row],[Production Downtime Hours]]="","",tblDowntime[[#This Row],[Equipment ID]])</f>
        <v/>
      </c>
      <c r="P1072" s="10" t="n"/>
    </row>
    <row r="1073">
      <c r="B1073">
        <f t="array" ref="B1073">_xlfn.XLOOKUP(C1073,INDIRECT("tblEquipment[Equipment ID]"),INDIRECT("tblEquipment[Production Department]"),"")</f>
        <v/>
      </c>
      <c r="D1073">
        <f t="array" ref="D1073">_xlfn.XLOOKUP(C1073,INDIRECT("tblEquipment[Equipment ID]"),INDIRECT("tblEquipment[Equipment Name]"),"")</f>
        <v/>
      </c>
      <c r="F1073" s="16" t="n"/>
      <c r="G1073" s="16" t="n"/>
      <c r="H1073" s="1">
        <f>IF(OR(F1073=0,G1073=0),"",(G1073-F1073)*24)</f>
        <v/>
      </c>
      <c r="I1073" s="10" t="n"/>
      <c r="J1073" s="1">
        <f>IF(OR(tblDowntime[[#This Row],[Failure Type]]="Sawshop",tblDowntime[[#This Row],[Failure Type]]="Electrical",tblDowntime[[#This Row],[Failure Type]]="Mechanical"),tblDowntime[[#This Row],[Downtime Hours]],"")</f>
        <v/>
      </c>
      <c r="K1073" s="10" t="n"/>
      <c r="L1073" s="10" t="n"/>
      <c r="M1073">
        <f>IF(tblDowntime[[#This Row],[Maintenance Downtime Hours]]="","",tblDowntime[[#This Row],[Equipment ID]])</f>
        <v/>
      </c>
      <c r="N1073" s="1">
        <f>IF(tblDowntime[[#This Row],[Failure Type]]="Production",tblDowntime[[#This Row],[Downtime Hours]],"")</f>
        <v/>
      </c>
      <c r="O1073">
        <f>IF(tblDowntime[[#This Row],[Production Downtime Hours]]="","",tblDowntime[[#This Row],[Equipment ID]])</f>
        <v/>
      </c>
      <c r="P1073" s="10" t="n"/>
    </row>
    <row r="1074">
      <c r="B1074">
        <f t="array" ref="B1074">_xlfn.XLOOKUP(C1074,INDIRECT("tblEquipment[Equipment ID]"),INDIRECT("tblEquipment[Production Department]"),"")</f>
        <v/>
      </c>
      <c r="D1074">
        <f t="array" ref="D1074">_xlfn.XLOOKUP(C1074,INDIRECT("tblEquipment[Equipment ID]"),INDIRECT("tblEquipment[Equipment Name]"),"")</f>
        <v/>
      </c>
      <c r="F1074" s="16" t="n"/>
      <c r="G1074" s="16" t="n"/>
      <c r="H1074" s="1">
        <f>IF(OR(F1074=0,G1074=0),"",(G1074-F1074)*24)</f>
        <v/>
      </c>
      <c r="I1074" s="10" t="n"/>
      <c r="J1074" s="1">
        <f>IF(OR(tblDowntime[[#This Row],[Failure Type]]="Sawshop",tblDowntime[[#This Row],[Failure Type]]="Electrical",tblDowntime[[#This Row],[Failure Type]]="Mechanical"),tblDowntime[[#This Row],[Downtime Hours]],"")</f>
        <v/>
      </c>
      <c r="K1074" s="10" t="n"/>
      <c r="L1074" s="10" t="n"/>
      <c r="M1074">
        <f>IF(tblDowntime[[#This Row],[Maintenance Downtime Hours]]="","",tblDowntime[[#This Row],[Equipment ID]])</f>
        <v/>
      </c>
      <c r="N1074" s="1">
        <f>IF(tblDowntime[[#This Row],[Failure Type]]="Production",tblDowntime[[#This Row],[Downtime Hours]],"")</f>
        <v/>
      </c>
      <c r="O1074">
        <f>IF(tblDowntime[[#This Row],[Production Downtime Hours]]="","",tblDowntime[[#This Row],[Equipment ID]])</f>
        <v/>
      </c>
      <c r="P1074" s="10" t="n"/>
    </row>
    <row r="1075">
      <c r="B1075">
        <f t="array" ref="B1075">_xlfn.XLOOKUP(C1075,INDIRECT("tblEquipment[Equipment ID]"),INDIRECT("tblEquipment[Production Department]"),"")</f>
        <v/>
      </c>
      <c r="D1075">
        <f t="array" ref="D1075">_xlfn.XLOOKUP(C1075,INDIRECT("tblEquipment[Equipment ID]"),INDIRECT("tblEquipment[Equipment Name]"),"")</f>
        <v/>
      </c>
      <c r="F1075" s="16" t="n"/>
      <c r="G1075" s="16" t="n"/>
      <c r="H1075" s="1">
        <f>IF(OR(F1075=0,G1075=0),"",(G1075-F1075)*24)</f>
        <v/>
      </c>
      <c r="I1075" s="10" t="n"/>
      <c r="J1075" s="1">
        <f>IF(OR(tblDowntime[[#This Row],[Failure Type]]="Sawshop",tblDowntime[[#This Row],[Failure Type]]="Electrical",tblDowntime[[#This Row],[Failure Type]]="Mechanical"),tblDowntime[[#This Row],[Downtime Hours]],"")</f>
        <v/>
      </c>
      <c r="K1075" s="10" t="n"/>
      <c r="L1075" s="10" t="n"/>
      <c r="M1075">
        <f>IF(tblDowntime[[#This Row],[Maintenance Downtime Hours]]="","",tblDowntime[[#This Row],[Equipment ID]])</f>
        <v/>
      </c>
      <c r="N1075" s="1">
        <f>IF(tblDowntime[[#This Row],[Failure Type]]="Production",tblDowntime[[#This Row],[Downtime Hours]],"")</f>
        <v/>
      </c>
      <c r="O1075">
        <f>IF(tblDowntime[[#This Row],[Production Downtime Hours]]="","",tblDowntime[[#This Row],[Equipment ID]])</f>
        <v/>
      </c>
      <c r="P1075" s="10" t="n"/>
    </row>
    <row r="1076">
      <c r="B1076">
        <f t="array" ref="B1076">_xlfn.XLOOKUP(C1076,INDIRECT("tblEquipment[Equipment ID]"),INDIRECT("tblEquipment[Production Department]"),"")</f>
        <v/>
      </c>
      <c r="D1076">
        <f t="array" ref="D1076">_xlfn.XLOOKUP(C1076,INDIRECT("tblEquipment[Equipment ID]"),INDIRECT("tblEquipment[Equipment Name]"),"")</f>
        <v/>
      </c>
      <c r="F1076" s="16" t="n"/>
      <c r="G1076" s="16" t="n"/>
      <c r="H1076" s="1">
        <f>IF(OR(F1076=0,G1076=0),"",(G1076-F1076)*24)</f>
        <v/>
      </c>
      <c r="I1076" s="10" t="n"/>
      <c r="J1076" s="1">
        <f>IF(OR(tblDowntime[[#This Row],[Failure Type]]="Sawshop",tblDowntime[[#This Row],[Failure Type]]="Electrical",tblDowntime[[#This Row],[Failure Type]]="Mechanical"),tblDowntime[[#This Row],[Downtime Hours]],"")</f>
        <v/>
      </c>
      <c r="K1076" s="10" t="n"/>
      <c r="L1076" s="10" t="n"/>
      <c r="M1076">
        <f>IF(tblDowntime[[#This Row],[Maintenance Downtime Hours]]="","",tblDowntime[[#This Row],[Equipment ID]])</f>
        <v/>
      </c>
      <c r="N1076" s="1">
        <f>IF(tblDowntime[[#This Row],[Failure Type]]="Production",tblDowntime[[#This Row],[Downtime Hours]],"")</f>
        <v/>
      </c>
      <c r="O1076">
        <f>IF(tblDowntime[[#This Row],[Production Downtime Hours]]="","",tblDowntime[[#This Row],[Equipment ID]])</f>
        <v/>
      </c>
      <c r="P1076" s="10" t="n"/>
    </row>
    <row r="1077">
      <c r="B1077">
        <f t="array" ref="B1077">_xlfn.XLOOKUP(C1077,INDIRECT("tblEquipment[Equipment ID]"),INDIRECT("tblEquipment[Production Department]"),"")</f>
        <v/>
      </c>
      <c r="D1077">
        <f t="array" ref="D1077">_xlfn.XLOOKUP(C1077,INDIRECT("tblEquipment[Equipment ID]"),INDIRECT("tblEquipment[Equipment Name]"),"")</f>
        <v/>
      </c>
      <c r="F1077" s="16" t="n"/>
      <c r="G1077" s="16" t="n"/>
      <c r="H1077" s="1">
        <f>IF(OR(F1077=0,G1077=0),"",(G1077-F1077)*24)</f>
        <v/>
      </c>
      <c r="I1077" s="10" t="n"/>
      <c r="J1077" s="1">
        <f>IF(OR(tblDowntime[[#This Row],[Failure Type]]="Sawshop",tblDowntime[[#This Row],[Failure Type]]="Electrical",tblDowntime[[#This Row],[Failure Type]]="Mechanical"),tblDowntime[[#This Row],[Downtime Hours]],"")</f>
        <v/>
      </c>
      <c r="K1077" s="10" t="n"/>
      <c r="L1077" s="10" t="n"/>
      <c r="M1077">
        <f>IF(tblDowntime[[#This Row],[Maintenance Downtime Hours]]="","",tblDowntime[[#This Row],[Equipment ID]])</f>
        <v/>
      </c>
      <c r="N1077" s="1">
        <f>IF(tblDowntime[[#This Row],[Failure Type]]="Production",tblDowntime[[#This Row],[Downtime Hours]],"")</f>
        <v/>
      </c>
      <c r="O1077">
        <f>IF(tblDowntime[[#This Row],[Production Downtime Hours]]="","",tblDowntime[[#This Row],[Equipment ID]])</f>
        <v/>
      </c>
      <c r="P1077" s="10" t="n"/>
    </row>
    <row r="1078">
      <c r="B1078">
        <f t="array" ref="B1078">_xlfn.XLOOKUP(C1078,INDIRECT("tblEquipment[Equipment ID]"),INDIRECT("tblEquipment[Production Department]"),"")</f>
        <v/>
      </c>
      <c r="D1078">
        <f t="array" ref="D1078">_xlfn.XLOOKUP(C1078,INDIRECT("tblEquipment[Equipment ID]"),INDIRECT("tblEquipment[Equipment Name]"),"")</f>
        <v/>
      </c>
      <c r="F1078" s="16" t="n"/>
      <c r="G1078" s="16" t="n"/>
      <c r="H1078" s="1">
        <f>IF(OR(F1078=0,G1078=0),"",(G1078-F1078)*24)</f>
        <v/>
      </c>
      <c r="I1078" s="10" t="n"/>
      <c r="J1078" s="1">
        <f>IF(OR(tblDowntime[[#This Row],[Failure Type]]="Sawshop",tblDowntime[[#This Row],[Failure Type]]="Electrical",tblDowntime[[#This Row],[Failure Type]]="Mechanical"),tblDowntime[[#This Row],[Downtime Hours]],"")</f>
        <v/>
      </c>
      <c r="K1078" s="10" t="n"/>
      <c r="L1078" s="10" t="n"/>
      <c r="M1078">
        <f>IF(tblDowntime[[#This Row],[Maintenance Downtime Hours]]="","",tblDowntime[[#This Row],[Equipment ID]])</f>
        <v/>
      </c>
      <c r="N1078" s="1">
        <f>IF(tblDowntime[[#This Row],[Failure Type]]="Production",tblDowntime[[#This Row],[Downtime Hours]],"")</f>
        <v/>
      </c>
      <c r="O1078">
        <f>IF(tblDowntime[[#This Row],[Production Downtime Hours]]="","",tblDowntime[[#This Row],[Equipment ID]])</f>
        <v/>
      </c>
      <c r="P1078" s="10" t="n"/>
    </row>
    <row r="1079">
      <c r="B1079">
        <f t="array" ref="B1079">_xlfn.XLOOKUP(C1079,INDIRECT("tblEquipment[Equipment ID]"),INDIRECT("tblEquipment[Production Department]"),"")</f>
        <v/>
      </c>
      <c r="D1079">
        <f t="array" ref="D1079">_xlfn.XLOOKUP(C1079,INDIRECT("tblEquipment[Equipment ID]"),INDIRECT("tblEquipment[Equipment Name]"),"")</f>
        <v/>
      </c>
      <c r="F1079" s="16" t="n"/>
      <c r="G1079" s="16" t="n"/>
      <c r="H1079" s="1">
        <f>IF(OR(F1079=0,G1079=0),"",(G1079-F1079)*24)</f>
        <v/>
      </c>
      <c r="I1079" s="10" t="n"/>
      <c r="J1079" s="1">
        <f>IF(OR(tblDowntime[[#This Row],[Failure Type]]="Sawshop",tblDowntime[[#This Row],[Failure Type]]="Electrical",tblDowntime[[#This Row],[Failure Type]]="Mechanical"),tblDowntime[[#This Row],[Downtime Hours]],"")</f>
        <v/>
      </c>
      <c r="K1079" s="10" t="n"/>
      <c r="L1079" s="10" t="n"/>
      <c r="M1079">
        <f>IF(tblDowntime[[#This Row],[Maintenance Downtime Hours]]="","",tblDowntime[[#This Row],[Equipment ID]])</f>
        <v/>
      </c>
      <c r="N1079" s="1">
        <f>IF(tblDowntime[[#This Row],[Failure Type]]="Production",tblDowntime[[#This Row],[Downtime Hours]],"")</f>
        <v/>
      </c>
      <c r="O1079">
        <f>IF(tblDowntime[[#This Row],[Production Downtime Hours]]="","",tblDowntime[[#This Row],[Equipment ID]])</f>
        <v/>
      </c>
      <c r="P1079" s="10" t="n"/>
    </row>
    <row r="1080">
      <c r="B1080">
        <f t="array" ref="B1080">_xlfn.XLOOKUP(C1080,INDIRECT("tblEquipment[Equipment ID]"),INDIRECT("tblEquipment[Production Department]"),"")</f>
        <v/>
      </c>
      <c r="D1080">
        <f t="array" ref="D1080">_xlfn.XLOOKUP(C1080,INDIRECT("tblEquipment[Equipment ID]"),INDIRECT("tblEquipment[Equipment Name]"),"")</f>
        <v/>
      </c>
      <c r="F1080" s="16" t="n"/>
      <c r="G1080" s="16" t="n"/>
      <c r="H1080" s="1">
        <f>IF(OR(F1080=0,G1080=0),"",(G1080-F1080)*24)</f>
        <v/>
      </c>
      <c r="I1080" s="10" t="n"/>
      <c r="J1080" s="1">
        <f>IF(OR(tblDowntime[[#This Row],[Failure Type]]="Sawshop",tblDowntime[[#This Row],[Failure Type]]="Electrical",tblDowntime[[#This Row],[Failure Type]]="Mechanical"),tblDowntime[[#This Row],[Downtime Hours]],"")</f>
        <v/>
      </c>
      <c r="K1080" s="10" t="n"/>
      <c r="L1080" s="10" t="n"/>
      <c r="M1080">
        <f>IF(tblDowntime[[#This Row],[Maintenance Downtime Hours]]="","",tblDowntime[[#This Row],[Equipment ID]])</f>
        <v/>
      </c>
      <c r="N1080" s="1">
        <f>IF(tblDowntime[[#This Row],[Failure Type]]="Production",tblDowntime[[#This Row],[Downtime Hours]],"")</f>
        <v/>
      </c>
      <c r="O1080">
        <f>IF(tblDowntime[[#This Row],[Production Downtime Hours]]="","",tblDowntime[[#This Row],[Equipment ID]])</f>
        <v/>
      </c>
      <c r="P1080" s="10" t="n"/>
    </row>
    <row r="1081">
      <c r="B1081">
        <f t="array" ref="B1081">_xlfn.XLOOKUP(C1081,INDIRECT("tblEquipment[Equipment ID]"),INDIRECT("tblEquipment[Production Department]"),"")</f>
        <v/>
      </c>
      <c r="D1081">
        <f t="array" ref="D1081">_xlfn.XLOOKUP(C1081,INDIRECT("tblEquipment[Equipment ID]"),INDIRECT("tblEquipment[Equipment Name]"),"")</f>
        <v/>
      </c>
      <c r="F1081" s="16" t="n"/>
      <c r="G1081" s="16" t="n"/>
      <c r="H1081" s="1">
        <f>IF(OR(F1081=0,G1081=0),"",(G1081-F1081)*24)</f>
        <v/>
      </c>
      <c r="I1081" s="10" t="n"/>
      <c r="J1081" s="1">
        <f>IF(OR(tblDowntime[[#This Row],[Failure Type]]="Sawshop",tblDowntime[[#This Row],[Failure Type]]="Electrical",tblDowntime[[#This Row],[Failure Type]]="Mechanical"),tblDowntime[[#This Row],[Downtime Hours]],"")</f>
        <v/>
      </c>
      <c r="K1081" s="10" t="n"/>
      <c r="L1081" s="10" t="n"/>
      <c r="M1081">
        <f>IF(tblDowntime[[#This Row],[Maintenance Downtime Hours]]="","",tblDowntime[[#This Row],[Equipment ID]])</f>
        <v/>
      </c>
      <c r="N1081" s="1">
        <f>IF(tblDowntime[[#This Row],[Failure Type]]="Production",tblDowntime[[#This Row],[Downtime Hours]],"")</f>
        <v/>
      </c>
      <c r="O1081">
        <f>IF(tblDowntime[[#This Row],[Production Downtime Hours]]="","",tblDowntime[[#This Row],[Equipment ID]])</f>
        <v/>
      </c>
      <c r="P1081" s="10" t="n"/>
    </row>
    <row r="1082">
      <c r="B1082">
        <f t="array" ref="B1082">_xlfn.XLOOKUP(C1082,INDIRECT("tblEquipment[Equipment ID]"),INDIRECT("tblEquipment[Production Department]"),"")</f>
        <v/>
      </c>
      <c r="D1082">
        <f t="array" ref="D1082">_xlfn.XLOOKUP(C1082,INDIRECT("tblEquipment[Equipment ID]"),INDIRECT("tblEquipment[Equipment Name]"),"")</f>
        <v/>
      </c>
      <c r="F1082" s="16" t="n"/>
      <c r="G1082" s="16" t="n"/>
      <c r="H1082" s="1">
        <f>IF(OR(F1082=0,G1082=0),"",(G1082-F1082)*24)</f>
        <v/>
      </c>
      <c r="I1082" s="10" t="n"/>
      <c r="J1082" s="1">
        <f>IF(OR(tblDowntime[[#This Row],[Failure Type]]="Sawshop",tblDowntime[[#This Row],[Failure Type]]="Electrical",tblDowntime[[#This Row],[Failure Type]]="Mechanical"),tblDowntime[[#This Row],[Downtime Hours]],"")</f>
        <v/>
      </c>
      <c r="K1082" s="10" t="n"/>
      <c r="L1082" s="10" t="n"/>
      <c r="M1082">
        <f>IF(tblDowntime[[#This Row],[Maintenance Downtime Hours]]="","",tblDowntime[[#This Row],[Equipment ID]])</f>
        <v/>
      </c>
      <c r="N1082" s="1">
        <f>IF(tblDowntime[[#This Row],[Failure Type]]="Production",tblDowntime[[#This Row],[Downtime Hours]],"")</f>
        <v/>
      </c>
      <c r="O1082">
        <f>IF(tblDowntime[[#This Row],[Production Downtime Hours]]="","",tblDowntime[[#This Row],[Equipment ID]])</f>
        <v/>
      </c>
      <c r="P1082" s="10" t="n"/>
    </row>
    <row r="1083">
      <c r="B1083">
        <f t="array" ref="B1083">_xlfn.XLOOKUP(C1083,INDIRECT("tblEquipment[Equipment ID]"),INDIRECT("tblEquipment[Production Department]"),"")</f>
        <v/>
      </c>
      <c r="D1083">
        <f t="array" ref="D1083">_xlfn.XLOOKUP(C1083,INDIRECT("tblEquipment[Equipment ID]"),INDIRECT("tblEquipment[Equipment Name]"),"")</f>
        <v/>
      </c>
      <c r="F1083" s="16" t="n"/>
      <c r="G1083" s="16" t="n"/>
      <c r="H1083" s="1">
        <f>IF(OR(F1083=0,G1083=0),"",(G1083-F1083)*24)</f>
        <v/>
      </c>
      <c r="I1083" s="10" t="n"/>
      <c r="J1083" s="1">
        <f>IF(OR(tblDowntime[[#This Row],[Failure Type]]="Sawshop",tblDowntime[[#This Row],[Failure Type]]="Electrical",tblDowntime[[#This Row],[Failure Type]]="Mechanical"),tblDowntime[[#This Row],[Downtime Hours]],"")</f>
        <v/>
      </c>
      <c r="K1083" s="10" t="n"/>
      <c r="L1083" s="10" t="n"/>
      <c r="M1083">
        <f>IF(tblDowntime[[#This Row],[Maintenance Downtime Hours]]="","",tblDowntime[[#This Row],[Equipment ID]])</f>
        <v/>
      </c>
      <c r="N1083" s="1">
        <f>IF(tblDowntime[[#This Row],[Failure Type]]="Production",tblDowntime[[#This Row],[Downtime Hours]],"")</f>
        <v/>
      </c>
      <c r="O1083">
        <f>IF(tblDowntime[[#This Row],[Production Downtime Hours]]="","",tblDowntime[[#This Row],[Equipment ID]])</f>
        <v/>
      </c>
      <c r="P1083" s="10" t="n"/>
    </row>
    <row r="1084">
      <c r="B1084">
        <f t="array" ref="B1084">_xlfn.XLOOKUP(C1084,INDIRECT("tblEquipment[Equipment ID]"),INDIRECT("tblEquipment[Production Department]"),"")</f>
        <v/>
      </c>
      <c r="D1084">
        <f t="array" ref="D1084">_xlfn.XLOOKUP(C1084,INDIRECT("tblEquipment[Equipment ID]"),INDIRECT("tblEquipment[Equipment Name]"),"")</f>
        <v/>
      </c>
      <c r="F1084" s="16" t="n"/>
      <c r="G1084" s="16" t="n"/>
      <c r="H1084" s="1">
        <f>IF(OR(F1084=0,G1084=0),"",(G1084-F1084)*24)</f>
        <v/>
      </c>
      <c r="I1084" s="10" t="n"/>
      <c r="J1084" s="1">
        <f>IF(OR(tblDowntime[[#This Row],[Failure Type]]="Sawshop",tblDowntime[[#This Row],[Failure Type]]="Electrical",tblDowntime[[#This Row],[Failure Type]]="Mechanical"),tblDowntime[[#This Row],[Downtime Hours]],"")</f>
        <v/>
      </c>
      <c r="K1084" s="10" t="n"/>
      <c r="L1084" s="10" t="n"/>
      <c r="M1084">
        <f>IF(tblDowntime[[#This Row],[Maintenance Downtime Hours]]="","",tblDowntime[[#This Row],[Equipment ID]])</f>
        <v/>
      </c>
      <c r="N1084" s="1">
        <f>IF(tblDowntime[[#This Row],[Failure Type]]="Production",tblDowntime[[#This Row],[Downtime Hours]],"")</f>
        <v/>
      </c>
      <c r="O1084">
        <f>IF(tblDowntime[[#This Row],[Production Downtime Hours]]="","",tblDowntime[[#This Row],[Equipment ID]])</f>
        <v/>
      </c>
      <c r="P1084" s="10" t="n"/>
    </row>
    <row r="1085">
      <c r="B1085">
        <f t="array" ref="B1085">_xlfn.XLOOKUP(C1085,INDIRECT("tblEquipment[Equipment ID]"),INDIRECT("tblEquipment[Production Department]"),"")</f>
        <v/>
      </c>
      <c r="D1085">
        <f t="array" ref="D1085">_xlfn.XLOOKUP(C1085,INDIRECT("tblEquipment[Equipment ID]"),INDIRECT("tblEquipment[Equipment Name]"),"")</f>
        <v/>
      </c>
      <c r="F1085" s="16" t="n"/>
      <c r="G1085" s="16" t="n"/>
      <c r="H1085" s="1">
        <f>IF(OR(F1085=0,G1085=0),"",(G1085-F1085)*24)</f>
        <v/>
      </c>
      <c r="I1085" s="10" t="n"/>
      <c r="J1085" s="1">
        <f>IF(OR(tblDowntime[[#This Row],[Failure Type]]="Sawshop",tblDowntime[[#This Row],[Failure Type]]="Electrical",tblDowntime[[#This Row],[Failure Type]]="Mechanical"),tblDowntime[[#This Row],[Downtime Hours]],"")</f>
        <v/>
      </c>
      <c r="K1085" s="10" t="n"/>
      <c r="L1085" s="10" t="n"/>
      <c r="M1085">
        <f>IF(tblDowntime[[#This Row],[Maintenance Downtime Hours]]="","",tblDowntime[[#This Row],[Equipment ID]])</f>
        <v/>
      </c>
      <c r="N1085" s="1">
        <f>IF(tblDowntime[[#This Row],[Failure Type]]="Production",tblDowntime[[#This Row],[Downtime Hours]],"")</f>
        <v/>
      </c>
      <c r="O1085">
        <f>IF(tblDowntime[[#This Row],[Production Downtime Hours]]="","",tblDowntime[[#This Row],[Equipment ID]])</f>
        <v/>
      </c>
      <c r="P1085" s="10" t="n"/>
    </row>
    <row r="1086">
      <c r="B1086">
        <f t="array" ref="B1086">_xlfn.XLOOKUP(C1086,INDIRECT("tblEquipment[Equipment ID]"),INDIRECT("tblEquipment[Production Department]"),"")</f>
        <v/>
      </c>
      <c r="D1086">
        <f t="array" ref="D1086">_xlfn.XLOOKUP(C1086,INDIRECT("tblEquipment[Equipment ID]"),INDIRECT("tblEquipment[Equipment Name]"),"")</f>
        <v/>
      </c>
      <c r="F1086" s="16" t="n"/>
      <c r="G1086" s="16" t="n"/>
      <c r="H1086" s="1">
        <f>IF(OR(F1086=0,G1086=0),"",(G1086-F1086)*24)</f>
        <v/>
      </c>
      <c r="I1086" s="10" t="n"/>
      <c r="J1086" s="1">
        <f>IF(OR(tblDowntime[[#This Row],[Failure Type]]="Sawshop",tblDowntime[[#This Row],[Failure Type]]="Electrical",tblDowntime[[#This Row],[Failure Type]]="Mechanical"),tblDowntime[[#This Row],[Downtime Hours]],"")</f>
        <v/>
      </c>
      <c r="K1086" s="10" t="n"/>
      <c r="L1086" s="10" t="n"/>
      <c r="M1086">
        <f>IF(tblDowntime[[#This Row],[Maintenance Downtime Hours]]="","",tblDowntime[[#This Row],[Equipment ID]])</f>
        <v/>
      </c>
      <c r="N1086" s="1">
        <f>IF(tblDowntime[[#This Row],[Failure Type]]="Production",tblDowntime[[#This Row],[Downtime Hours]],"")</f>
        <v/>
      </c>
      <c r="O1086">
        <f>IF(tblDowntime[[#This Row],[Production Downtime Hours]]="","",tblDowntime[[#This Row],[Equipment ID]])</f>
        <v/>
      </c>
      <c r="P1086" s="10" t="n"/>
    </row>
    <row r="1087">
      <c r="B1087">
        <f t="array" ref="B1087">_xlfn.XLOOKUP(C1087,INDIRECT("tblEquipment[Equipment ID]"),INDIRECT("tblEquipment[Production Department]"),"")</f>
        <v/>
      </c>
      <c r="D1087">
        <f t="array" ref="D1087">_xlfn.XLOOKUP(C1087,INDIRECT("tblEquipment[Equipment ID]"),INDIRECT("tblEquipment[Equipment Name]"),"")</f>
        <v/>
      </c>
      <c r="F1087" s="16" t="n"/>
      <c r="G1087" s="16" t="n"/>
      <c r="H1087" s="1">
        <f>IF(OR(F1087=0,G1087=0),"",(G1087-F1087)*24)</f>
        <v/>
      </c>
      <c r="I1087" s="10" t="n"/>
      <c r="J1087" s="1">
        <f>IF(OR(tblDowntime[[#This Row],[Failure Type]]="Sawshop",tblDowntime[[#This Row],[Failure Type]]="Electrical",tblDowntime[[#This Row],[Failure Type]]="Mechanical"),tblDowntime[[#This Row],[Downtime Hours]],"")</f>
        <v/>
      </c>
      <c r="K1087" s="10" t="n"/>
      <c r="L1087" s="10" t="n"/>
      <c r="M1087">
        <f>IF(tblDowntime[[#This Row],[Maintenance Downtime Hours]]="","",tblDowntime[[#This Row],[Equipment ID]])</f>
        <v/>
      </c>
      <c r="N1087" s="1">
        <f>IF(tblDowntime[[#This Row],[Failure Type]]="Production",tblDowntime[[#This Row],[Downtime Hours]],"")</f>
        <v/>
      </c>
      <c r="O1087">
        <f>IF(tblDowntime[[#This Row],[Production Downtime Hours]]="","",tblDowntime[[#This Row],[Equipment ID]])</f>
        <v/>
      </c>
      <c r="P1087" s="10" t="n"/>
    </row>
    <row r="1088">
      <c r="B1088">
        <f t="array" ref="B1088">_xlfn.XLOOKUP(C1088,INDIRECT("tblEquipment[Equipment ID]"),INDIRECT("tblEquipment[Production Department]"),"")</f>
        <v/>
      </c>
      <c r="D1088">
        <f t="array" ref="D1088">_xlfn.XLOOKUP(C1088,INDIRECT("tblEquipment[Equipment ID]"),INDIRECT("tblEquipment[Equipment Name]"),"")</f>
        <v/>
      </c>
      <c r="F1088" s="16" t="n"/>
      <c r="G1088" s="16" t="n"/>
      <c r="H1088" s="1">
        <f>IF(OR(F1088=0,G1088=0),"",(G1088-F1088)*24)</f>
        <v/>
      </c>
      <c r="I1088" s="10" t="n"/>
      <c r="J1088" s="1">
        <f>IF(OR(tblDowntime[[#This Row],[Failure Type]]="Sawshop",tblDowntime[[#This Row],[Failure Type]]="Electrical",tblDowntime[[#This Row],[Failure Type]]="Mechanical"),tblDowntime[[#This Row],[Downtime Hours]],"")</f>
        <v/>
      </c>
      <c r="K1088" s="10" t="n"/>
      <c r="L1088" s="10" t="n"/>
      <c r="M1088">
        <f>IF(tblDowntime[[#This Row],[Maintenance Downtime Hours]]="","",tblDowntime[[#This Row],[Equipment ID]])</f>
        <v/>
      </c>
      <c r="N1088" s="1">
        <f>IF(tblDowntime[[#This Row],[Failure Type]]="Production",tblDowntime[[#This Row],[Downtime Hours]],"")</f>
        <v/>
      </c>
      <c r="O1088">
        <f>IF(tblDowntime[[#This Row],[Production Downtime Hours]]="","",tblDowntime[[#This Row],[Equipment ID]])</f>
        <v/>
      </c>
      <c r="P1088" s="10" t="n"/>
    </row>
    <row r="1089">
      <c r="B1089">
        <f t="array" ref="B1089">_xlfn.XLOOKUP(C1089,INDIRECT("tblEquipment[Equipment ID]"),INDIRECT("tblEquipment[Production Department]"),"")</f>
        <v/>
      </c>
      <c r="D1089">
        <f t="array" ref="D1089">_xlfn.XLOOKUP(C1089,INDIRECT("tblEquipment[Equipment ID]"),INDIRECT("tblEquipment[Equipment Name]"),"")</f>
        <v/>
      </c>
      <c r="F1089" s="16" t="n"/>
      <c r="G1089" s="16" t="n"/>
      <c r="H1089" s="1">
        <f>IF(OR(F1089=0,G1089=0),"",(G1089-F1089)*24)</f>
        <v/>
      </c>
      <c r="I1089" s="10" t="n"/>
      <c r="J1089" s="1">
        <f>IF(OR(tblDowntime[[#This Row],[Failure Type]]="Sawshop",tblDowntime[[#This Row],[Failure Type]]="Electrical",tblDowntime[[#This Row],[Failure Type]]="Mechanical"),tblDowntime[[#This Row],[Downtime Hours]],"")</f>
        <v/>
      </c>
      <c r="K1089" s="10" t="n"/>
      <c r="L1089" s="10" t="n"/>
      <c r="M1089">
        <f>IF(tblDowntime[[#This Row],[Maintenance Downtime Hours]]="","",tblDowntime[[#This Row],[Equipment ID]])</f>
        <v/>
      </c>
      <c r="N1089" s="1">
        <f>IF(tblDowntime[[#This Row],[Failure Type]]="Production",tblDowntime[[#This Row],[Downtime Hours]],"")</f>
        <v/>
      </c>
      <c r="O1089">
        <f>IF(tblDowntime[[#This Row],[Production Downtime Hours]]="","",tblDowntime[[#This Row],[Equipment ID]])</f>
        <v/>
      </c>
      <c r="P1089" s="10" t="n"/>
    </row>
    <row r="1090">
      <c r="B1090">
        <f t="array" ref="B1090">_xlfn.XLOOKUP(C1090,INDIRECT("tblEquipment[Equipment ID]"),INDIRECT("tblEquipment[Production Department]"),"")</f>
        <v/>
      </c>
      <c r="D1090">
        <f t="array" ref="D1090">_xlfn.XLOOKUP(C1090,INDIRECT("tblEquipment[Equipment ID]"),INDIRECT("tblEquipment[Equipment Name]"),"")</f>
        <v/>
      </c>
      <c r="F1090" s="16" t="n"/>
      <c r="G1090" s="16" t="n"/>
      <c r="H1090" s="1">
        <f>IF(OR(F1090=0,G1090=0),"",(G1090-F1090)*24)</f>
        <v/>
      </c>
      <c r="I1090" s="10" t="n"/>
      <c r="J1090" s="1">
        <f>IF(OR(tblDowntime[[#This Row],[Failure Type]]="Sawshop",tblDowntime[[#This Row],[Failure Type]]="Electrical",tblDowntime[[#This Row],[Failure Type]]="Mechanical"),tblDowntime[[#This Row],[Downtime Hours]],"")</f>
        <v/>
      </c>
      <c r="K1090" s="10" t="n"/>
      <c r="L1090" s="10" t="n"/>
      <c r="M1090">
        <f>IF(tblDowntime[[#This Row],[Maintenance Downtime Hours]]="","",tblDowntime[[#This Row],[Equipment ID]])</f>
        <v/>
      </c>
      <c r="N1090" s="1">
        <f>IF(tblDowntime[[#This Row],[Failure Type]]="Production",tblDowntime[[#This Row],[Downtime Hours]],"")</f>
        <v/>
      </c>
      <c r="O1090">
        <f>IF(tblDowntime[[#This Row],[Production Downtime Hours]]="","",tblDowntime[[#This Row],[Equipment ID]])</f>
        <v/>
      </c>
      <c r="P1090" s="10" t="n"/>
    </row>
    <row r="1091">
      <c r="B1091">
        <f t="array" ref="B1091">_xlfn.XLOOKUP(C1091,INDIRECT("tblEquipment[Equipment ID]"),INDIRECT("tblEquipment[Production Department]"),"")</f>
        <v/>
      </c>
      <c r="D1091">
        <f t="array" ref="D1091">_xlfn.XLOOKUP(C1091,INDIRECT("tblEquipment[Equipment ID]"),INDIRECT("tblEquipment[Equipment Name]"),"")</f>
        <v/>
      </c>
      <c r="F1091" s="16" t="n"/>
      <c r="G1091" s="16" t="n"/>
      <c r="H1091" s="1">
        <f>IF(OR(F1091=0,G1091=0),"",(G1091-F1091)*24)</f>
        <v/>
      </c>
      <c r="I1091" s="10" t="n"/>
      <c r="J1091" s="1">
        <f>IF(OR(tblDowntime[[#This Row],[Failure Type]]="Sawshop",tblDowntime[[#This Row],[Failure Type]]="Electrical",tblDowntime[[#This Row],[Failure Type]]="Mechanical"),tblDowntime[[#This Row],[Downtime Hours]],"")</f>
        <v/>
      </c>
      <c r="K1091" s="10" t="n"/>
      <c r="L1091" s="10" t="n"/>
      <c r="M1091">
        <f>IF(tblDowntime[[#This Row],[Maintenance Downtime Hours]]="","",tblDowntime[[#This Row],[Equipment ID]])</f>
        <v/>
      </c>
      <c r="N1091" s="1">
        <f>IF(tblDowntime[[#This Row],[Failure Type]]="Production",tblDowntime[[#This Row],[Downtime Hours]],"")</f>
        <v/>
      </c>
      <c r="O1091">
        <f>IF(tblDowntime[[#This Row],[Production Downtime Hours]]="","",tblDowntime[[#This Row],[Equipment ID]])</f>
        <v/>
      </c>
      <c r="P1091" s="10" t="n"/>
    </row>
    <row r="1092">
      <c r="B1092">
        <f t="array" ref="B1092">_xlfn.XLOOKUP(C1092,INDIRECT("tblEquipment[Equipment ID]"),INDIRECT("tblEquipment[Production Department]"),"")</f>
        <v/>
      </c>
      <c r="D1092">
        <f t="array" ref="D1092">_xlfn.XLOOKUP(C1092,INDIRECT("tblEquipment[Equipment ID]"),INDIRECT("tblEquipment[Equipment Name]"),"")</f>
        <v/>
      </c>
      <c r="F1092" s="16" t="n"/>
      <c r="G1092" s="16" t="n"/>
      <c r="H1092" s="1">
        <f>IF(OR(F1092=0,G1092=0),"",(G1092-F1092)*24)</f>
        <v/>
      </c>
      <c r="I1092" s="10" t="n"/>
      <c r="J1092" s="1">
        <f>IF(OR(tblDowntime[[#This Row],[Failure Type]]="Sawshop",tblDowntime[[#This Row],[Failure Type]]="Electrical",tblDowntime[[#This Row],[Failure Type]]="Mechanical"),tblDowntime[[#This Row],[Downtime Hours]],"")</f>
        <v/>
      </c>
      <c r="K1092" s="10" t="n"/>
      <c r="L1092" s="10" t="n"/>
      <c r="M1092">
        <f>IF(tblDowntime[[#This Row],[Maintenance Downtime Hours]]="","",tblDowntime[[#This Row],[Equipment ID]])</f>
        <v/>
      </c>
      <c r="N1092" s="1">
        <f>IF(tblDowntime[[#This Row],[Failure Type]]="Production",tblDowntime[[#This Row],[Downtime Hours]],"")</f>
        <v/>
      </c>
      <c r="O1092">
        <f>IF(tblDowntime[[#This Row],[Production Downtime Hours]]="","",tblDowntime[[#This Row],[Equipment ID]])</f>
        <v/>
      </c>
      <c r="P1092" s="10" t="n"/>
    </row>
    <row r="1093">
      <c r="B1093">
        <f t="array" ref="B1093">_xlfn.XLOOKUP(C1093,INDIRECT("tblEquipment[Equipment ID]"),INDIRECT("tblEquipment[Production Department]"),"")</f>
        <v/>
      </c>
      <c r="D1093">
        <f t="array" ref="D1093">_xlfn.XLOOKUP(C1093,INDIRECT("tblEquipment[Equipment ID]"),INDIRECT("tblEquipment[Equipment Name]"),"")</f>
        <v/>
      </c>
      <c r="F1093" s="16" t="n"/>
      <c r="G1093" s="16" t="n"/>
      <c r="H1093" s="1">
        <f>IF(OR(F1093=0,G1093=0),"",(G1093-F1093)*24)</f>
        <v/>
      </c>
      <c r="I1093" s="10" t="n"/>
      <c r="J1093" s="1">
        <f>IF(OR(tblDowntime[[#This Row],[Failure Type]]="Sawshop",tblDowntime[[#This Row],[Failure Type]]="Electrical",tblDowntime[[#This Row],[Failure Type]]="Mechanical"),tblDowntime[[#This Row],[Downtime Hours]],"")</f>
        <v/>
      </c>
      <c r="K1093" s="10" t="n"/>
      <c r="L1093" s="10" t="n"/>
      <c r="M1093">
        <f>IF(tblDowntime[[#This Row],[Maintenance Downtime Hours]]="","",tblDowntime[[#This Row],[Equipment ID]])</f>
        <v/>
      </c>
      <c r="N1093" s="1">
        <f>IF(tblDowntime[[#This Row],[Failure Type]]="Production",tblDowntime[[#This Row],[Downtime Hours]],"")</f>
        <v/>
      </c>
      <c r="O1093">
        <f>IF(tblDowntime[[#This Row],[Production Downtime Hours]]="","",tblDowntime[[#This Row],[Equipment ID]])</f>
        <v/>
      </c>
      <c r="P1093" s="10" t="n"/>
    </row>
    <row r="1094">
      <c r="B1094">
        <f t="array" ref="B1094">_xlfn.XLOOKUP(C1094,INDIRECT("tblEquipment[Equipment ID]"),INDIRECT("tblEquipment[Production Department]"),"")</f>
        <v/>
      </c>
      <c r="D1094">
        <f t="array" ref="D1094">_xlfn.XLOOKUP(C1094,INDIRECT("tblEquipment[Equipment ID]"),INDIRECT("tblEquipment[Equipment Name]"),"")</f>
        <v/>
      </c>
      <c r="F1094" s="16" t="n"/>
      <c r="G1094" s="16" t="n"/>
      <c r="H1094" s="1">
        <f>IF(OR(F1094=0,G1094=0),"",(G1094-F1094)*24)</f>
        <v/>
      </c>
      <c r="I1094" s="10" t="n"/>
      <c r="J1094" s="1">
        <f>IF(OR(tblDowntime[[#This Row],[Failure Type]]="Sawshop",tblDowntime[[#This Row],[Failure Type]]="Electrical",tblDowntime[[#This Row],[Failure Type]]="Mechanical"),tblDowntime[[#This Row],[Downtime Hours]],"")</f>
        <v/>
      </c>
      <c r="K1094" s="10" t="n"/>
      <c r="L1094" s="10" t="n"/>
      <c r="M1094">
        <f>IF(tblDowntime[[#This Row],[Maintenance Downtime Hours]]="","",tblDowntime[[#This Row],[Equipment ID]])</f>
        <v/>
      </c>
      <c r="N1094" s="1">
        <f>IF(tblDowntime[[#This Row],[Failure Type]]="Production",tblDowntime[[#This Row],[Downtime Hours]],"")</f>
        <v/>
      </c>
      <c r="O1094">
        <f>IF(tblDowntime[[#This Row],[Production Downtime Hours]]="","",tblDowntime[[#This Row],[Equipment ID]])</f>
        <v/>
      </c>
      <c r="P1094" s="10" t="n"/>
    </row>
    <row r="1095">
      <c r="B1095">
        <f t="array" ref="B1095">_xlfn.XLOOKUP(C1095,INDIRECT("tblEquipment[Equipment ID]"),INDIRECT("tblEquipment[Production Department]"),"")</f>
        <v/>
      </c>
      <c r="D1095">
        <f t="array" ref="D1095">_xlfn.XLOOKUP(C1095,INDIRECT("tblEquipment[Equipment ID]"),INDIRECT("tblEquipment[Equipment Name]"),"")</f>
        <v/>
      </c>
      <c r="F1095" s="16" t="n"/>
      <c r="G1095" s="16" t="n"/>
      <c r="H1095" s="1">
        <f>IF(OR(F1095=0,G1095=0),"",(G1095-F1095)*24)</f>
        <v/>
      </c>
      <c r="I1095" s="10" t="n"/>
      <c r="J1095" s="1">
        <f>IF(OR(tblDowntime[[#This Row],[Failure Type]]="Sawshop",tblDowntime[[#This Row],[Failure Type]]="Electrical",tblDowntime[[#This Row],[Failure Type]]="Mechanical"),tblDowntime[[#This Row],[Downtime Hours]],"")</f>
        <v/>
      </c>
      <c r="K1095" s="10" t="n"/>
      <c r="L1095" s="10" t="n"/>
      <c r="M1095">
        <f>IF(tblDowntime[[#This Row],[Maintenance Downtime Hours]]="","",tblDowntime[[#This Row],[Equipment ID]])</f>
        <v/>
      </c>
      <c r="N1095" s="1">
        <f>IF(tblDowntime[[#This Row],[Failure Type]]="Production",tblDowntime[[#This Row],[Downtime Hours]],"")</f>
        <v/>
      </c>
      <c r="O1095">
        <f>IF(tblDowntime[[#This Row],[Production Downtime Hours]]="","",tblDowntime[[#This Row],[Equipment ID]])</f>
        <v/>
      </c>
      <c r="P1095" s="10" t="n"/>
    </row>
    <row r="1096">
      <c r="B1096">
        <f t="array" ref="B1096">_xlfn.XLOOKUP(C1096,INDIRECT("tblEquipment[Equipment ID]"),INDIRECT("tblEquipment[Production Department]"),"")</f>
        <v/>
      </c>
      <c r="D1096">
        <f t="array" ref="D1096">_xlfn.XLOOKUP(C1096,INDIRECT("tblEquipment[Equipment ID]"),INDIRECT("tblEquipment[Equipment Name]"),"")</f>
        <v/>
      </c>
      <c r="F1096" s="16" t="n"/>
      <c r="G1096" s="16" t="n"/>
      <c r="H1096" s="1">
        <f>IF(OR(F1096=0,G1096=0),"",(G1096-F1096)*24)</f>
        <v/>
      </c>
      <c r="I1096" s="10" t="n"/>
      <c r="J1096" s="1">
        <f>IF(OR(tblDowntime[[#This Row],[Failure Type]]="Sawshop",tblDowntime[[#This Row],[Failure Type]]="Electrical",tblDowntime[[#This Row],[Failure Type]]="Mechanical"),tblDowntime[[#This Row],[Downtime Hours]],"")</f>
        <v/>
      </c>
      <c r="K1096" s="10" t="n"/>
      <c r="L1096" s="10" t="n"/>
      <c r="M1096">
        <f>IF(tblDowntime[[#This Row],[Maintenance Downtime Hours]]="","",tblDowntime[[#This Row],[Equipment ID]])</f>
        <v/>
      </c>
      <c r="N1096" s="1">
        <f>IF(tblDowntime[[#This Row],[Failure Type]]="Production",tblDowntime[[#This Row],[Downtime Hours]],"")</f>
        <v/>
      </c>
      <c r="O1096">
        <f>IF(tblDowntime[[#This Row],[Production Downtime Hours]]="","",tblDowntime[[#This Row],[Equipment ID]])</f>
        <v/>
      </c>
      <c r="P1096" s="10" t="n"/>
    </row>
    <row r="1097">
      <c r="B1097">
        <f t="array" ref="B1097">_xlfn.XLOOKUP(C1097,INDIRECT("tblEquipment[Equipment ID]"),INDIRECT("tblEquipment[Production Department]"),"")</f>
        <v/>
      </c>
      <c r="D1097">
        <f t="array" ref="D1097">_xlfn.XLOOKUP(C1097,INDIRECT("tblEquipment[Equipment ID]"),INDIRECT("tblEquipment[Equipment Name]"),"")</f>
        <v/>
      </c>
      <c r="F1097" s="16" t="n"/>
      <c r="G1097" s="16" t="n"/>
      <c r="H1097" s="1">
        <f>IF(OR(F1097=0,G1097=0),"",(G1097-F1097)*24)</f>
        <v/>
      </c>
      <c r="I1097" s="10" t="n"/>
      <c r="J1097" s="1">
        <f>IF(OR(tblDowntime[[#This Row],[Failure Type]]="Sawshop",tblDowntime[[#This Row],[Failure Type]]="Electrical",tblDowntime[[#This Row],[Failure Type]]="Mechanical"),tblDowntime[[#This Row],[Downtime Hours]],"")</f>
        <v/>
      </c>
      <c r="K1097" s="10" t="n"/>
      <c r="L1097" s="10" t="n"/>
      <c r="M1097">
        <f>IF(tblDowntime[[#This Row],[Maintenance Downtime Hours]]="","",tblDowntime[[#This Row],[Equipment ID]])</f>
        <v/>
      </c>
      <c r="N1097" s="1">
        <f>IF(tblDowntime[[#This Row],[Failure Type]]="Production",tblDowntime[[#This Row],[Downtime Hours]],"")</f>
        <v/>
      </c>
      <c r="O1097">
        <f>IF(tblDowntime[[#This Row],[Production Downtime Hours]]="","",tblDowntime[[#This Row],[Equipment ID]])</f>
        <v/>
      </c>
      <c r="P1097" s="10" t="n"/>
    </row>
    <row r="1098">
      <c r="B1098">
        <f t="array" ref="B1098">_xlfn.XLOOKUP(C1098,INDIRECT("tblEquipment[Equipment ID]"),INDIRECT("tblEquipment[Production Department]"),"")</f>
        <v/>
      </c>
      <c r="D1098">
        <f t="array" ref="D1098">_xlfn.XLOOKUP(C1098,INDIRECT("tblEquipment[Equipment ID]"),INDIRECT("tblEquipment[Equipment Name]"),"")</f>
        <v/>
      </c>
      <c r="F1098" s="16" t="n"/>
      <c r="G1098" s="16" t="n"/>
      <c r="H1098" s="1">
        <f>IF(OR(F1098=0,G1098=0),"",(G1098-F1098)*24)</f>
        <v/>
      </c>
      <c r="I1098" s="10" t="n"/>
      <c r="J1098" s="1">
        <f>IF(OR(tblDowntime[[#This Row],[Failure Type]]="Sawshop",tblDowntime[[#This Row],[Failure Type]]="Electrical",tblDowntime[[#This Row],[Failure Type]]="Mechanical"),tblDowntime[[#This Row],[Downtime Hours]],"")</f>
        <v/>
      </c>
      <c r="K1098" s="10" t="n"/>
      <c r="L1098" s="10" t="n"/>
      <c r="M1098">
        <f>IF(tblDowntime[[#This Row],[Maintenance Downtime Hours]]="","",tblDowntime[[#This Row],[Equipment ID]])</f>
        <v/>
      </c>
      <c r="N1098" s="1">
        <f>IF(tblDowntime[[#This Row],[Failure Type]]="Production",tblDowntime[[#This Row],[Downtime Hours]],"")</f>
        <v/>
      </c>
      <c r="O1098">
        <f>IF(tblDowntime[[#This Row],[Production Downtime Hours]]="","",tblDowntime[[#This Row],[Equipment ID]])</f>
        <v/>
      </c>
      <c r="P1098" s="10" t="n"/>
    </row>
    <row r="1099">
      <c r="B1099">
        <f t="array" ref="B1099">_xlfn.XLOOKUP(C1099,INDIRECT("tblEquipment[Equipment ID]"),INDIRECT("tblEquipment[Production Department]"),"")</f>
        <v/>
      </c>
      <c r="D1099">
        <f t="array" ref="D1099">_xlfn.XLOOKUP(C1099,INDIRECT("tblEquipment[Equipment ID]"),INDIRECT("tblEquipment[Equipment Name]"),"")</f>
        <v/>
      </c>
      <c r="F1099" s="16" t="n"/>
      <c r="G1099" s="16" t="n"/>
      <c r="H1099" s="1">
        <f>IF(OR(F1099=0,G1099=0),"",(G1099-F1099)*24)</f>
        <v/>
      </c>
      <c r="I1099" s="10" t="n"/>
      <c r="J1099" s="1">
        <f>IF(OR(tblDowntime[[#This Row],[Failure Type]]="Sawshop",tblDowntime[[#This Row],[Failure Type]]="Electrical",tblDowntime[[#This Row],[Failure Type]]="Mechanical"),tblDowntime[[#This Row],[Downtime Hours]],"")</f>
        <v/>
      </c>
      <c r="K1099" s="10" t="n"/>
      <c r="L1099" s="10" t="n"/>
      <c r="M1099">
        <f>IF(tblDowntime[[#This Row],[Maintenance Downtime Hours]]="","",tblDowntime[[#This Row],[Equipment ID]])</f>
        <v/>
      </c>
      <c r="N1099" s="1">
        <f>IF(tblDowntime[[#This Row],[Failure Type]]="Production",tblDowntime[[#This Row],[Downtime Hours]],"")</f>
        <v/>
      </c>
      <c r="O1099">
        <f>IF(tblDowntime[[#This Row],[Production Downtime Hours]]="","",tblDowntime[[#This Row],[Equipment ID]])</f>
        <v/>
      </c>
      <c r="P1099" s="10" t="n"/>
    </row>
    <row r="1100">
      <c r="B1100">
        <f t="array" ref="B1100">_xlfn.XLOOKUP(C1100,INDIRECT("tblEquipment[Equipment ID]"),INDIRECT("tblEquipment[Production Department]"),"")</f>
        <v/>
      </c>
      <c r="D1100">
        <f t="array" ref="D1100">_xlfn.XLOOKUP(C1100,INDIRECT("tblEquipment[Equipment ID]"),INDIRECT("tblEquipment[Equipment Name]"),"")</f>
        <v/>
      </c>
      <c r="F1100" s="16" t="n"/>
      <c r="G1100" s="16" t="n"/>
      <c r="H1100" s="1">
        <f>IF(OR(F1100=0,G1100=0),"",(G1100-F1100)*24)</f>
        <v/>
      </c>
      <c r="I1100" s="10" t="n"/>
      <c r="J1100" s="1">
        <f>IF(OR(tblDowntime[[#This Row],[Failure Type]]="Sawshop",tblDowntime[[#This Row],[Failure Type]]="Electrical",tblDowntime[[#This Row],[Failure Type]]="Mechanical"),tblDowntime[[#This Row],[Downtime Hours]],"")</f>
        <v/>
      </c>
      <c r="K1100" s="10" t="n"/>
      <c r="L1100" s="10" t="n"/>
      <c r="M1100">
        <f>IF(tblDowntime[[#This Row],[Maintenance Downtime Hours]]="","",tblDowntime[[#This Row],[Equipment ID]])</f>
        <v/>
      </c>
      <c r="N1100" s="1">
        <f>IF(tblDowntime[[#This Row],[Failure Type]]="Production",tblDowntime[[#This Row],[Downtime Hours]],"")</f>
        <v/>
      </c>
      <c r="O1100">
        <f>IF(tblDowntime[[#This Row],[Production Downtime Hours]]="","",tblDowntime[[#This Row],[Equipment ID]])</f>
        <v/>
      </c>
      <c r="P1100" s="10" t="n"/>
    </row>
    <row r="1101">
      <c r="B1101">
        <f t="array" ref="B1101">_xlfn.XLOOKUP(C1101,INDIRECT("tblEquipment[Equipment ID]"),INDIRECT("tblEquipment[Production Department]"),"")</f>
        <v/>
      </c>
      <c r="D1101">
        <f t="array" ref="D1101">_xlfn.XLOOKUP(C1101,INDIRECT("tblEquipment[Equipment ID]"),INDIRECT("tblEquipment[Equipment Name]"),"")</f>
        <v/>
      </c>
      <c r="F1101" s="16" t="n"/>
      <c r="G1101" s="16" t="n"/>
      <c r="H1101" s="1">
        <f>IF(OR(F1101=0,G1101=0),"",(G1101-F1101)*24)</f>
        <v/>
      </c>
      <c r="I1101" s="10" t="n"/>
      <c r="J1101" s="1">
        <f>IF(OR(tblDowntime[[#This Row],[Failure Type]]="Sawshop",tblDowntime[[#This Row],[Failure Type]]="Electrical",tblDowntime[[#This Row],[Failure Type]]="Mechanical"),tblDowntime[[#This Row],[Downtime Hours]],"")</f>
        <v/>
      </c>
      <c r="K1101" s="10" t="n"/>
      <c r="L1101" s="10" t="n"/>
      <c r="M1101">
        <f>IF(tblDowntime[[#This Row],[Maintenance Downtime Hours]]="","",tblDowntime[[#This Row],[Equipment ID]])</f>
        <v/>
      </c>
      <c r="N1101" s="1">
        <f>IF(tblDowntime[[#This Row],[Failure Type]]="Production",tblDowntime[[#This Row],[Downtime Hours]],"")</f>
        <v/>
      </c>
      <c r="O1101">
        <f>IF(tblDowntime[[#This Row],[Production Downtime Hours]]="","",tblDowntime[[#This Row],[Equipment ID]])</f>
        <v/>
      </c>
      <c r="P1101" s="10" t="n"/>
    </row>
    <row r="1102">
      <c r="B1102">
        <f t="array" ref="B1102">_xlfn.XLOOKUP(C1102,INDIRECT("tblEquipment[Equipment ID]"),INDIRECT("tblEquipment[Production Department]"),"")</f>
        <v/>
      </c>
      <c r="D1102">
        <f t="array" ref="D1102">_xlfn.XLOOKUP(C1102,INDIRECT("tblEquipment[Equipment ID]"),INDIRECT("tblEquipment[Equipment Name]"),"")</f>
        <v/>
      </c>
      <c r="F1102" s="16" t="n"/>
      <c r="G1102" s="16" t="n"/>
      <c r="H1102" s="1">
        <f>IF(OR(F1102=0,G1102=0),"",(G1102-F1102)*24)</f>
        <v/>
      </c>
      <c r="I1102" s="10" t="n"/>
      <c r="J1102" s="1">
        <f>IF(OR(tblDowntime[[#This Row],[Failure Type]]="Sawshop",tblDowntime[[#This Row],[Failure Type]]="Electrical",tblDowntime[[#This Row],[Failure Type]]="Mechanical"),tblDowntime[[#This Row],[Downtime Hours]],"")</f>
        <v/>
      </c>
      <c r="K1102" s="10" t="n"/>
      <c r="L1102" s="10" t="n"/>
      <c r="M1102">
        <f>IF(tblDowntime[[#This Row],[Maintenance Downtime Hours]]="","",tblDowntime[[#This Row],[Equipment ID]])</f>
        <v/>
      </c>
      <c r="N1102" s="1">
        <f>IF(tblDowntime[[#This Row],[Failure Type]]="Production",tblDowntime[[#This Row],[Downtime Hours]],"")</f>
        <v/>
      </c>
      <c r="O1102">
        <f>IF(tblDowntime[[#This Row],[Production Downtime Hours]]="","",tblDowntime[[#This Row],[Equipment ID]])</f>
        <v/>
      </c>
      <c r="P1102" s="10" t="n"/>
    </row>
    <row r="1103">
      <c r="B1103">
        <f t="array" ref="B1103">_xlfn.XLOOKUP(C1103,INDIRECT("tblEquipment[Equipment ID]"),INDIRECT("tblEquipment[Production Department]"),"")</f>
        <v/>
      </c>
      <c r="D1103">
        <f t="array" ref="D1103">_xlfn.XLOOKUP(C1103,INDIRECT("tblEquipment[Equipment ID]"),INDIRECT("tblEquipment[Equipment Name]"),"")</f>
        <v/>
      </c>
      <c r="F1103" s="16" t="n"/>
      <c r="G1103" s="16" t="n"/>
      <c r="H1103" s="1">
        <f>IF(OR(F1103=0,G1103=0),"",(G1103-F1103)*24)</f>
        <v/>
      </c>
      <c r="I1103" s="10" t="n"/>
      <c r="J1103" s="1">
        <f>IF(OR(tblDowntime[[#This Row],[Failure Type]]="Sawshop",tblDowntime[[#This Row],[Failure Type]]="Electrical",tblDowntime[[#This Row],[Failure Type]]="Mechanical"),tblDowntime[[#This Row],[Downtime Hours]],"")</f>
        <v/>
      </c>
      <c r="K1103" s="10" t="n"/>
      <c r="L1103" s="10" t="n"/>
      <c r="M1103">
        <f>IF(tblDowntime[[#This Row],[Maintenance Downtime Hours]]="","",tblDowntime[[#This Row],[Equipment ID]])</f>
        <v/>
      </c>
      <c r="N1103" s="1">
        <f>IF(tblDowntime[[#This Row],[Failure Type]]="Production",tblDowntime[[#This Row],[Downtime Hours]],"")</f>
        <v/>
      </c>
      <c r="O1103">
        <f>IF(tblDowntime[[#This Row],[Production Downtime Hours]]="","",tblDowntime[[#This Row],[Equipment ID]])</f>
        <v/>
      </c>
      <c r="P1103" s="10" t="n"/>
    </row>
    <row r="1104">
      <c r="B1104">
        <f t="array" ref="B1104">_xlfn.XLOOKUP(C1104,INDIRECT("tblEquipment[Equipment ID]"),INDIRECT("tblEquipment[Production Department]"),"")</f>
        <v/>
      </c>
      <c r="D1104">
        <f t="array" ref="D1104">_xlfn.XLOOKUP(C1104,INDIRECT("tblEquipment[Equipment ID]"),INDIRECT("tblEquipment[Equipment Name]"),"")</f>
        <v/>
      </c>
      <c r="F1104" s="16" t="n"/>
      <c r="G1104" s="16" t="n"/>
      <c r="H1104" s="1">
        <f>IF(OR(F1104=0,G1104=0),"",(G1104-F1104)*24)</f>
        <v/>
      </c>
      <c r="I1104" s="10" t="n"/>
      <c r="J1104" s="1">
        <f>IF(OR(tblDowntime[[#This Row],[Failure Type]]="Sawshop",tblDowntime[[#This Row],[Failure Type]]="Electrical",tblDowntime[[#This Row],[Failure Type]]="Mechanical"),tblDowntime[[#This Row],[Downtime Hours]],"")</f>
        <v/>
      </c>
      <c r="K1104" s="10" t="n"/>
      <c r="L1104" s="10" t="n"/>
      <c r="M1104">
        <f>IF(tblDowntime[[#This Row],[Maintenance Downtime Hours]]="","",tblDowntime[[#This Row],[Equipment ID]])</f>
        <v/>
      </c>
      <c r="N1104" s="1">
        <f>IF(tblDowntime[[#This Row],[Failure Type]]="Production",tblDowntime[[#This Row],[Downtime Hours]],"")</f>
        <v/>
      </c>
      <c r="O1104">
        <f>IF(tblDowntime[[#This Row],[Production Downtime Hours]]="","",tblDowntime[[#This Row],[Equipment ID]])</f>
        <v/>
      </c>
      <c r="P1104" s="10" t="n"/>
    </row>
    <row r="1105">
      <c r="B1105">
        <f t="array" ref="B1105">_xlfn.XLOOKUP(C1105,INDIRECT("tblEquipment[Equipment ID]"),INDIRECT("tblEquipment[Production Department]"),"")</f>
        <v/>
      </c>
      <c r="D1105">
        <f t="array" ref="D1105">_xlfn.XLOOKUP(C1105,INDIRECT("tblEquipment[Equipment ID]"),INDIRECT("tblEquipment[Equipment Name]"),"")</f>
        <v/>
      </c>
      <c r="F1105" s="16" t="n"/>
      <c r="G1105" s="16" t="n"/>
      <c r="H1105" s="1">
        <f>IF(OR(F1105=0,G1105=0),"",(G1105-F1105)*24)</f>
        <v/>
      </c>
      <c r="I1105" s="10" t="n"/>
      <c r="J1105" s="1">
        <f>IF(OR(tblDowntime[[#This Row],[Failure Type]]="Sawshop",tblDowntime[[#This Row],[Failure Type]]="Electrical",tblDowntime[[#This Row],[Failure Type]]="Mechanical"),tblDowntime[[#This Row],[Downtime Hours]],"")</f>
        <v/>
      </c>
      <c r="K1105" s="10" t="n"/>
      <c r="L1105" s="10" t="n"/>
      <c r="M1105">
        <f>IF(tblDowntime[[#This Row],[Maintenance Downtime Hours]]="","",tblDowntime[[#This Row],[Equipment ID]])</f>
        <v/>
      </c>
      <c r="N1105" s="1">
        <f>IF(tblDowntime[[#This Row],[Failure Type]]="Production",tblDowntime[[#This Row],[Downtime Hours]],"")</f>
        <v/>
      </c>
      <c r="O1105">
        <f>IF(tblDowntime[[#This Row],[Production Downtime Hours]]="","",tblDowntime[[#This Row],[Equipment ID]])</f>
        <v/>
      </c>
      <c r="P1105" s="10" t="n"/>
    </row>
    <row r="1106">
      <c r="B1106">
        <f t="array" ref="B1106">_xlfn.XLOOKUP(C1106,INDIRECT("tblEquipment[Equipment ID]"),INDIRECT("tblEquipment[Production Department]"),"")</f>
        <v/>
      </c>
      <c r="D1106">
        <f t="array" ref="D1106">_xlfn.XLOOKUP(C1106,INDIRECT("tblEquipment[Equipment ID]"),INDIRECT("tblEquipment[Equipment Name]"),"")</f>
        <v/>
      </c>
      <c r="F1106" s="16" t="n"/>
      <c r="G1106" s="16" t="n"/>
      <c r="H1106" s="1">
        <f>IF(OR(F1106=0,G1106=0),"",(G1106-F1106)*24)</f>
        <v/>
      </c>
      <c r="I1106" s="10" t="n"/>
      <c r="J1106" s="1">
        <f>IF(OR(tblDowntime[[#This Row],[Failure Type]]="Sawshop",tblDowntime[[#This Row],[Failure Type]]="Electrical",tblDowntime[[#This Row],[Failure Type]]="Mechanical"),tblDowntime[[#This Row],[Downtime Hours]],"")</f>
        <v/>
      </c>
      <c r="K1106" s="10" t="n"/>
      <c r="L1106" s="10" t="n"/>
      <c r="M1106">
        <f>IF(tblDowntime[[#This Row],[Maintenance Downtime Hours]]="","",tblDowntime[[#This Row],[Equipment ID]])</f>
        <v/>
      </c>
      <c r="N1106" s="1">
        <f>IF(tblDowntime[[#This Row],[Failure Type]]="Production",tblDowntime[[#This Row],[Downtime Hours]],"")</f>
        <v/>
      </c>
      <c r="O1106">
        <f>IF(tblDowntime[[#This Row],[Production Downtime Hours]]="","",tblDowntime[[#This Row],[Equipment ID]])</f>
        <v/>
      </c>
      <c r="P1106" s="10" t="n"/>
    </row>
    <row r="1107">
      <c r="B1107">
        <f t="array" ref="B1107">_xlfn.XLOOKUP(C1107,INDIRECT("tblEquipment[Equipment ID]"),INDIRECT("tblEquipment[Production Department]"),"")</f>
        <v/>
      </c>
      <c r="D1107">
        <f t="array" ref="D1107">_xlfn.XLOOKUP(C1107,INDIRECT("tblEquipment[Equipment ID]"),INDIRECT("tblEquipment[Equipment Name]"),"")</f>
        <v/>
      </c>
      <c r="F1107" s="16" t="n"/>
      <c r="G1107" s="16" t="n"/>
      <c r="H1107" s="1">
        <f>IF(OR(F1107=0,G1107=0),"",(G1107-F1107)*24)</f>
        <v/>
      </c>
      <c r="I1107" s="10" t="n"/>
      <c r="J1107" s="1">
        <f>IF(OR(tblDowntime[[#This Row],[Failure Type]]="Sawshop",tblDowntime[[#This Row],[Failure Type]]="Electrical",tblDowntime[[#This Row],[Failure Type]]="Mechanical"),tblDowntime[[#This Row],[Downtime Hours]],"")</f>
        <v/>
      </c>
      <c r="K1107" s="10" t="n"/>
      <c r="L1107" s="10" t="n"/>
      <c r="M1107">
        <f>IF(tblDowntime[[#This Row],[Maintenance Downtime Hours]]="","",tblDowntime[[#This Row],[Equipment ID]])</f>
        <v/>
      </c>
      <c r="N1107" s="1">
        <f>IF(tblDowntime[[#This Row],[Failure Type]]="Production",tblDowntime[[#This Row],[Downtime Hours]],"")</f>
        <v/>
      </c>
      <c r="O1107">
        <f>IF(tblDowntime[[#This Row],[Production Downtime Hours]]="","",tblDowntime[[#This Row],[Equipment ID]])</f>
        <v/>
      </c>
      <c r="P1107" s="10" t="n"/>
    </row>
    <row r="1108">
      <c r="B1108">
        <f t="array" ref="B1108">_xlfn.XLOOKUP(C1108,INDIRECT("tblEquipment[Equipment ID]"),INDIRECT("tblEquipment[Production Department]"),"")</f>
        <v/>
      </c>
      <c r="D1108">
        <f t="array" ref="D1108">_xlfn.XLOOKUP(C1108,INDIRECT("tblEquipment[Equipment ID]"),INDIRECT("tblEquipment[Equipment Name]"),"")</f>
        <v/>
      </c>
      <c r="F1108" s="16" t="n"/>
      <c r="G1108" s="16" t="n"/>
      <c r="H1108" s="1">
        <f>IF(OR(F1108=0,G1108=0),"",(G1108-F1108)*24)</f>
        <v/>
      </c>
      <c r="I1108" s="10" t="n"/>
      <c r="J1108" s="1">
        <f>IF(OR(tblDowntime[[#This Row],[Failure Type]]="Sawshop",tblDowntime[[#This Row],[Failure Type]]="Electrical",tblDowntime[[#This Row],[Failure Type]]="Mechanical"),tblDowntime[[#This Row],[Downtime Hours]],"")</f>
        <v/>
      </c>
      <c r="K1108" s="10" t="n"/>
      <c r="L1108" s="10" t="n"/>
      <c r="M1108">
        <f>IF(tblDowntime[[#This Row],[Maintenance Downtime Hours]]="","",tblDowntime[[#This Row],[Equipment ID]])</f>
        <v/>
      </c>
      <c r="N1108" s="1">
        <f>IF(tblDowntime[[#This Row],[Failure Type]]="Production",tblDowntime[[#This Row],[Downtime Hours]],"")</f>
        <v/>
      </c>
      <c r="O1108">
        <f>IF(tblDowntime[[#This Row],[Production Downtime Hours]]="","",tblDowntime[[#This Row],[Equipment ID]])</f>
        <v/>
      </c>
      <c r="P1108" s="10" t="n"/>
    </row>
    <row r="1109">
      <c r="B1109">
        <f t="array" ref="B1109">_xlfn.XLOOKUP(C1109,INDIRECT("tblEquipment[Equipment ID]"),INDIRECT("tblEquipment[Production Department]"),"")</f>
        <v/>
      </c>
      <c r="D1109">
        <f t="array" ref="D1109">_xlfn.XLOOKUP(C1109,INDIRECT("tblEquipment[Equipment ID]"),INDIRECT("tblEquipment[Equipment Name]"),"")</f>
        <v/>
      </c>
      <c r="F1109" s="16" t="n"/>
      <c r="G1109" s="16" t="n"/>
      <c r="H1109" s="1">
        <f>IF(OR(F1109=0,G1109=0),"",(G1109-F1109)*24)</f>
        <v/>
      </c>
      <c r="I1109" s="10" t="n"/>
      <c r="J1109" s="1">
        <f>IF(OR(tblDowntime[[#This Row],[Failure Type]]="Sawshop",tblDowntime[[#This Row],[Failure Type]]="Electrical",tblDowntime[[#This Row],[Failure Type]]="Mechanical"),tblDowntime[[#This Row],[Downtime Hours]],"")</f>
        <v/>
      </c>
      <c r="K1109" s="10" t="n"/>
      <c r="L1109" s="10" t="n"/>
      <c r="M1109">
        <f>IF(tblDowntime[[#This Row],[Maintenance Downtime Hours]]="","",tblDowntime[[#This Row],[Equipment ID]])</f>
        <v/>
      </c>
      <c r="N1109" s="1">
        <f>IF(tblDowntime[[#This Row],[Failure Type]]="Production",tblDowntime[[#This Row],[Downtime Hours]],"")</f>
        <v/>
      </c>
      <c r="O1109">
        <f>IF(tblDowntime[[#This Row],[Production Downtime Hours]]="","",tblDowntime[[#This Row],[Equipment ID]])</f>
        <v/>
      </c>
      <c r="P1109" s="10" t="n"/>
    </row>
    <row r="1110">
      <c r="B1110">
        <f t="array" ref="B1110">_xlfn.XLOOKUP(C1110,INDIRECT("tblEquipment[Equipment ID]"),INDIRECT("tblEquipment[Production Department]"),"")</f>
        <v/>
      </c>
      <c r="D1110">
        <f t="array" ref="D1110">_xlfn.XLOOKUP(C1110,INDIRECT("tblEquipment[Equipment ID]"),INDIRECT("tblEquipment[Equipment Name]"),"")</f>
        <v/>
      </c>
      <c r="F1110" s="16" t="n"/>
      <c r="G1110" s="16" t="n"/>
      <c r="H1110" s="1">
        <f>IF(OR(F1110=0,G1110=0),"",(G1110-F1110)*24)</f>
        <v/>
      </c>
      <c r="I1110" s="10" t="n"/>
      <c r="J1110" s="1">
        <f>IF(OR(tblDowntime[[#This Row],[Failure Type]]="Sawshop",tblDowntime[[#This Row],[Failure Type]]="Electrical",tblDowntime[[#This Row],[Failure Type]]="Mechanical"),tblDowntime[[#This Row],[Downtime Hours]],"")</f>
        <v/>
      </c>
      <c r="K1110" s="10" t="n"/>
      <c r="L1110" s="10" t="n"/>
      <c r="M1110">
        <f>IF(tblDowntime[[#This Row],[Maintenance Downtime Hours]]="","",tblDowntime[[#This Row],[Equipment ID]])</f>
        <v/>
      </c>
      <c r="N1110" s="1">
        <f>IF(tblDowntime[[#This Row],[Failure Type]]="Production",tblDowntime[[#This Row],[Downtime Hours]],"")</f>
        <v/>
      </c>
      <c r="O1110">
        <f>IF(tblDowntime[[#This Row],[Production Downtime Hours]]="","",tblDowntime[[#This Row],[Equipment ID]])</f>
        <v/>
      </c>
      <c r="P1110" s="10" t="n"/>
    </row>
    <row r="1111">
      <c r="B1111">
        <f t="array" ref="B1111">_xlfn.XLOOKUP(C1111,INDIRECT("tblEquipment[Equipment ID]"),INDIRECT("tblEquipment[Production Department]"),"")</f>
        <v/>
      </c>
      <c r="D1111">
        <f t="array" ref="D1111">_xlfn.XLOOKUP(C1111,INDIRECT("tblEquipment[Equipment ID]"),INDIRECT("tblEquipment[Equipment Name]"),"")</f>
        <v/>
      </c>
      <c r="F1111" s="16" t="n"/>
      <c r="G1111" s="16" t="n"/>
      <c r="H1111" s="1">
        <f>IF(OR(F1111=0,G1111=0),"",(G1111-F1111)*24)</f>
        <v/>
      </c>
      <c r="I1111" s="10" t="n"/>
      <c r="J1111" s="1">
        <f>IF(OR(tblDowntime[[#This Row],[Failure Type]]="Sawshop",tblDowntime[[#This Row],[Failure Type]]="Electrical",tblDowntime[[#This Row],[Failure Type]]="Mechanical"),tblDowntime[[#This Row],[Downtime Hours]],"")</f>
        <v/>
      </c>
      <c r="K1111" s="10" t="n"/>
      <c r="L1111" s="10" t="n"/>
      <c r="M1111">
        <f>IF(tblDowntime[[#This Row],[Maintenance Downtime Hours]]="","",tblDowntime[[#This Row],[Equipment ID]])</f>
        <v/>
      </c>
      <c r="N1111" s="1">
        <f>IF(tblDowntime[[#This Row],[Failure Type]]="Production",tblDowntime[[#This Row],[Downtime Hours]],"")</f>
        <v/>
      </c>
      <c r="O1111">
        <f>IF(tblDowntime[[#This Row],[Production Downtime Hours]]="","",tblDowntime[[#This Row],[Equipment ID]])</f>
        <v/>
      </c>
      <c r="P1111" s="10" t="n"/>
    </row>
    <row r="1112">
      <c r="B1112">
        <f t="array" ref="B1112">_xlfn.XLOOKUP(C1112,INDIRECT("tblEquipment[Equipment ID]"),INDIRECT("tblEquipment[Production Department]"),"")</f>
        <v/>
      </c>
      <c r="D1112">
        <f t="array" ref="D1112">_xlfn.XLOOKUP(C1112,INDIRECT("tblEquipment[Equipment ID]"),INDIRECT("tblEquipment[Equipment Name]"),"")</f>
        <v/>
      </c>
      <c r="F1112" s="16" t="n"/>
      <c r="G1112" s="16" t="n"/>
      <c r="H1112" s="1">
        <f>IF(OR(F1112=0,G1112=0),"",(G1112-F1112)*24)</f>
        <v/>
      </c>
      <c r="I1112" s="10" t="n"/>
      <c r="J1112" s="1">
        <f>IF(OR(tblDowntime[[#This Row],[Failure Type]]="Sawshop",tblDowntime[[#This Row],[Failure Type]]="Electrical",tblDowntime[[#This Row],[Failure Type]]="Mechanical"),tblDowntime[[#This Row],[Downtime Hours]],"")</f>
        <v/>
      </c>
      <c r="K1112" s="10" t="n"/>
      <c r="L1112" s="10" t="n"/>
      <c r="M1112">
        <f>IF(tblDowntime[[#This Row],[Maintenance Downtime Hours]]="","",tblDowntime[[#This Row],[Equipment ID]])</f>
        <v/>
      </c>
      <c r="N1112" s="1">
        <f>IF(tblDowntime[[#This Row],[Failure Type]]="Production",tblDowntime[[#This Row],[Downtime Hours]],"")</f>
        <v/>
      </c>
      <c r="O1112">
        <f>IF(tblDowntime[[#This Row],[Production Downtime Hours]]="","",tblDowntime[[#This Row],[Equipment ID]])</f>
        <v/>
      </c>
      <c r="P1112" s="10" t="n"/>
    </row>
    <row r="1113">
      <c r="B1113">
        <f t="array" ref="B1113">_xlfn.XLOOKUP(C1113,INDIRECT("tblEquipment[Equipment ID]"),INDIRECT("tblEquipment[Production Department]"),"")</f>
        <v/>
      </c>
      <c r="D1113">
        <f t="array" ref="D1113">_xlfn.XLOOKUP(C1113,INDIRECT("tblEquipment[Equipment ID]"),INDIRECT("tblEquipment[Equipment Name]"),"")</f>
        <v/>
      </c>
      <c r="F1113" s="16" t="n"/>
      <c r="G1113" s="16" t="n"/>
      <c r="H1113" s="1">
        <f>IF(OR(F1113=0,G1113=0),"",(G1113-F1113)*24)</f>
        <v/>
      </c>
      <c r="I1113" s="10" t="n"/>
      <c r="J1113" s="1">
        <f>IF(OR(tblDowntime[[#This Row],[Failure Type]]="Sawshop",tblDowntime[[#This Row],[Failure Type]]="Electrical",tblDowntime[[#This Row],[Failure Type]]="Mechanical"),tblDowntime[[#This Row],[Downtime Hours]],"")</f>
        <v/>
      </c>
      <c r="K1113" s="10" t="n"/>
      <c r="L1113" s="10" t="n"/>
      <c r="M1113">
        <f>IF(tblDowntime[[#This Row],[Maintenance Downtime Hours]]="","",tblDowntime[[#This Row],[Equipment ID]])</f>
        <v/>
      </c>
      <c r="N1113" s="1">
        <f>IF(tblDowntime[[#This Row],[Failure Type]]="Production",tblDowntime[[#This Row],[Downtime Hours]],"")</f>
        <v/>
      </c>
      <c r="O1113">
        <f>IF(tblDowntime[[#This Row],[Production Downtime Hours]]="","",tblDowntime[[#This Row],[Equipment ID]])</f>
        <v/>
      </c>
      <c r="P1113" s="10" t="n"/>
    </row>
    <row r="1114">
      <c r="B1114">
        <f t="array" ref="B1114">_xlfn.XLOOKUP(C1114,INDIRECT("tblEquipment[Equipment ID]"),INDIRECT("tblEquipment[Production Department]"),"")</f>
        <v/>
      </c>
      <c r="D1114">
        <f t="array" ref="D1114">_xlfn.XLOOKUP(C1114,INDIRECT("tblEquipment[Equipment ID]"),INDIRECT("tblEquipment[Equipment Name]"),"")</f>
        <v/>
      </c>
      <c r="F1114" s="16" t="n"/>
      <c r="G1114" s="16" t="n"/>
      <c r="H1114" s="1">
        <f>IF(OR(F1114=0,G1114=0),"",(G1114-F1114)*24)</f>
        <v/>
      </c>
      <c r="I1114" s="10" t="n"/>
      <c r="J1114" s="1">
        <f>IF(OR(tblDowntime[[#This Row],[Failure Type]]="Sawshop",tblDowntime[[#This Row],[Failure Type]]="Electrical",tblDowntime[[#This Row],[Failure Type]]="Mechanical"),tblDowntime[[#This Row],[Downtime Hours]],"")</f>
        <v/>
      </c>
      <c r="K1114" s="10" t="n"/>
      <c r="L1114" s="10" t="n"/>
      <c r="M1114">
        <f>IF(tblDowntime[[#This Row],[Maintenance Downtime Hours]]="","",tblDowntime[[#This Row],[Equipment ID]])</f>
        <v/>
      </c>
      <c r="N1114" s="1">
        <f>IF(tblDowntime[[#This Row],[Failure Type]]="Production",tblDowntime[[#This Row],[Downtime Hours]],"")</f>
        <v/>
      </c>
      <c r="O1114">
        <f>IF(tblDowntime[[#This Row],[Production Downtime Hours]]="","",tblDowntime[[#This Row],[Equipment ID]])</f>
        <v/>
      </c>
      <c r="P1114" s="10" t="n"/>
    </row>
    <row r="1115">
      <c r="B1115">
        <f t="array" ref="B1115">_xlfn.XLOOKUP(C1115,INDIRECT("tblEquipment[Equipment ID]"),INDIRECT("tblEquipment[Production Department]"),"")</f>
        <v/>
      </c>
      <c r="D1115">
        <f t="array" ref="D1115">_xlfn.XLOOKUP(C1115,INDIRECT("tblEquipment[Equipment ID]"),INDIRECT("tblEquipment[Equipment Name]"),"")</f>
        <v/>
      </c>
      <c r="F1115" s="16" t="n"/>
      <c r="G1115" s="16" t="n"/>
      <c r="H1115" s="1">
        <f>IF(OR(F1115=0,G1115=0),"",(G1115-F1115)*24)</f>
        <v/>
      </c>
      <c r="I1115" s="10" t="n"/>
      <c r="J1115" s="1">
        <f>IF(OR(tblDowntime[[#This Row],[Failure Type]]="Sawshop",tblDowntime[[#This Row],[Failure Type]]="Electrical",tblDowntime[[#This Row],[Failure Type]]="Mechanical"),tblDowntime[[#This Row],[Downtime Hours]],"")</f>
        <v/>
      </c>
      <c r="K1115" s="10" t="n"/>
      <c r="L1115" s="10" t="n"/>
      <c r="M1115">
        <f>IF(tblDowntime[[#This Row],[Maintenance Downtime Hours]]="","",tblDowntime[[#This Row],[Equipment ID]])</f>
        <v/>
      </c>
      <c r="N1115" s="1">
        <f>IF(tblDowntime[[#This Row],[Failure Type]]="Production",tblDowntime[[#This Row],[Downtime Hours]],"")</f>
        <v/>
      </c>
      <c r="O1115">
        <f>IF(tblDowntime[[#This Row],[Production Downtime Hours]]="","",tblDowntime[[#This Row],[Equipment ID]])</f>
        <v/>
      </c>
      <c r="P1115" s="10" t="n"/>
    </row>
    <row r="1116">
      <c r="B1116">
        <f t="array" ref="B1116">_xlfn.XLOOKUP(C1116,INDIRECT("tblEquipment[Equipment ID]"),INDIRECT("tblEquipment[Production Department]"),"")</f>
        <v/>
      </c>
      <c r="D1116">
        <f t="array" ref="D1116">_xlfn.XLOOKUP(C1116,INDIRECT("tblEquipment[Equipment ID]"),INDIRECT("tblEquipment[Equipment Name]"),"")</f>
        <v/>
      </c>
      <c r="F1116" s="16" t="n"/>
      <c r="G1116" s="16" t="n"/>
      <c r="H1116" s="1">
        <f>IF(OR(F1116=0,G1116=0),"",(G1116-F1116)*24)</f>
        <v/>
      </c>
      <c r="I1116" s="10" t="n"/>
      <c r="J1116" s="1">
        <f>IF(OR(tblDowntime[[#This Row],[Failure Type]]="Sawshop",tblDowntime[[#This Row],[Failure Type]]="Electrical",tblDowntime[[#This Row],[Failure Type]]="Mechanical"),tblDowntime[[#This Row],[Downtime Hours]],"")</f>
        <v/>
      </c>
      <c r="K1116" s="10" t="n"/>
      <c r="L1116" s="10" t="n"/>
      <c r="M1116">
        <f>IF(tblDowntime[[#This Row],[Maintenance Downtime Hours]]="","",tblDowntime[[#This Row],[Equipment ID]])</f>
        <v/>
      </c>
      <c r="N1116" s="1">
        <f>IF(tblDowntime[[#This Row],[Failure Type]]="Production",tblDowntime[[#This Row],[Downtime Hours]],"")</f>
        <v/>
      </c>
      <c r="O1116">
        <f>IF(tblDowntime[[#This Row],[Production Downtime Hours]]="","",tblDowntime[[#This Row],[Equipment ID]])</f>
        <v/>
      </c>
      <c r="P1116" s="10" t="n"/>
    </row>
    <row r="1117">
      <c r="B1117">
        <f t="array" ref="B1117">_xlfn.XLOOKUP(C1117,INDIRECT("tblEquipment[Equipment ID]"),INDIRECT("tblEquipment[Production Department]"),"")</f>
        <v/>
      </c>
      <c r="D1117">
        <f t="array" ref="D1117">_xlfn.XLOOKUP(C1117,INDIRECT("tblEquipment[Equipment ID]"),INDIRECT("tblEquipment[Equipment Name]"),"")</f>
        <v/>
      </c>
      <c r="F1117" s="16" t="n"/>
      <c r="G1117" s="16" t="n"/>
      <c r="H1117" s="1">
        <f>IF(OR(F1117=0,G1117=0),"",(G1117-F1117)*24)</f>
        <v/>
      </c>
      <c r="I1117" s="10" t="n"/>
      <c r="J1117" s="1">
        <f>IF(OR(tblDowntime[[#This Row],[Failure Type]]="Sawshop",tblDowntime[[#This Row],[Failure Type]]="Electrical",tblDowntime[[#This Row],[Failure Type]]="Mechanical"),tblDowntime[[#This Row],[Downtime Hours]],"")</f>
        <v/>
      </c>
      <c r="K1117" s="10" t="n"/>
      <c r="L1117" s="10" t="n"/>
      <c r="M1117">
        <f>IF(tblDowntime[[#This Row],[Maintenance Downtime Hours]]="","",tblDowntime[[#This Row],[Equipment ID]])</f>
        <v/>
      </c>
      <c r="N1117" s="1">
        <f>IF(tblDowntime[[#This Row],[Failure Type]]="Production",tblDowntime[[#This Row],[Downtime Hours]],"")</f>
        <v/>
      </c>
      <c r="O1117">
        <f>IF(tblDowntime[[#This Row],[Production Downtime Hours]]="","",tblDowntime[[#This Row],[Equipment ID]])</f>
        <v/>
      </c>
      <c r="P1117" s="10" t="n"/>
    </row>
    <row r="1118">
      <c r="B1118">
        <f t="array" ref="B1118">_xlfn.XLOOKUP(C1118,INDIRECT("tblEquipment[Equipment ID]"),INDIRECT("tblEquipment[Production Department]"),"")</f>
        <v/>
      </c>
      <c r="D1118">
        <f t="array" ref="D1118">_xlfn.XLOOKUP(C1118,INDIRECT("tblEquipment[Equipment ID]"),INDIRECT("tblEquipment[Equipment Name]"),"")</f>
        <v/>
      </c>
      <c r="F1118" s="16" t="n"/>
      <c r="G1118" s="16" t="n"/>
      <c r="H1118" s="1">
        <f>IF(OR(F1118=0,G1118=0),"",(G1118-F1118)*24)</f>
        <v/>
      </c>
      <c r="I1118" s="10" t="n"/>
      <c r="J1118" s="1">
        <f>IF(OR(tblDowntime[[#This Row],[Failure Type]]="Sawshop",tblDowntime[[#This Row],[Failure Type]]="Electrical",tblDowntime[[#This Row],[Failure Type]]="Mechanical"),tblDowntime[[#This Row],[Downtime Hours]],"")</f>
        <v/>
      </c>
      <c r="K1118" s="10" t="n"/>
      <c r="L1118" s="10" t="n"/>
      <c r="M1118">
        <f>IF(tblDowntime[[#This Row],[Maintenance Downtime Hours]]="","",tblDowntime[[#This Row],[Equipment ID]])</f>
        <v/>
      </c>
      <c r="N1118" s="1">
        <f>IF(tblDowntime[[#This Row],[Failure Type]]="Production",tblDowntime[[#This Row],[Downtime Hours]],"")</f>
        <v/>
      </c>
      <c r="O1118">
        <f>IF(tblDowntime[[#This Row],[Production Downtime Hours]]="","",tblDowntime[[#This Row],[Equipment ID]])</f>
        <v/>
      </c>
      <c r="P1118" s="10" t="n"/>
    </row>
    <row r="1119">
      <c r="B1119">
        <f t="array" ref="B1119">_xlfn.XLOOKUP(C1119,INDIRECT("tblEquipment[Equipment ID]"),INDIRECT("tblEquipment[Production Department]"),"")</f>
        <v/>
      </c>
      <c r="D1119">
        <f t="array" ref="D1119">_xlfn.XLOOKUP(C1119,INDIRECT("tblEquipment[Equipment ID]"),INDIRECT("tblEquipment[Equipment Name]"),"")</f>
        <v/>
      </c>
      <c r="F1119" s="16" t="n"/>
      <c r="G1119" s="16" t="n"/>
      <c r="H1119" s="1">
        <f>IF(OR(F1119=0,G1119=0),"",(G1119-F1119)*24)</f>
        <v/>
      </c>
      <c r="I1119" s="10" t="n"/>
      <c r="J1119" s="1">
        <f>IF(OR(tblDowntime[[#This Row],[Failure Type]]="Sawshop",tblDowntime[[#This Row],[Failure Type]]="Electrical",tblDowntime[[#This Row],[Failure Type]]="Mechanical"),tblDowntime[[#This Row],[Downtime Hours]],"")</f>
        <v/>
      </c>
      <c r="K1119" s="10" t="n"/>
      <c r="L1119" s="10" t="n"/>
      <c r="M1119">
        <f>IF(tblDowntime[[#This Row],[Maintenance Downtime Hours]]="","",tblDowntime[[#This Row],[Equipment ID]])</f>
        <v/>
      </c>
      <c r="N1119" s="1">
        <f>IF(tblDowntime[[#This Row],[Failure Type]]="Production",tblDowntime[[#This Row],[Downtime Hours]],"")</f>
        <v/>
      </c>
      <c r="O1119">
        <f>IF(tblDowntime[[#This Row],[Production Downtime Hours]]="","",tblDowntime[[#This Row],[Equipment ID]])</f>
        <v/>
      </c>
      <c r="P1119" s="10" t="n"/>
    </row>
    <row r="1120">
      <c r="B1120">
        <f t="array" ref="B1120">_xlfn.XLOOKUP(C1120,INDIRECT("tblEquipment[Equipment ID]"),INDIRECT("tblEquipment[Production Department]"),"")</f>
        <v/>
      </c>
      <c r="D1120">
        <f t="array" ref="D1120">_xlfn.XLOOKUP(C1120,INDIRECT("tblEquipment[Equipment ID]"),INDIRECT("tblEquipment[Equipment Name]"),"")</f>
        <v/>
      </c>
      <c r="F1120" s="16" t="n"/>
      <c r="G1120" s="16" t="n"/>
      <c r="H1120" s="1">
        <f>IF(OR(F1120=0,G1120=0),"",(G1120-F1120)*24)</f>
        <v/>
      </c>
      <c r="I1120" s="10" t="n"/>
      <c r="J1120" s="1">
        <f>IF(OR(tblDowntime[[#This Row],[Failure Type]]="Sawshop",tblDowntime[[#This Row],[Failure Type]]="Electrical",tblDowntime[[#This Row],[Failure Type]]="Mechanical"),tblDowntime[[#This Row],[Downtime Hours]],"")</f>
        <v/>
      </c>
      <c r="K1120" s="10" t="n"/>
      <c r="L1120" s="10" t="n"/>
      <c r="M1120">
        <f>IF(tblDowntime[[#This Row],[Maintenance Downtime Hours]]="","",tblDowntime[[#This Row],[Equipment ID]])</f>
        <v/>
      </c>
      <c r="N1120" s="1">
        <f>IF(tblDowntime[[#This Row],[Failure Type]]="Production",tblDowntime[[#This Row],[Downtime Hours]],"")</f>
        <v/>
      </c>
      <c r="O1120">
        <f>IF(tblDowntime[[#This Row],[Production Downtime Hours]]="","",tblDowntime[[#This Row],[Equipment ID]])</f>
        <v/>
      </c>
      <c r="P1120" s="10" t="n"/>
    </row>
    <row r="1121">
      <c r="B1121">
        <f t="array" ref="B1121">_xlfn.XLOOKUP(C1121,INDIRECT("tblEquipment[Equipment ID]"),INDIRECT("tblEquipment[Production Department]"),"")</f>
        <v/>
      </c>
      <c r="D1121">
        <f t="array" ref="D1121">_xlfn.XLOOKUP(C1121,INDIRECT("tblEquipment[Equipment ID]"),INDIRECT("tblEquipment[Equipment Name]"),"")</f>
        <v/>
      </c>
      <c r="F1121" s="16" t="n"/>
      <c r="G1121" s="16" t="n"/>
      <c r="H1121" s="1">
        <f>IF(OR(F1121=0,G1121=0),"",(G1121-F1121)*24)</f>
        <v/>
      </c>
      <c r="I1121" s="10" t="n"/>
      <c r="J1121" s="1">
        <f>IF(OR(tblDowntime[[#This Row],[Failure Type]]="Sawshop",tblDowntime[[#This Row],[Failure Type]]="Electrical",tblDowntime[[#This Row],[Failure Type]]="Mechanical"),tblDowntime[[#This Row],[Downtime Hours]],"")</f>
        <v/>
      </c>
      <c r="K1121" s="10" t="n"/>
      <c r="L1121" s="10" t="n"/>
      <c r="M1121">
        <f>IF(tblDowntime[[#This Row],[Maintenance Downtime Hours]]="","",tblDowntime[[#This Row],[Equipment ID]])</f>
        <v/>
      </c>
      <c r="N1121" s="1">
        <f>IF(tblDowntime[[#This Row],[Failure Type]]="Production",tblDowntime[[#This Row],[Downtime Hours]],"")</f>
        <v/>
      </c>
      <c r="O1121">
        <f>IF(tblDowntime[[#This Row],[Production Downtime Hours]]="","",tblDowntime[[#This Row],[Equipment ID]])</f>
        <v/>
      </c>
      <c r="P1121" s="10" t="n"/>
    </row>
    <row r="1122">
      <c r="B1122">
        <f t="array" ref="B1122">_xlfn.XLOOKUP(C1122,INDIRECT("tblEquipment[Equipment ID]"),INDIRECT("tblEquipment[Production Department]"),"")</f>
        <v/>
      </c>
      <c r="D1122">
        <f t="array" ref="D1122">_xlfn.XLOOKUP(C1122,INDIRECT("tblEquipment[Equipment ID]"),INDIRECT("tblEquipment[Equipment Name]"),"")</f>
        <v/>
      </c>
      <c r="F1122" s="16" t="n"/>
      <c r="G1122" s="16" t="n"/>
      <c r="H1122" s="1">
        <f>IF(OR(F1122=0,G1122=0),"",(G1122-F1122)*24)</f>
        <v/>
      </c>
      <c r="I1122" s="10" t="n"/>
      <c r="J1122" s="1">
        <f>IF(OR(tblDowntime[[#This Row],[Failure Type]]="Sawshop",tblDowntime[[#This Row],[Failure Type]]="Electrical",tblDowntime[[#This Row],[Failure Type]]="Mechanical"),tblDowntime[[#This Row],[Downtime Hours]],"")</f>
        <v/>
      </c>
      <c r="K1122" s="10" t="n"/>
      <c r="L1122" s="10" t="n"/>
      <c r="M1122">
        <f>IF(tblDowntime[[#This Row],[Maintenance Downtime Hours]]="","",tblDowntime[[#This Row],[Equipment ID]])</f>
        <v/>
      </c>
      <c r="N1122" s="1">
        <f>IF(tblDowntime[[#This Row],[Failure Type]]="Production",tblDowntime[[#This Row],[Downtime Hours]],"")</f>
        <v/>
      </c>
      <c r="O1122">
        <f>IF(tblDowntime[[#This Row],[Production Downtime Hours]]="","",tblDowntime[[#This Row],[Equipment ID]])</f>
        <v/>
      </c>
      <c r="P1122" s="10" t="n"/>
    </row>
    <row r="1123">
      <c r="B1123">
        <f t="array" ref="B1123">_xlfn.XLOOKUP(C1123,INDIRECT("tblEquipment[Equipment ID]"),INDIRECT("tblEquipment[Production Department]"),"")</f>
        <v/>
      </c>
      <c r="D1123">
        <f t="array" ref="D1123">_xlfn.XLOOKUP(C1123,INDIRECT("tblEquipment[Equipment ID]"),INDIRECT("tblEquipment[Equipment Name]"),"")</f>
        <v/>
      </c>
      <c r="F1123" s="16" t="n"/>
      <c r="G1123" s="16" t="n"/>
      <c r="H1123" s="1">
        <f>IF(OR(F1123=0,G1123=0),"",(G1123-F1123)*24)</f>
        <v/>
      </c>
      <c r="I1123" s="10" t="n"/>
      <c r="J1123" s="1">
        <f>IF(OR(tblDowntime[[#This Row],[Failure Type]]="Sawshop",tblDowntime[[#This Row],[Failure Type]]="Electrical",tblDowntime[[#This Row],[Failure Type]]="Mechanical"),tblDowntime[[#This Row],[Downtime Hours]],"")</f>
        <v/>
      </c>
      <c r="K1123" s="10" t="n"/>
      <c r="L1123" s="10" t="n"/>
      <c r="M1123">
        <f>IF(tblDowntime[[#This Row],[Maintenance Downtime Hours]]="","",tblDowntime[[#This Row],[Equipment ID]])</f>
        <v/>
      </c>
      <c r="N1123" s="1">
        <f>IF(tblDowntime[[#This Row],[Failure Type]]="Production",tblDowntime[[#This Row],[Downtime Hours]],"")</f>
        <v/>
      </c>
      <c r="O1123">
        <f>IF(tblDowntime[[#This Row],[Production Downtime Hours]]="","",tblDowntime[[#This Row],[Equipment ID]])</f>
        <v/>
      </c>
      <c r="P1123" s="10" t="n"/>
    </row>
    <row r="1124">
      <c r="B1124">
        <f t="array" ref="B1124">_xlfn.XLOOKUP(C1124,INDIRECT("tblEquipment[Equipment ID]"),INDIRECT("tblEquipment[Production Department]"),"")</f>
        <v/>
      </c>
      <c r="D1124">
        <f t="array" ref="D1124">_xlfn.XLOOKUP(C1124,INDIRECT("tblEquipment[Equipment ID]"),INDIRECT("tblEquipment[Equipment Name]"),"")</f>
        <v/>
      </c>
      <c r="F1124" s="16" t="n"/>
      <c r="G1124" s="16" t="n"/>
      <c r="H1124" s="1">
        <f>IF(OR(F1124=0,G1124=0),"",(G1124-F1124)*24)</f>
        <v/>
      </c>
      <c r="I1124" s="10" t="n"/>
      <c r="J1124" s="1">
        <f>IF(OR(tblDowntime[[#This Row],[Failure Type]]="Sawshop",tblDowntime[[#This Row],[Failure Type]]="Electrical",tblDowntime[[#This Row],[Failure Type]]="Mechanical"),tblDowntime[[#This Row],[Downtime Hours]],"")</f>
        <v/>
      </c>
      <c r="K1124" s="10" t="n"/>
      <c r="L1124" s="10" t="n"/>
      <c r="M1124">
        <f>IF(tblDowntime[[#This Row],[Maintenance Downtime Hours]]="","",tblDowntime[[#This Row],[Equipment ID]])</f>
        <v/>
      </c>
      <c r="N1124" s="1">
        <f>IF(tblDowntime[[#This Row],[Failure Type]]="Production",tblDowntime[[#This Row],[Downtime Hours]],"")</f>
        <v/>
      </c>
      <c r="O1124">
        <f>IF(tblDowntime[[#This Row],[Production Downtime Hours]]="","",tblDowntime[[#This Row],[Equipment ID]])</f>
        <v/>
      </c>
      <c r="P1124" s="10" t="n"/>
    </row>
    <row r="1125">
      <c r="B1125">
        <f t="array" ref="B1125">_xlfn.XLOOKUP(C1125,INDIRECT("tblEquipment[Equipment ID]"),INDIRECT("tblEquipment[Production Department]"),"")</f>
        <v/>
      </c>
      <c r="D1125">
        <f t="array" ref="D1125">_xlfn.XLOOKUP(C1125,INDIRECT("tblEquipment[Equipment ID]"),INDIRECT("tblEquipment[Equipment Name]"),"")</f>
        <v/>
      </c>
      <c r="F1125" s="16" t="n"/>
      <c r="G1125" s="16" t="n"/>
      <c r="H1125" s="1">
        <f>IF(OR(F1125=0,G1125=0),"",(G1125-F1125)*24)</f>
        <v/>
      </c>
      <c r="I1125" s="10" t="n"/>
      <c r="J1125" s="1">
        <f>IF(OR(tblDowntime[[#This Row],[Failure Type]]="Sawshop",tblDowntime[[#This Row],[Failure Type]]="Electrical",tblDowntime[[#This Row],[Failure Type]]="Mechanical"),tblDowntime[[#This Row],[Downtime Hours]],"")</f>
        <v/>
      </c>
      <c r="K1125" s="10" t="n"/>
      <c r="L1125" s="10" t="n"/>
      <c r="M1125">
        <f>IF(tblDowntime[[#This Row],[Maintenance Downtime Hours]]="","",tblDowntime[[#This Row],[Equipment ID]])</f>
        <v/>
      </c>
      <c r="N1125" s="1">
        <f>IF(tblDowntime[[#This Row],[Failure Type]]="Production",tblDowntime[[#This Row],[Downtime Hours]],"")</f>
        <v/>
      </c>
      <c r="O1125">
        <f>IF(tblDowntime[[#This Row],[Production Downtime Hours]]="","",tblDowntime[[#This Row],[Equipment ID]])</f>
        <v/>
      </c>
      <c r="P1125" s="10" t="n"/>
    </row>
    <row r="1126">
      <c r="B1126">
        <f t="array" ref="B1126">_xlfn.XLOOKUP(C1126,INDIRECT("tblEquipment[Equipment ID]"),INDIRECT("tblEquipment[Production Department]"),"")</f>
        <v/>
      </c>
      <c r="D1126">
        <f t="array" ref="D1126">_xlfn.XLOOKUP(C1126,INDIRECT("tblEquipment[Equipment ID]"),INDIRECT("tblEquipment[Equipment Name]"),"")</f>
        <v/>
      </c>
      <c r="F1126" s="16" t="n"/>
      <c r="G1126" s="16" t="n"/>
      <c r="H1126" s="1">
        <f>IF(OR(F1126=0,G1126=0),"",(G1126-F1126)*24)</f>
        <v/>
      </c>
      <c r="I1126" s="10" t="n"/>
      <c r="J1126" s="1">
        <f>IF(OR(tblDowntime[[#This Row],[Failure Type]]="Sawshop",tblDowntime[[#This Row],[Failure Type]]="Electrical",tblDowntime[[#This Row],[Failure Type]]="Mechanical"),tblDowntime[[#This Row],[Downtime Hours]],"")</f>
        <v/>
      </c>
      <c r="K1126" s="10" t="n"/>
      <c r="L1126" s="10" t="n"/>
      <c r="M1126">
        <f>IF(tblDowntime[[#This Row],[Maintenance Downtime Hours]]="","",tblDowntime[[#This Row],[Equipment ID]])</f>
        <v/>
      </c>
      <c r="N1126" s="1">
        <f>IF(tblDowntime[[#This Row],[Failure Type]]="Production",tblDowntime[[#This Row],[Downtime Hours]],"")</f>
        <v/>
      </c>
      <c r="O1126">
        <f>IF(tblDowntime[[#This Row],[Production Downtime Hours]]="","",tblDowntime[[#This Row],[Equipment ID]])</f>
        <v/>
      </c>
      <c r="P1126" s="10" t="n"/>
    </row>
    <row r="1127">
      <c r="B1127">
        <f t="array" ref="B1127">_xlfn.XLOOKUP(C1127,INDIRECT("tblEquipment[Equipment ID]"),INDIRECT("tblEquipment[Production Department]"),"")</f>
        <v/>
      </c>
      <c r="D1127">
        <f t="array" ref="D1127">_xlfn.XLOOKUP(C1127,INDIRECT("tblEquipment[Equipment ID]"),INDIRECT("tblEquipment[Equipment Name]"),"")</f>
        <v/>
      </c>
      <c r="F1127" s="16" t="n"/>
      <c r="G1127" s="16" t="n"/>
      <c r="H1127" s="1">
        <f>IF(OR(F1127=0,G1127=0),"",(G1127-F1127)*24)</f>
        <v/>
      </c>
      <c r="I1127" s="10" t="n"/>
      <c r="J1127" s="1">
        <f>IF(OR(tblDowntime[[#This Row],[Failure Type]]="Sawshop",tblDowntime[[#This Row],[Failure Type]]="Electrical",tblDowntime[[#This Row],[Failure Type]]="Mechanical"),tblDowntime[[#This Row],[Downtime Hours]],"")</f>
        <v/>
      </c>
      <c r="K1127" s="10" t="n"/>
      <c r="L1127" s="10" t="n"/>
      <c r="M1127">
        <f>IF(tblDowntime[[#This Row],[Maintenance Downtime Hours]]="","",tblDowntime[[#This Row],[Equipment ID]])</f>
        <v/>
      </c>
      <c r="N1127" s="1">
        <f>IF(tblDowntime[[#This Row],[Failure Type]]="Production",tblDowntime[[#This Row],[Downtime Hours]],"")</f>
        <v/>
      </c>
      <c r="O1127">
        <f>IF(tblDowntime[[#This Row],[Production Downtime Hours]]="","",tblDowntime[[#This Row],[Equipment ID]])</f>
        <v/>
      </c>
      <c r="P1127" s="10" t="n"/>
    </row>
    <row r="1128">
      <c r="B1128">
        <f t="array" ref="B1128">_xlfn.XLOOKUP(C1128,INDIRECT("tblEquipment[Equipment ID]"),INDIRECT("tblEquipment[Production Department]"),"")</f>
        <v/>
      </c>
      <c r="D1128">
        <f t="array" ref="D1128">_xlfn.XLOOKUP(C1128,INDIRECT("tblEquipment[Equipment ID]"),INDIRECT("tblEquipment[Equipment Name]"),"")</f>
        <v/>
      </c>
      <c r="F1128" s="16" t="n"/>
      <c r="G1128" s="16" t="n"/>
      <c r="H1128" s="1">
        <f>IF(OR(F1128=0,G1128=0),"",(G1128-F1128)*24)</f>
        <v/>
      </c>
      <c r="I1128" s="10" t="n"/>
      <c r="J1128" s="1">
        <f>IF(OR(tblDowntime[[#This Row],[Failure Type]]="Sawshop",tblDowntime[[#This Row],[Failure Type]]="Electrical",tblDowntime[[#This Row],[Failure Type]]="Mechanical"),tblDowntime[[#This Row],[Downtime Hours]],"")</f>
        <v/>
      </c>
      <c r="K1128" s="10" t="n"/>
      <c r="L1128" s="10" t="n"/>
      <c r="M1128">
        <f>IF(tblDowntime[[#This Row],[Maintenance Downtime Hours]]="","",tblDowntime[[#This Row],[Equipment ID]])</f>
        <v/>
      </c>
      <c r="N1128" s="1">
        <f>IF(tblDowntime[[#This Row],[Failure Type]]="Production",tblDowntime[[#This Row],[Downtime Hours]],"")</f>
        <v/>
      </c>
      <c r="O1128">
        <f>IF(tblDowntime[[#This Row],[Production Downtime Hours]]="","",tblDowntime[[#This Row],[Equipment ID]])</f>
        <v/>
      </c>
      <c r="P1128" s="10" t="n"/>
    </row>
    <row r="1129">
      <c r="B1129">
        <f t="array" ref="B1129">_xlfn.XLOOKUP(C1129,INDIRECT("tblEquipment[Equipment ID]"),INDIRECT("tblEquipment[Production Department]"),"")</f>
        <v/>
      </c>
      <c r="D1129">
        <f t="array" ref="D1129">_xlfn.XLOOKUP(C1129,INDIRECT("tblEquipment[Equipment ID]"),INDIRECT("tblEquipment[Equipment Name]"),"")</f>
        <v/>
      </c>
      <c r="F1129" s="16" t="n"/>
      <c r="G1129" s="16" t="n"/>
      <c r="H1129" s="1">
        <f>IF(OR(F1129=0,G1129=0),"",(G1129-F1129)*24)</f>
        <v/>
      </c>
      <c r="I1129" s="10" t="n"/>
      <c r="J1129" s="1">
        <f>IF(OR(tblDowntime[[#This Row],[Failure Type]]="Sawshop",tblDowntime[[#This Row],[Failure Type]]="Electrical",tblDowntime[[#This Row],[Failure Type]]="Mechanical"),tblDowntime[[#This Row],[Downtime Hours]],"")</f>
        <v/>
      </c>
      <c r="K1129" s="10" t="n"/>
      <c r="L1129" s="10" t="n"/>
      <c r="M1129">
        <f>IF(tblDowntime[[#This Row],[Maintenance Downtime Hours]]="","",tblDowntime[[#This Row],[Equipment ID]])</f>
        <v/>
      </c>
      <c r="N1129" s="1">
        <f>IF(tblDowntime[[#This Row],[Failure Type]]="Production",tblDowntime[[#This Row],[Downtime Hours]],"")</f>
        <v/>
      </c>
      <c r="O1129">
        <f>IF(tblDowntime[[#This Row],[Production Downtime Hours]]="","",tblDowntime[[#This Row],[Equipment ID]])</f>
        <v/>
      </c>
      <c r="P1129" s="10" t="n"/>
    </row>
    <row r="1130">
      <c r="B1130">
        <f t="array" ref="B1130">_xlfn.XLOOKUP(C1130,INDIRECT("tblEquipment[Equipment ID]"),INDIRECT("tblEquipment[Production Department]"),"")</f>
        <v/>
      </c>
      <c r="D1130">
        <f t="array" ref="D1130">_xlfn.XLOOKUP(C1130,INDIRECT("tblEquipment[Equipment ID]"),INDIRECT("tblEquipment[Equipment Name]"),"")</f>
        <v/>
      </c>
      <c r="F1130" s="16" t="n"/>
      <c r="G1130" s="16" t="n"/>
      <c r="H1130" s="1">
        <f>IF(OR(F1130=0,G1130=0),"",(G1130-F1130)*24)</f>
        <v/>
      </c>
      <c r="I1130" s="10" t="n"/>
      <c r="J1130" s="1">
        <f>IF(OR(tblDowntime[[#This Row],[Failure Type]]="Sawshop",tblDowntime[[#This Row],[Failure Type]]="Electrical",tblDowntime[[#This Row],[Failure Type]]="Mechanical"),tblDowntime[[#This Row],[Downtime Hours]],"")</f>
        <v/>
      </c>
      <c r="K1130" s="10" t="n"/>
      <c r="L1130" s="10" t="n"/>
      <c r="M1130">
        <f>IF(tblDowntime[[#This Row],[Maintenance Downtime Hours]]="","",tblDowntime[[#This Row],[Equipment ID]])</f>
        <v/>
      </c>
      <c r="N1130" s="1">
        <f>IF(tblDowntime[[#This Row],[Failure Type]]="Production",tblDowntime[[#This Row],[Downtime Hours]],"")</f>
        <v/>
      </c>
      <c r="O1130">
        <f>IF(tblDowntime[[#This Row],[Production Downtime Hours]]="","",tblDowntime[[#This Row],[Equipment ID]])</f>
        <v/>
      </c>
      <c r="P1130" s="10" t="n"/>
    </row>
    <row r="1131">
      <c r="B1131">
        <f t="array" ref="B1131">_xlfn.XLOOKUP(C1131,INDIRECT("tblEquipment[Equipment ID]"),INDIRECT("tblEquipment[Production Department]"),"")</f>
        <v/>
      </c>
      <c r="D1131">
        <f t="array" ref="D1131">_xlfn.XLOOKUP(C1131,INDIRECT("tblEquipment[Equipment ID]"),INDIRECT("tblEquipment[Equipment Name]"),"")</f>
        <v/>
      </c>
      <c r="F1131" s="16" t="n"/>
      <c r="G1131" s="16" t="n"/>
      <c r="H1131" s="1">
        <f>IF(OR(F1131=0,G1131=0),"",(G1131-F1131)*24)</f>
        <v/>
      </c>
      <c r="I1131" s="10" t="n"/>
      <c r="J1131" s="1">
        <f>IF(OR(tblDowntime[[#This Row],[Failure Type]]="Sawshop",tblDowntime[[#This Row],[Failure Type]]="Electrical",tblDowntime[[#This Row],[Failure Type]]="Mechanical"),tblDowntime[[#This Row],[Downtime Hours]],"")</f>
        <v/>
      </c>
      <c r="K1131" s="10" t="n"/>
      <c r="L1131" s="10" t="n"/>
      <c r="M1131">
        <f>IF(tblDowntime[[#This Row],[Maintenance Downtime Hours]]="","",tblDowntime[[#This Row],[Equipment ID]])</f>
        <v/>
      </c>
      <c r="N1131" s="1">
        <f>IF(tblDowntime[[#This Row],[Failure Type]]="Production",tblDowntime[[#This Row],[Downtime Hours]],"")</f>
        <v/>
      </c>
      <c r="O1131">
        <f>IF(tblDowntime[[#This Row],[Production Downtime Hours]]="","",tblDowntime[[#This Row],[Equipment ID]])</f>
        <v/>
      </c>
      <c r="P1131" s="10" t="n"/>
    </row>
    <row r="1132">
      <c r="B1132">
        <f t="array" ref="B1132">_xlfn.XLOOKUP(C1132,INDIRECT("tblEquipment[Equipment ID]"),INDIRECT("tblEquipment[Production Department]"),"")</f>
        <v/>
      </c>
      <c r="D1132">
        <f t="array" ref="D1132">_xlfn.XLOOKUP(C1132,INDIRECT("tblEquipment[Equipment ID]"),INDIRECT("tblEquipment[Equipment Name]"),"")</f>
        <v/>
      </c>
      <c r="F1132" s="16" t="n"/>
      <c r="G1132" s="16" t="n"/>
      <c r="H1132" s="1">
        <f>IF(OR(F1132=0,G1132=0),"",(G1132-F1132)*24)</f>
        <v/>
      </c>
      <c r="I1132" s="10" t="n"/>
      <c r="J1132" s="1">
        <f>IF(OR(tblDowntime[[#This Row],[Failure Type]]="Sawshop",tblDowntime[[#This Row],[Failure Type]]="Electrical",tblDowntime[[#This Row],[Failure Type]]="Mechanical"),tblDowntime[[#This Row],[Downtime Hours]],"")</f>
        <v/>
      </c>
      <c r="K1132" s="10" t="n"/>
      <c r="L1132" s="10" t="n"/>
      <c r="M1132">
        <f>IF(tblDowntime[[#This Row],[Maintenance Downtime Hours]]="","",tblDowntime[[#This Row],[Equipment ID]])</f>
        <v/>
      </c>
      <c r="N1132" s="1">
        <f>IF(tblDowntime[[#This Row],[Failure Type]]="Production",tblDowntime[[#This Row],[Downtime Hours]],"")</f>
        <v/>
      </c>
      <c r="O1132">
        <f>IF(tblDowntime[[#This Row],[Production Downtime Hours]]="","",tblDowntime[[#This Row],[Equipment ID]])</f>
        <v/>
      </c>
      <c r="P1132" s="10" t="n"/>
    </row>
    <row r="1133">
      <c r="B1133">
        <f t="array" ref="B1133">_xlfn.XLOOKUP(C1133,INDIRECT("tblEquipment[Equipment ID]"),INDIRECT("tblEquipment[Production Department]"),"")</f>
        <v/>
      </c>
      <c r="D1133">
        <f t="array" ref="D1133">_xlfn.XLOOKUP(C1133,INDIRECT("tblEquipment[Equipment ID]"),INDIRECT("tblEquipment[Equipment Name]"),"")</f>
        <v/>
      </c>
      <c r="F1133" s="16" t="n"/>
      <c r="G1133" s="16" t="n"/>
      <c r="H1133" s="1">
        <f>IF(OR(F1133=0,G1133=0),"",(G1133-F1133)*24)</f>
        <v/>
      </c>
      <c r="I1133" s="10" t="n"/>
      <c r="J1133" s="1">
        <f>IF(OR(tblDowntime[[#This Row],[Failure Type]]="Sawshop",tblDowntime[[#This Row],[Failure Type]]="Electrical",tblDowntime[[#This Row],[Failure Type]]="Mechanical"),tblDowntime[[#This Row],[Downtime Hours]],"")</f>
        <v/>
      </c>
      <c r="K1133" s="10" t="n"/>
      <c r="L1133" s="10" t="n"/>
      <c r="M1133">
        <f>IF(tblDowntime[[#This Row],[Maintenance Downtime Hours]]="","",tblDowntime[[#This Row],[Equipment ID]])</f>
        <v/>
      </c>
      <c r="N1133" s="1">
        <f>IF(tblDowntime[[#This Row],[Failure Type]]="Production",tblDowntime[[#This Row],[Downtime Hours]],"")</f>
        <v/>
      </c>
      <c r="O1133">
        <f>IF(tblDowntime[[#This Row],[Production Downtime Hours]]="","",tblDowntime[[#This Row],[Equipment ID]])</f>
        <v/>
      </c>
      <c r="P1133" s="10" t="n"/>
    </row>
    <row r="1134">
      <c r="B1134">
        <f t="array" ref="B1134">_xlfn.XLOOKUP(C1134,INDIRECT("tblEquipment[Equipment ID]"),INDIRECT("tblEquipment[Production Department]"),"")</f>
        <v/>
      </c>
      <c r="D1134">
        <f t="array" ref="D1134">_xlfn.XLOOKUP(C1134,INDIRECT("tblEquipment[Equipment ID]"),INDIRECT("tblEquipment[Equipment Name]"),"")</f>
        <v/>
      </c>
      <c r="F1134" s="16" t="n"/>
      <c r="G1134" s="16" t="n"/>
      <c r="H1134" s="1">
        <f>IF(OR(F1134=0,G1134=0),"",(G1134-F1134)*24)</f>
        <v/>
      </c>
      <c r="I1134" s="10" t="n"/>
      <c r="J1134" s="1">
        <f>IF(OR(tblDowntime[[#This Row],[Failure Type]]="Sawshop",tblDowntime[[#This Row],[Failure Type]]="Electrical",tblDowntime[[#This Row],[Failure Type]]="Mechanical"),tblDowntime[[#This Row],[Downtime Hours]],"")</f>
        <v/>
      </c>
      <c r="K1134" s="10" t="n"/>
      <c r="L1134" s="10" t="n"/>
      <c r="M1134">
        <f>IF(tblDowntime[[#This Row],[Maintenance Downtime Hours]]="","",tblDowntime[[#This Row],[Equipment ID]])</f>
        <v/>
      </c>
      <c r="N1134" s="1">
        <f>IF(tblDowntime[[#This Row],[Failure Type]]="Production",tblDowntime[[#This Row],[Downtime Hours]],"")</f>
        <v/>
      </c>
      <c r="O1134">
        <f>IF(tblDowntime[[#This Row],[Production Downtime Hours]]="","",tblDowntime[[#This Row],[Equipment ID]])</f>
        <v/>
      </c>
      <c r="P1134" s="10" t="n"/>
    </row>
    <row r="1135">
      <c r="B1135">
        <f t="array" ref="B1135">_xlfn.XLOOKUP(C1135,INDIRECT("tblEquipment[Equipment ID]"),INDIRECT("tblEquipment[Production Department]"),"")</f>
        <v/>
      </c>
      <c r="D1135">
        <f t="array" ref="D1135">_xlfn.XLOOKUP(C1135,INDIRECT("tblEquipment[Equipment ID]"),INDIRECT("tblEquipment[Equipment Name]"),"")</f>
        <v/>
      </c>
      <c r="F1135" s="16" t="n"/>
      <c r="G1135" s="16" t="n"/>
      <c r="H1135" s="1">
        <f>IF(OR(F1135=0,G1135=0),"",(G1135-F1135)*24)</f>
        <v/>
      </c>
      <c r="I1135" s="10" t="n"/>
      <c r="J1135" s="1">
        <f>IF(OR(tblDowntime[[#This Row],[Failure Type]]="Sawshop",tblDowntime[[#This Row],[Failure Type]]="Electrical",tblDowntime[[#This Row],[Failure Type]]="Mechanical"),tblDowntime[[#This Row],[Downtime Hours]],"")</f>
        <v/>
      </c>
      <c r="K1135" s="10" t="n"/>
      <c r="L1135" s="10" t="n"/>
      <c r="M1135">
        <f>IF(tblDowntime[[#This Row],[Maintenance Downtime Hours]]="","",tblDowntime[[#This Row],[Equipment ID]])</f>
        <v/>
      </c>
      <c r="N1135" s="1">
        <f>IF(tblDowntime[[#This Row],[Failure Type]]="Production",tblDowntime[[#This Row],[Downtime Hours]],"")</f>
        <v/>
      </c>
      <c r="O1135">
        <f>IF(tblDowntime[[#This Row],[Production Downtime Hours]]="","",tblDowntime[[#This Row],[Equipment ID]])</f>
        <v/>
      </c>
      <c r="P1135" s="10" t="n"/>
    </row>
    <row r="1136">
      <c r="B1136">
        <f t="array" ref="B1136">_xlfn.XLOOKUP(C1136,INDIRECT("tblEquipment[Equipment ID]"),INDIRECT("tblEquipment[Production Department]"),"")</f>
        <v/>
      </c>
      <c r="D1136">
        <f t="array" ref="D1136">_xlfn.XLOOKUP(C1136,INDIRECT("tblEquipment[Equipment ID]"),INDIRECT("tblEquipment[Equipment Name]"),"")</f>
        <v/>
      </c>
      <c r="F1136" s="16" t="n"/>
      <c r="G1136" s="16" t="n"/>
      <c r="H1136" s="1">
        <f>IF(OR(F1136=0,G1136=0),"",(G1136-F1136)*24)</f>
        <v/>
      </c>
      <c r="I1136" s="10" t="n"/>
      <c r="J1136" s="1">
        <f>IF(OR(tblDowntime[[#This Row],[Failure Type]]="Sawshop",tblDowntime[[#This Row],[Failure Type]]="Electrical",tblDowntime[[#This Row],[Failure Type]]="Mechanical"),tblDowntime[[#This Row],[Downtime Hours]],"")</f>
        <v/>
      </c>
      <c r="K1136" s="10" t="n"/>
      <c r="L1136" s="10" t="n"/>
      <c r="M1136">
        <f>IF(tblDowntime[[#This Row],[Maintenance Downtime Hours]]="","",tblDowntime[[#This Row],[Equipment ID]])</f>
        <v/>
      </c>
      <c r="N1136" s="1">
        <f>IF(tblDowntime[[#This Row],[Failure Type]]="Production",tblDowntime[[#This Row],[Downtime Hours]],"")</f>
        <v/>
      </c>
      <c r="O1136">
        <f>IF(tblDowntime[[#This Row],[Production Downtime Hours]]="","",tblDowntime[[#This Row],[Equipment ID]])</f>
        <v/>
      </c>
      <c r="P1136" s="10" t="n"/>
    </row>
    <row r="1137">
      <c r="B1137">
        <f t="array" ref="B1137">_xlfn.XLOOKUP(C1137,INDIRECT("tblEquipment[Equipment ID]"),INDIRECT("tblEquipment[Production Department]"),"")</f>
        <v/>
      </c>
      <c r="D1137">
        <f t="array" ref="D1137">_xlfn.XLOOKUP(C1137,INDIRECT("tblEquipment[Equipment ID]"),INDIRECT("tblEquipment[Equipment Name]"),"")</f>
        <v/>
      </c>
      <c r="F1137" s="16" t="n"/>
      <c r="G1137" s="16" t="n"/>
      <c r="H1137" s="1">
        <f>IF(OR(F1137=0,G1137=0),"",(G1137-F1137)*24)</f>
        <v/>
      </c>
      <c r="I1137" s="10" t="n"/>
      <c r="J1137" s="1">
        <f>IF(OR(tblDowntime[[#This Row],[Failure Type]]="Sawshop",tblDowntime[[#This Row],[Failure Type]]="Electrical",tblDowntime[[#This Row],[Failure Type]]="Mechanical"),tblDowntime[[#This Row],[Downtime Hours]],"")</f>
        <v/>
      </c>
      <c r="K1137" s="10" t="n"/>
      <c r="L1137" s="10" t="n"/>
      <c r="M1137">
        <f>IF(tblDowntime[[#This Row],[Maintenance Downtime Hours]]="","",tblDowntime[[#This Row],[Equipment ID]])</f>
        <v/>
      </c>
      <c r="N1137" s="1">
        <f>IF(tblDowntime[[#This Row],[Failure Type]]="Production",tblDowntime[[#This Row],[Downtime Hours]],"")</f>
        <v/>
      </c>
      <c r="O1137">
        <f>IF(tblDowntime[[#This Row],[Production Downtime Hours]]="","",tblDowntime[[#This Row],[Equipment ID]])</f>
        <v/>
      </c>
      <c r="P1137" s="10" t="n"/>
    </row>
    <row r="1138">
      <c r="B1138">
        <f t="array" ref="B1138">_xlfn.XLOOKUP(C1138,INDIRECT("tblEquipment[Equipment ID]"),INDIRECT("tblEquipment[Production Department]"),"")</f>
        <v/>
      </c>
      <c r="D1138">
        <f t="array" ref="D1138">_xlfn.XLOOKUP(C1138,INDIRECT("tblEquipment[Equipment ID]"),INDIRECT("tblEquipment[Equipment Name]"),"")</f>
        <v/>
      </c>
      <c r="F1138" s="16" t="n"/>
      <c r="G1138" s="16" t="n"/>
      <c r="H1138" s="1">
        <f>IF(OR(F1138=0,G1138=0),"",(G1138-F1138)*24)</f>
        <v/>
      </c>
      <c r="I1138" s="10" t="n"/>
      <c r="J1138" s="1">
        <f>IF(OR(tblDowntime[[#This Row],[Failure Type]]="Sawshop",tblDowntime[[#This Row],[Failure Type]]="Electrical",tblDowntime[[#This Row],[Failure Type]]="Mechanical"),tblDowntime[[#This Row],[Downtime Hours]],"")</f>
        <v/>
      </c>
      <c r="K1138" s="10" t="n"/>
      <c r="L1138" s="10" t="n"/>
      <c r="M1138">
        <f>IF(tblDowntime[[#This Row],[Maintenance Downtime Hours]]="","",tblDowntime[[#This Row],[Equipment ID]])</f>
        <v/>
      </c>
      <c r="N1138" s="1">
        <f>IF(tblDowntime[[#This Row],[Failure Type]]="Production",tblDowntime[[#This Row],[Downtime Hours]],"")</f>
        <v/>
      </c>
      <c r="O1138">
        <f>IF(tblDowntime[[#This Row],[Production Downtime Hours]]="","",tblDowntime[[#This Row],[Equipment ID]])</f>
        <v/>
      </c>
      <c r="P1138" s="10" t="n"/>
    </row>
    <row r="1139">
      <c r="B1139">
        <f t="array" ref="B1139">_xlfn.XLOOKUP(C1139,INDIRECT("tblEquipment[Equipment ID]"),INDIRECT("tblEquipment[Production Department]"),"")</f>
        <v/>
      </c>
      <c r="D1139">
        <f t="array" ref="D1139">_xlfn.XLOOKUP(C1139,INDIRECT("tblEquipment[Equipment ID]"),INDIRECT("tblEquipment[Equipment Name]"),"")</f>
        <v/>
      </c>
      <c r="F1139" s="16" t="n"/>
      <c r="G1139" s="16" t="n"/>
      <c r="H1139" s="1">
        <f>IF(OR(F1139=0,G1139=0),"",(G1139-F1139)*24)</f>
        <v/>
      </c>
      <c r="I1139" s="10" t="n"/>
      <c r="J1139" s="1">
        <f>IF(OR(tblDowntime[[#This Row],[Failure Type]]="Sawshop",tblDowntime[[#This Row],[Failure Type]]="Electrical",tblDowntime[[#This Row],[Failure Type]]="Mechanical"),tblDowntime[[#This Row],[Downtime Hours]],"")</f>
        <v/>
      </c>
      <c r="K1139" s="10" t="n"/>
      <c r="L1139" s="10" t="n"/>
      <c r="M1139">
        <f>IF(tblDowntime[[#This Row],[Maintenance Downtime Hours]]="","",tblDowntime[[#This Row],[Equipment ID]])</f>
        <v/>
      </c>
      <c r="N1139" s="1">
        <f>IF(tblDowntime[[#This Row],[Failure Type]]="Production",tblDowntime[[#This Row],[Downtime Hours]],"")</f>
        <v/>
      </c>
      <c r="O1139">
        <f>IF(tblDowntime[[#This Row],[Production Downtime Hours]]="","",tblDowntime[[#This Row],[Equipment ID]])</f>
        <v/>
      </c>
      <c r="P1139" s="10" t="n"/>
    </row>
    <row r="1140">
      <c r="B1140">
        <f t="array" ref="B1140">_xlfn.XLOOKUP(C1140,INDIRECT("tblEquipment[Equipment ID]"),INDIRECT("tblEquipment[Production Department]"),"")</f>
        <v/>
      </c>
      <c r="D1140">
        <f t="array" ref="D1140">_xlfn.XLOOKUP(C1140,INDIRECT("tblEquipment[Equipment ID]"),INDIRECT("tblEquipment[Equipment Name]"),"")</f>
        <v/>
      </c>
      <c r="F1140" s="16" t="n"/>
      <c r="G1140" s="16" t="n"/>
      <c r="H1140" s="1">
        <f>IF(OR(F1140=0,G1140=0),"",(G1140-F1140)*24)</f>
        <v/>
      </c>
      <c r="I1140" s="10" t="n"/>
      <c r="J1140" s="1">
        <f>IF(OR(tblDowntime[[#This Row],[Failure Type]]="Sawshop",tblDowntime[[#This Row],[Failure Type]]="Electrical",tblDowntime[[#This Row],[Failure Type]]="Mechanical"),tblDowntime[[#This Row],[Downtime Hours]],"")</f>
        <v/>
      </c>
      <c r="K1140" s="10" t="n"/>
      <c r="L1140" s="10" t="n"/>
      <c r="M1140">
        <f>IF(tblDowntime[[#This Row],[Maintenance Downtime Hours]]="","",tblDowntime[[#This Row],[Equipment ID]])</f>
        <v/>
      </c>
      <c r="N1140" s="1">
        <f>IF(tblDowntime[[#This Row],[Failure Type]]="Production",tblDowntime[[#This Row],[Downtime Hours]],"")</f>
        <v/>
      </c>
      <c r="O1140">
        <f>IF(tblDowntime[[#This Row],[Production Downtime Hours]]="","",tblDowntime[[#This Row],[Equipment ID]])</f>
        <v/>
      </c>
      <c r="P1140" s="10" t="n"/>
    </row>
    <row r="1141">
      <c r="B1141">
        <f t="array" ref="B1141">_xlfn.XLOOKUP(C1141,INDIRECT("tblEquipment[Equipment ID]"),INDIRECT("tblEquipment[Production Department]"),"")</f>
        <v/>
      </c>
      <c r="D1141">
        <f t="array" ref="D1141">_xlfn.XLOOKUP(C1141,INDIRECT("tblEquipment[Equipment ID]"),INDIRECT("tblEquipment[Equipment Name]"),"")</f>
        <v/>
      </c>
      <c r="F1141" s="16" t="n"/>
      <c r="G1141" s="16" t="n"/>
      <c r="H1141" s="1">
        <f>IF(OR(F1141=0,G1141=0),"",(G1141-F1141)*24)</f>
        <v/>
      </c>
      <c r="I1141" s="10" t="n"/>
      <c r="J1141" s="1">
        <f>IF(OR(tblDowntime[[#This Row],[Failure Type]]="Sawshop",tblDowntime[[#This Row],[Failure Type]]="Electrical",tblDowntime[[#This Row],[Failure Type]]="Mechanical"),tblDowntime[[#This Row],[Downtime Hours]],"")</f>
        <v/>
      </c>
      <c r="K1141" s="10" t="n"/>
      <c r="L1141" s="10" t="n"/>
      <c r="M1141">
        <f>IF(tblDowntime[[#This Row],[Maintenance Downtime Hours]]="","",tblDowntime[[#This Row],[Equipment ID]])</f>
        <v/>
      </c>
      <c r="N1141" s="1">
        <f>IF(tblDowntime[[#This Row],[Failure Type]]="Production",tblDowntime[[#This Row],[Downtime Hours]],"")</f>
        <v/>
      </c>
      <c r="O1141">
        <f>IF(tblDowntime[[#This Row],[Production Downtime Hours]]="","",tblDowntime[[#This Row],[Equipment ID]])</f>
        <v/>
      </c>
      <c r="P1141" s="10" t="n"/>
    </row>
    <row r="1142">
      <c r="B1142">
        <f t="array" ref="B1142">_xlfn.XLOOKUP(C1142,INDIRECT("tblEquipment[Equipment ID]"),INDIRECT("tblEquipment[Production Department]"),"")</f>
        <v/>
      </c>
      <c r="D1142">
        <f t="array" ref="D1142">_xlfn.XLOOKUP(C1142,INDIRECT("tblEquipment[Equipment ID]"),INDIRECT("tblEquipment[Equipment Name]"),"")</f>
        <v/>
      </c>
      <c r="F1142" s="16" t="n"/>
      <c r="G1142" s="16" t="n"/>
      <c r="H1142" s="1">
        <f>IF(OR(F1142=0,G1142=0),"",(G1142-F1142)*24)</f>
        <v/>
      </c>
      <c r="I1142" s="10" t="n"/>
      <c r="J1142" s="1">
        <f>IF(OR(tblDowntime[[#This Row],[Failure Type]]="Sawshop",tblDowntime[[#This Row],[Failure Type]]="Electrical",tblDowntime[[#This Row],[Failure Type]]="Mechanical"),tblDowntime[[#This Row],[Downtime Hours]],"")</f>
        <v/>
      </c>
      <c r="K1142" s="10" t="n"/>
      <c r="L1142" s="10" t="n"/>
      <c r="M1142">
        <f>IF(tblDowntime[[#This Row],[Maintenance Downtime Hours]]="","",tblDowntime[[#This Row],[Equipment ID]])</f>
        <v/>
      </c>
      <c r="N1142" s="1">
        <f>IF(tblDowntime[[#This Row],[Failure Type]]="Production",tblDowntime[[#This Row],[Downtime Hours]],"")</f>
        <v/>
      </c>
      <c r="O1142">
        <f>IF(tblDowntime[[#This Row],[Production Downtime Hours]]="","",tblDowntime[[#This Row],[Equipment ID]])</f>
        <v/>
      </c>
      <c r="P1142" s="10" t="n"/>
    </row>
    <row r="1143">
      <c r="B1143">
        <f t="array" ref="B1143">_xlfn.XLOOKUP(C1143,INDIRECT("tblEquipment[Equipment ID]"),INDIRECT("tblEquipment[Production Department]"),"")</f>
        <v/>
      </c>
      <c r="D1143">
        <f t="array" ref="D1143">_xlfn.XLOOKUP(C1143,INDIRECT("tblEquipment[Equipment ID]"),INDIRECT("tblEquipment[Equipment Name]"),"")</f>
        <v/>
      </c>
      <c r="F1143" s="16" t="n"/>
      <c r="G1143" s="16" t="n"/>
      <c r="H1143" s="1">
        <f>IF(OR(F1143=0,G1143=0),"",(G1143-F1143)*24)</f>
        <v/>
      </c>
      <c r="I1143" s="10" t="n"/>
      <c r="J1143" s="1">
        <f>IF(OR(tblDowntime[[#This Row],[Failure Type]]="Sawshop",tblDowntime[[#This Row],[Failure Type]]="Electrical",tblDowntime[[#This Row],[Failure Type]]="Mechanical"),tblDowntime[[#This Row],[Downtime Hours]],"")</f>
        <v/>
      </c>
      <c r="K1143" s="10" t="n"/>
      <c r="L1143" s="10" t="n"/>
      <c r="M1143">
        <f>IF(tblDowntime[[#This Row],[Maintenance Downtime Hours]]="","",tblDowntime[[#This Row],[Equipment ID]])</f>
        <v/>
      </c>
      <c r="N1143" s="1">
        <f>IF(tblDowntime[[#This Row],[Failure Type]]="Production",tblDowntime[[#This Row],[Downtime Hours]],"")</f>
        <v/>
      </c>
      <c r="O1143">
        <f>IF(tblDowntime[[#This Row],[Production Downtime Hours]]="","",tblDowntime[[#This Row],[Equipment ID]])</f>
        <v/>
      </c>
      <c r="P1143" s="10" t="n"/>
    </row>
    <row r="1144">
      <c r="B1144">
        <f t="array" ref="B1144">_xlfn.XLOOKUP(C1144,INDIRECT("tblEquipment[Equipment ID]"),INDIRECT("tblEquipment[Production Department]"),"")</f>
        <v/>
      </c>
      <c r="D1144">
        <f t="array" ref="D1144">_xlfn.XLOOKUP(C1144,INDIRECT("tblEquipment[Equipment ID]"),INDIRECT("tblEquipment[Equipment Name]"),"")</f>
        <v/>
      </c>
      <c r="F1144" s="16" t="n"/>
      <c r="G1144" s="16" t="n"/>
      <c r="H1144" s="1">
        <f>IF(OR(F1144=0,G1144=0),"",(G1144-F1144)*24)</f>
        <v/>
      </c>
      <c r="I1144" s="10" t="n"/>
      <c r="J1144" s="1">
        <f>IF(OR(tblDowntime[[#This Row],[Failure Type]]="Sawshop",tblDowntime[[#This Row],[Failure Type]]="Electrical",tblDowntime[[#This Row],[Failure Type]]="Mechanical"),tblDowntime[[#This Row],[Downtime Hours]],"")</f>
        <v/>
      </c>
      <c r="K1144" s="10" t="n"/>
      <c r="L1144" s="10" t="n"/>
      <c r="M1144">
        <f>IF(tblDowntime[[#This Row],[Maintenance Downtime Hours]]="","",tblDowntime[[#This Row],[Equipment ID]])</f>
        <v/>
      </c>
      <c r="N1144" s="1">
        <f>IF(tblDowntime[[#This Row],[Failure Type]]="Production",tblDowntime[[#This Row],[Downtime Hours]],"")</f>
        <v/>
      </c>
      <c r="O1144">
        <f>IF(tblDowntime[[#This Row],[Production Downtime Hours]]="","",tblDowntime[[#This Row],[Equipment ID]])</f>
        <v/>
      </c>
      <c r="P1144" s="10" t="n"/>
    </row>
    <row r="1145">
      <c r="B1145">
        <f t="array" ref="B1145">_xlfn.XLOOKUP(C1145,INDIRECT("tblEquipment[Equipment ID]"),INDIRECT("tblEquipment[Production Department]"),"")</f>
        <v/>
      </c>
      <c r="D1145">
        <f t="array" ref="D1145">_xlfn.XLOOKUP(C1145,INDIRECT("tblEquipment[Equipment ID]"),INDIRECT("tblEquipment[Equipment Name]"),"")</f>
        <v/>
      </c>
      <c r="F1145" s="16" t="n"/>
      <c r="G1145" s="16" t="n"/>
      <c r="H1145" s="1">
        <f>IF(OR(F1145=0,G1145=0),"",(G1145-F1145)*24)</f>
        <v/>
      </c>
      <c r="I1145" s="10" t="n"/>
      <c r="J1145" s="1">
        <f>IF(OR(tblDowntime[[#This Row],[Failure Type]]="Sawshop",tblDowntime[[#This Row],[Failure Type]]="Electrical",tblDowntime[[#This Row],[Failure Type]]="Mechanical"),tblDowntime[[#This Row],[Downtime Hours]],"")</f>
        <v/>
      </c>
      <c r="K1145" s="10" t="n"/>
      <c r="L1145" s="10" t="n"/>
      <c r="M1145">
        <f>IF(tblDowntime[[#This Row],[Maintenance Downtime Hours]]="","",tblDowntime[[#This Row],[Equipment ID]])</f>
        <v/>
      </c>
      <c r="N1145" s="1">
        <f>IF(tblDowntime[[#This Row],[Failure Type]]="Production",tblDowntime[[#This Row],[Downtime Hours]],"")</f>
        <v/>
      </c>
      <c r="O1145">
        <f>IF(tblDowntime[[#This Row],[Production Downtime Hours]]="","",tblDowntime[[#This Row],[Equipment ID]])</f>
        <v/>
      </c>
      <c r="P1145" s="10" t="n"/>
    </row>
    <row r="1146">
      <c r="B1146">
        <f t="array" ref="B1146">_xlfn.XLOOKUP(C1146,INDIRECT("tblEquipment[Equipment ID]"),INDIRECT("tblEquipment[Production Department]"),"")</f>
        <v/>
      </c>
      <c r="D1146">
        <f t="array" ref="D1146">_xlfn.XLOOKUP(C1146,INDIRECT("tblEquipment[Equipment ID]"),INDIRECT("tblEquipment[Equipment Name]"),"")</f>
        <v/>
      </c>
      <c r="F1146" s="16" t="n"/>
      <c r="G1146" s="16" t="n"/>
      <c r="H1146" s="1">
        <f>IF(OR(F1146=0,G1146=0),"",(G1146-F1146)*24)</f>
        <v/>
      </c>
      <c r="I1146" s="10" t="n"/>
      <c r="J1146" s="1">
        <f>IF(OR(tblDowntime[[#This Row],[Failure Type]]="Sawshop",tblDowntime[[#This Row],[Failure Type]]="Electrical",tblDowntime[[#This Row],[Failure Type]]="Mechanical"),tblDowntime[[#This Row],[Downtime Hours]],"")</f>
        <v/>
      </c>
      <c r="K1146" s="10" t="n"/>
      <c r="L1146" s="10" t="n"/>
      <c r="M1146">
        <f>IF(tblDowntime[[#This Row],[Maintenance Downtime Hours]]="","",tblDowntime[[#This Row],[Equipment ID]])</f>
        <v/>
      </c>
      <c r="N1146" s="1">
        <f>IF(tblDowntime[[#This Row],[Failure Type]]="Production",tblDowntime[[#This Row],[Downtime Hours]],"")</f>
        <v/>
      </c>
      <c r="O1146">
        <f>IF(tblDowntime[[#This Row],[Production Downtime Hours]]="","",tblDowntime[[#This Row],[Equipment ID]])</f>
        <v/>
      </c>
      <c r="P1146" s="10" t="n"/>
    </row>
    <row r="1147">
      <c r="B1147">
        <f t="array" ref="B1147">_xlfn.XLOOKUP(C1147,INDIRECT("tblEquipment[Equipment ID]"),INDIRECT("tblEquipment[Production Department]"),"")</f>
        <v/>
      </c>
      <c r="D1147">
        <f t="array" ref="D1147">_xlfn.XLOOKUP(C1147,INDIRECT("tblEquipment[Equipment ID]"),INDIRECT("tblEquipment[Equipment Name]"),"")</f>
        <v/>
      </c>
      <c r="F1147" s="16" t="n"/>
      <c r="G1147" s="16" t="n"/>
      <c r="H1147" s="1">
        <f>IF(OR(F1147=0,G1147=0),"",(G1147-F1147)*24)</f>
        <v/>
      </c>
      <c r="I1147" s="10" t="n"/>
      <c r="J1147" s="1">
        <f>IF(OR(tblDowntime[[#This Row],[Failure Type]]="Sawshop",tblDowntime[[#This Row],[Failure Type]]="Electrical",tblDowntime[[#This Row],[Failure Type]]="Mechanical"),tblDowntime[[#This Row],[Downtime Hours]],"")</f>
        <v/>
      </c>
      <c r="K1147" s="10" t="n"/>
      <c r="L1147" s="10" t="n"/>
      <c r="M1147">
        <f>IF(tblDowntime[[#This Row],[Maintenance Downtime Hours]]="","",tblDowntime[[#This Row],[Equipment ID]])</f>
        <v/>
      </c>
      <c r="N1147" s="1">
        <f>IF(tblDowntime[[#This Row],[Failure Type]]="Production",tblDowntime[[#This Row],[Downtime Hours]],"")</f>
        <v/>
      </c>
      <c r="O1147">
        <f>IF(tblDowntime[[#This Row],[Production Downtime Hours]]="","",tblDowntime[[#This Row],[Equipment ID]])</f>
        <v/>
      </c>
      <c r="P1147" s="10" t="n"/>
    </row>
    <row r="1148">
      <c r="B1148">
        <f t="array" ref="B1148">_xlfn.XLOOKUP(C1148,INDIRECT("tblEquipment[Equipment ID]"),INDIRECT("tblEquipment[Production Department]"),"")</f>
        <v/>
      </c>
      <c r="D1148">
        <f t="array" ref="D1148">_xlfn.XLOOKUP(C1148,INDIRECT("tblEquipment[Equipment ID]"),INDIRECT("tblEquipment[Equipment Name]"),"")</f>
        <v/>
      </c>
      <c r="F1148" s="16" t="n"/>
      <c r="G1148" s="16" t="n"/>
      <c r="H1148" s="1">
        <f>IF(OR(F1148=0,G1148=0),"",(G1148-F1148)*24)</f>
        <v/>
      </c>
      <c r="I1148" s="10" t="n"/>
      <c r="J1148" s="1">
        <f>IF(OR(tblDowntime[[#This Row],[Failure Type]]="Sawshop",tblDowntime[[#This Row],[Failure Type]]="Electrical",tblDowntime[[#This Row],[Failure Type]]="Mechanical"),tblDowntime[[#This Row],[Downtime Hours]],"")</f>
        <v/>
      </c>
      <c r="K1148" s="10" t="n"/>
      <c r="L1148" s="10" t="n"/>
      <c r="M1148">
        <f>IF(tblDowntime[[#This Row],[Maintenance Downtime Hours]]="","",tblDowntime[[#This Row],[Equipment ID]])</f>
        <v/>
      </c>
      <c r="N1148" s="1">
        <f>IF(tblDowntime[[#This Row],[Failure Type]]="Production",tblDowntime[[#This Row],[Downtime Hours]],"")</f>
        <v/>
      </c>
      <c r="O1148">
        <f>IF(tblDowntime[[#This Row],[Production Downtime Hours]]="","",tblDowntime[[#This Row],[Equipment ID]])</f>
        <v/>
      </c>
      <c r="P1148" s="10" t="n"/>
    </row>
    <row r="1149">
      <c r="B1149">
        <f t="array" ref="B1149">_xlfn.XLOOKUP(C1149,INDIRECT("tblEquipment[Equipment ID]"),INDIRECT("tblEquipment[Production Department]"),"")</f>
        <v/>
      </c>
      <c r="D1149">
        <f t="array" ref="D1149">_xlfn.XLOOKUP(C1149,INDIRECT("tblEquipment[Equipment ID]"),INDIRECT("tblEquipment[Equipment Name]"),"")</f>
        <v/>
      </c>
      <c r="F1149" s="16" t="n"/>
      <c r="G1149" s="16" t="n"/>
      <c r="H1149" s="1">
        <f>IF(OR(F1149=0,G1149=0),"",(G1149-F1149)*24)</f>
        <v/>
      </c>
      <c r="I1149" s="10" t="n"/>
      <c r="J1149" s="1">
        <f>IF(OR(tblDowntime[[#This Row],[Failure Type]]="Sawshop",tblDowntime[[#This Row],[Failure Type]]="Electrical",tblDowntime[[#This Row],[Failure Type]]="Mechanical"),tblDowntime[[#This Row],[Downtime Hours]],"")</f>
        <v/>
      </c>
      <c r="K1149" s="10" t="n"/>
      <c r="L1149" s="10" t="n"/>
      <c r="M1149">
        <f>IF(tblDowntime[[#This Row],[Maintenance Downtime Hours]]="","",tblDowntime[[#This Row],[Equipment ID]])</f>
        <v/>
      </c>
      <c r="N1149" s="1">
        <f>IF(tblDowntime[[#This Row],[Failure Type]]="Production",tblDowntime[[#This Row],[Downtime Hours]],"")</f>
        <v/>
      </c>
      <c r="O1149">
        <f>IF(tblDowntime[[#This Row],[Production Downtime Hours]]="","",tblDowntime[[#This Row],[Equipment ID]])</f>
        <v/>
      </c>
      <c r="P1149" s="10" t="n"/>
    </row>
    <row r="1150">
      <c r="B1150">
        <f t="array" ref="B1150">_xlfn.XLOOKUP(C1150,INDIRECT("tblEquipment[Equipment ID]"),INDIRECT("tblEquipment[Production Department]"),"")</f>
        <v/>
      </c>
      <c r="D1150">
        <f t="array" ref="D1150">_xlfn.XLOOKUP(C1150,INDIRECT("tblEquipment[Equipment ID]"),INDIRECT("tblEquipment[Equipment Name]"),"")</f>
        <v/>
      </c>
      <c r="F1150" s="16" t="n"/>
      <c r="G1150" s="16" t="n"/>
      <c r="H1150" s="1">
        <f>IF(OR(F1150=0,G1150=0),"",(G1150-F1150)*24)</f>
        <v/>
      </c>
      <c r="I1150" s="10" t="n"/>
      <c r="J1150" s="1">
        <f>IF(OR(tblDowntime[[#This Row],[Failure Type]]="Sawshop",tblDowntime[[#This Row],[Failure Type]]="Electrical",tblDowntime[[#This Row],[Failure Type]]="Mechanical"),tblDowntime[[#This Row],[Downtime Hours]],"")</f>
        <v/>
      </c>
      <c r="K1150" s="10" t="n"/>
      <c r="L1150" s="10" t="n"/>
      <c r="M1150">
        <f>IF(tblDowntime[[#This Row],[Maintenance Downtime Hours]]="","",tblDowntime[[#This Row],[Equipment ID]])</f>
        <v/>
      </c>
      <c r="N1150" s="1">
        <f>IF(tblDowntime[[#This Row],[Failure Type]]="Production",tblDowntime[[#This Row],[Downtime Hours]],"")</f>
        <v/>
      </c>
      <c r="O1150">
        <f>IF(tblDowntime[[#This Row],[Production Downtime Hours]]="","",tblDowntime[[#This Row],[Equipment ID]])</f>
        <v/>
      </c>
      <c r="P1150" s="10" t="n"/>
    </row>
    <row r="1151">
      <c r="B1151">
        <f t="array" ref="B1151">_xlfn.XLOOKUP(C1151,INDIRECT("tblEquipment[Equipment ID]"),INDIRECT("tblEquipment[Production Department]"),"")</f>
        <v/>
      </c>
      <c r="D1151">
        <f t="array" ref="D1151">_xlfn.XLOOKUP(C1151,INDIRECT("tblEquipment[Equipment ID]"),INDIRECT("tblEquipment[Equipment Name]"),"")</f>
        <v/>
      </c>
      <c r="F1151" s="16" t="n"/>
      <c r="G1151" s="16" t="n"/>
      <c r="H1151" s="1">
        <f>IF(OR(F1151=0,G1151=0),"",(G1151-F1151)*24)</f>
        <v/>
      </c>
      <c r="I1151" s="10" t="n"/>
      <c r="J1151" s="1">
        <f>IF(OR(tblDowntime[[#This Row],[Failure Type]]="Sawshop",tblDowntime[[#This Row],[Failure Type]]="Electrical",tblDowntime[[#This Row],[Failure Type]]="Mechanical"),tblDowntime[[#This Row],[Downtime Hours]],"")</f>
        <v/>
      </c>
      <c r="K1151" s="10" t="n"/>
      <c r="L1151" s="10" t="n"/>
      <c r="M1151">
        <f>IF(tblDowntime[[#This Row],[Maintenance Downtime Hours]]="","",tblDowntime[[#This Row],[Equipment ID]])</f>
        <v/>
      </c>
      <c r="N1151" s="1">
        <f>IF(tblDowntime[[#This Row],[Failure Type]]="Production",tblDowntime[[#This Row],[Downtime Hours]],"")</f>
        <v/>
      </c>
      <c r="O1151">
        <f>IF(tblDowntime[[#This Row],[Production Downtime Hours]]="","",tblDowntime[[#This Row],[Equipment ID]])</f>
        <v/>
      </c>
      <c r="P1151" s="10" t="n"/>
    </row>
    <row r="1152">
      <c r="B1152">
        <f t="array" ref="B1152">_xlfn.XLOOKUP(C1152,INDIRECT("tblEquipment[Equipment ID]"),INDIRECT("tblEquipment[Production Department]"),"")</f>
        <v/>
      </c>
      <c r="D1152">
        <f t="array" ref="D1152">_xlfn.XLOOKUP(C1152,INDIRECT("tblEquipment[Equipment ID]"),INDIRECT("tblEquipment[Equipment Name]"),"")</f>
        <v/>
      </c>
      <c r="F1152" s="16" t="n"/>
      <c r="G1152" s="16" t="n"/>
      <c r="H1152" s="1">
        <f>IF(OR(F1152=0,G1152=0),"",(G1152-F1152)*24)</f>
        <v/>
      </c>
      <c r="I1152" s="10" t="n"/>
      <c r="J1152" s="1">
        <f>IF(OR(tblDowntime[[#This Row],[Failure Type]]="Sawshop",tblDowntime[[#This Row],[Failure Type]]="Electrical",tblDowntime[[#This Row],[Failure Type]]="Mechanical"),tblDowntime[[#This Row],[Downtime Hours]],"")</f>
        <v/>
      </c>
      <c r="K1152" s="10" t="n"/>
      <c r="L1152" s="10" t="n"/>
      <c r="M1152">
        <f>IF(tblDowntime[[#This Row],[Maintenance Downtime Hours]]="","",tblDowntime[[#This Row],[Equipment ID]])</f>
        <v/>
      </c>
      <c r="N1152" s="1">
        <f>IF(tblDowntime[[#This Row],[Failure Type]]="Production",tblDowntime[[#This Row],[Downtime Hours]],"")</f>
        <v/>
      </c>
      <c r="O1152">
        <f>IF(tblDowntime[[#This Row],[Production Downtime Hours]]="","",tblDowntime[[#This Row],[Equipment ID]])</f>
        <v/>
      </c>
      <c r="P1152" s="10" t="n"/>
    </row>
    <row r="1153">
      <c r="B1153">
        <f t="array" ref="B1153">_xlfn.XLOOKUP(C1153,INDIRECT("tblEquipment[Equipment ID]"),INDIRECT("tblEquipment[Production Department]"),"")</f>
        <v/>
      </c>
      <c r="D1153">
        <f t="array" ref="D1153">_xlfn.XLOOKUP(C1153,INDIRECT("tblEquipment[Equipment ID]"),INDIRECT("tblEquipment[Equipment Name]"),"")</f>
        <v/>
      </c>
      <c r="F1153" s="16" t="n"/>
      <c r="G1153" s="16" t="n"/>
      <c r="H1153" s="1">
        <f>IF(OR(F1153=0,G1153=0),"",(G1153-F1153)*24)</f>
        <v/>
      </c>
      <c r="I1153" s="10" t="n"/>
      <c r="J1153" s="1">
        <f>IF(OR(tblDowntime[[#This Row],[Failure Type]]="Sawshop",tblDowntime[[#This Row],[Failure Type]]="Electrical",tblDowntime[[#This Row],[Failure Type]]="Mechanical"),tblDowntime[[#This Row],[Downtime Hours]],"")</f>
        <v/>
      </c>
      <c r="K1153" s="10" t="n"/>
      <c r="L1153" s="10" t="n"/>
      <c r="M1153">
        <f>IF(tblDowntime[[#This Row],[Maintenance Downtime Hours]]="","",tblDowntime[[#This Row],[Equipment ID]])</f>
        <v/>
      </c>
      <c r="N1153" s="1">
        <f>IF(tblDowntime[[#This Row],[Failure Type]]="Production",tblDowntime[[#This Row],[Downtime Hours]],"")</f>
        <v/>
      </c>
      <c r="O1153">
        <f>IF(tblDowntime[[#This Row],[Production Downtime Hours]]="","",tblDowntime[[#This Row],[Equipment ID]])</f>
        <v/>
      </c>
      <c r="P1153" s="10" t="n"/>
    </row>
    <row r="1154">
      <c r="B1154">
        <f t="array" ref="B1154">_xlfn.XLOOKUP(C1154,INDIRECT("tblEquipment[Equipment ID]"),INDIRECT("tblEquipment[Production Department]"),"")</f>
        <v/>
      </c>
      <c r="D1154">
        <f t="array" ref="D1154">_xlfn.XLOOKUP(C1154,INDIRECT("tblEquipment[Equipment ID]"),INDIRECT("tblEquipment[Equipment Name]"),"")</f>
        <v/>
      </c>
      <c r="F1154" s="16" t="n"/>
      <c r="G1154" s="16" t="n"/>
      <c r="H1154" s="1">
        <f>IF(OR(F1154=0,G1154=0),"",(G1154-F1154)*24)</f>
        <v/>
      </c>
      <c r="I1154" s="10" t="n"/>
      <c r="J1154" s="1">
        <f>IF(OR(tblDowntime[[#This Row],[Failure Type]]="Sawshop",tblDowntime[[#This Row],[Failure Type]]="Electrical",tblDowntime[[#This Row],[Failure Type]]="Mechanical"),tblDowntime[[#This Row],[Downtime Hours]],"")</f>
        <v/>
      </c>
      <c r="K1154" s="10" t="n"/>
      <c r="L1154" s="10" t="n"/>
      <c r="M1154">
        <f>IF(tblDowntime[[#This Row],[Maintenance Downtime Hours]]="","",tblDowntime[[#This Row],[Equipment ID]])</f>
        <v/>
      </c>
      <c r="N1154" s="1">
        <f>IF(tblDowntime[[#This Row],[Failure Type]]="Production",tblDowntime[[#This Row],[Downtime Hours]],"")</f>
        <v/>
      </c>
      <c r="O1154">
        <f>IF(tblDowntime[[#This Row],[Production Downtime Hours]]="","",tblDowntime[[#This Row],[Equipment ID]])</f>
        <v/>
      </c>
      <c r="P1154" s="10" t="n"/>
    </row>
    <row r="1155">
      <c r="B1155">
        <f t="array" ref="B1155">_xlfn.XLOOKUP(C1155,INDIRECT("tblEquipment[Equipment ID]"),INDIRECT("tblEquipment[Production Department]"),"")</f>
        <v/>
      </c>
      <c r="D1155">
        <f t="array" ref="D1155">_xlfn.XLOOKUP(C1155,INDIRECT("tblEquipment[Equipment ID]"),INDIRECT("tblEquipment[Equipment Name]"),"")</f>
        <v/>
      </c>
      <c r="F1155" s="16" t="n"/>
      <c r="G1155" s="16" t="n"/>
      <c r="H1155" s="1">
        <f>IF(OR(F1155=0,G1155=0),"",(G1155-F1155)*24)</f>
        <v/>
      </c>
      <c r="I1155" s="10" t="n"/>
      <c r="J1155" s="1">
        <f>IF(OR(tblDowntime[[#This Row],[Failure Type]]="Sawshop",tblDowntime[[#This Row],[Failure Type]]="Electrical",tblDowntime[[#This Row],[Failure Type]]="Mechanical"),tblDowntime[[#This Row],[Downtime Hours]],"")</f>
        <v/>
      </c>
      <c r="K1155" s="10" t="n"/>
      <c r="L1155" s="10" t="n"/>
      <c r="M1155">
        <f>IF(tblDowntime[[#This Row],[Maintenance Downtime Hours]]="","",tblDowntime[[#This Row],[Equipment ID]])</f>
        <v/>
      </c>
      <c r="N1155" s="1">
        <f>IF(tblDowntime[[#This Row],[Failure Type]]="Production",tblDowntime[[#This Row],[Downtime Hours]],"")</f>
        <v/>
      </c>
      <c r="O1155">
        <f>IF(tblDowntime[[#This Row],[Production Downtime Hours]]="","",tblDowntime[[#This Row],[Equipment ID]])</f>
        <v/>
      </c>
      <c r="P1155" s="10" t="n"/>
    </row>
    <row r="1156">
      <c r="B1156">
        <f t="array" ref="B1156">_xlfn.XLOOKUP(C1156,INDIRECT("tblEquipment[Equipment ID]"),INDIRECT("tblEquipment[Production Department]"),"")</f>
        <v/>
      </c>
      <c r="D1156">
        <f t="array" ref="D1156">_xlfn.XLOOKUP(C1156,INDIRECT("tblEquipment[Equipment ID]"),INDIRECT("tblEquipment[Equipment Name]"),"")</f>
        <v/>
      </c>
      <c r="F1156" s="16" t="n"/>
      <c r="G1156" s="16" t="n"/>
      <c r="H1156" s="1">
        <f>IF(OR(F1156=0,G1156=0),"",(G1156-F1156)*24)</f>
        <v/>
      </c>
      <c r="I1156" s="10" t="n"/>
      <c r="J1156" s="1">
        <f>IF(OR(tblDowntime[[#This Row],[Failure Type]]="Sawshop",tblDowntime[[#This Row],[Failure Type]]="Electrical",tblDowntime[[#This Row],[Failure Type]]="Mechanical"),tblDowntime[[#This Row],[Downtime Hours]],"")</f>
        <v/>
      </c>
      <c r="K1156" s="10" t="n"/>
      <c r="L1156" s="10" t="n"/>
      <c r="M1156">
        <f>IF(tblDowntime[[#This Row],[Maintenance Downtime Hours]]="","",tblDowntime[[#This Row],[Equipment ID]])</f>
        <v/>
      </c>
      <c r="N1156" s="1">
        <f>IF(tblDowntime[[#This Row],[Failure Type]]="Production",tblDowntime[[#This Row],[Downtime Hours]],"")</f>
        <v/>
      </c>
      <c r="O1156">
        <f>IF(tblDowntime[[#This Row],[Production Downtime Hours]]="","",tblDowntime[[#This Row],[Equipment ID]])</f>
        <v/>
      </c>
      <c r="P1156" s="10" t="n"/>
    </row>
    <row r="1157">
      <c r="B1157">
        <f t="array" ref="B1157">_xlfn.XLOOKUP(C1157,INDIRECT("tblEquipment[Equipment ID]"),INDIRECT("tblEquipment[Production Department]"),"")</f>
        <v/>
      </c>
      <c r="D1157">
        <f t="array" ref="D1157">_xlfn.XLOOKUP(C1157,INDIRECT("tblEquipment[Equipment ID]"),INDIRECT("tblEquipment[Equipment Name]"),"")</f>
        <v/>
      </c>
      <c r="F1157" s="16" t="n"/>
      <c r="G1157" s="16" t="n"/>
      <c r="H1157" s="1">
        <f>IF(OR(F1157=0,G1157=0),"",(G1157-F1157)*24)</f>
        <v/>
      </c>
      <c r="I1157" s="10" t="n"/>
      <c r="J1157" s="1">
        <f>IF(OR(tblDowntime[[#This Row],[Failure Type]]="Sawshop",tblDowntime[[#This Row],[Failure Type]]="Electrical",tblDowntime[[#This Row],[Failure Type]]="Mechanical"),tblDowntime[[#This Row],[Downtime Hours]],"")</f>
        <v/>
      </c>
      <c r="K1157" s="10" t="n"/>
      <c r="L1157" s="10" t="n"/>
      <c r="M1157">
        <f>IF(tblDowntime[[#This Row],[Maintenance Downtime Hours]]="","",tblDowntime[[#This Row],[Equipment ID]])</f>
        <v/>
      </c>
      <c r="N1157" s="1">
        <f>IF(tblDowntime[[#This Row],[Failure Type]]="Production",tblDowntime[[#This Row],[Downtime Hours]],"")</f>
        <v/>
      </c>
      <c r="O1157">
        <f>IF(tblDowntime[[#This Row],[Production Downtime Hours]]="","",tblDowntime[[#This Row],[Equipment ID]])</f>
        <v/>
      </c>
      <c r="P1157" s="10" t="n"/>
    </row>
    <row r="1158">
      <c r="B1158">
        <f t="array" ref="B1158">_xlfn.XLOOKUP(C1158,INDIRECT("tblEquipment[Equipment ID]"),INDIRECT("tblEquipment[Production Department]"),"")</f>
        <v/>
      </c>
      <c r="D1158">
        <f t="array" ref="D1158">_xlfn.XLOOKUP(C1158,INDIRECT("tblEquipment[Equipment ID]"),INDIRECT("tblEquipment[Equipment Name]"),"")</f>
        <v/>
      </c>
      <c r="F1158" s="16" t="n"/>
      <c r="G1158" s="16" t="n"/>
      <c r="H1158" s="1">
        <f>IF(OR(F1158=0,G1158=0),"",(G1158-F1158)*24)</f>
        <v/>
      </c>
      <c r="I1158" s="10" t="n"/>
      <c r="J1158" s="1">
        <f>IF(OR(tblDowntime[[#This Row],[Failure Type]]="Sawshop",tblDowntime[[#This Row],[Failure Type]]="Electrical",tblDowntime[[#This Row],[Failure Type]]="Mechanical"),tblDowntime[[#This Row],[Downtime Hours]],"")</f>
        <v/>
      </c>
      <c r="K1158" s="10" t="n"/>
      <c r="L1158" s="10" t="n"/>
      <c r="M1158">
        <f>IF(tblDowntime[[#This Row],[Maintenance Downtime Hours]]="","",tblDowntime[[#This Row],[Equipment ID]])</f>
        <v/>
      </c>
      <c r="N1158" s="1">
        <f>IF(tblDowntime[[#This Row],[Failure Type]]="Production",tblDowntime[[#This Row],[Downtime Hours]],"")</f>
        <v/>
      </c>
      <c r="O1158">
        <f>IF(tblDowntime[[#This Row],[Production Downtime Hours]]="","",tblDowntime[[#This Row],[Equipment ID]])</f>
        <v/>
      </c>
      <c r="P1158" s="10" t="n"/>
    </row>
    <row r="1159">
      <c r="B1159">
        <f t="array" ref="B1159">_xlfn.XLOOKUP(C1159,INDIRECT("tblEquipment[Equipment ID]"),INDIRECT("tblEquipment[Production Department]"),"")</f>
        <v/>
      </c>
      <c r="D1159">
        <f t="array" ref="D1159">_xlfn.XLOOKUP(C1159,INDIRECT("tblEquipment[Equipment ID]"),INDIRECT("tblEquipment[Equipment Name]"),"")</f>
        <v/>
      </c>
      <c r="F1159" s="16" t="n"/>
      <c r="G1159" s="16" t="n"/>
      <c r="H1159" s="1">
        <f>IF(OR(F1159=0,G1159=0),"",(G1159-F1159)*24)</f>
        <v/>
      </c>
      <c r="I1159" s="10" t="n"/>
      <c r="J1159" s="1">
        <f>IF(OR(tblDowntime[[#This Row],[Failure Type]]="Sawshop",tblDowntime[[#This Row],[Failure Type]]="Electrical",tblDowntime[[#This Row],[Failure Type]]="Mechanical"),tblDowntime[[#This Row],[Downtime Hours]],"")</f>
        <v/>
      </c>
      <c r="K1159" s="10" t="n"/>
      <c r="L1159" s="10" t="n"/>
      <c r="M1159">
        <f>IF(tblDowntime[[#This Row],[Maintenance Downtime Hours]]="","",tblDowntime[[#This Row],[Equipment ID]])</f>
        <v/>
      </c>
      <c r="N1159" s="1">
        <f>IF(tblDowntime[[#This Row],[Failure Type]]="Production",tblDowntime[[#This Row],[Downtime Hours]],"")</f>
        <v/>
      </c>
      <c r="O1159">
        <f>IF(tblDowntime[[#This Row],[Production Downtime Hours]]="","",tblDowntime[[#This Row],[Equipment ID]])</f>
        <v/>
      </c>
      <c r="P1159" s="10" t="n"/>
    </row>
    <row r="1160">
      <c r="B1160">
        <f t="array" ref="B1160">_xlfn.XLOOKUP(C1160,INDIRECT("tblEquipment[Equipment ID]"),INDIRECT("tblEquipment[Production Department]"),"")</f>
        <v/>
      </c>
      <c r="D1160">
        <f t="array" ref="D1160">_xlfn.XLOOKUP(C1160,INDIRECT("tblEquipment[Equipment ID]"),INDIRECT("tblEquipment[Equipment Name]"),"")</f>
        <v/>
      </c>
      <c r="F1160" s="16" t="n"/>
      <c r="G1160" s="16" t="n"/>
      <c r="H1160" s="1">
        <f>IF(OR(F1160=0,G1160=0),"",(G1160-F1160)*24)</f>
        <v/>
      </c>
      <c r="I1160" s="10" t="n"/>
      <c r="J1160" s="1">
        <f>IF(OR(tblDowntime[[#This Row],[Failure Type]]="Sawshop",tblDowntime[[#This Row],[Failure Type]]="Electrical",tblDowntime[[#This Row],[Failure Type]]="Mechanical"),tblDowntime[[#This Row],[Downtime Hours]],"")</f>
        <v/>
      </c>
      <c r="K1160" s="10" t="n"/>
      <c r="L1160" s="10" t="n"/>
      <c r="M1160">
        <f>IF(tblDowntime[[#This Row],[Maintenance Downtime Hours]]="","",tblDowntime[[#This Row],[Equipment ID]])</f>
        <v/>
      </c>
      <c r="N1160" s="1">
        <f>IF(tblDowntime[[#This Row],[Failure Type]]="Production",tblDowntime[[#This Row],[Downtime Hours]],"")</f>
        <v/>
      </c>
      <c r="O1160">
        <f>IF(tblDowntime[[#This Row],[Production Downtime Hours]]="","",tblDowntime[[#This Row],[Equipment ID]])</f>
        <v/>
      </c>
      <c r="P1160" s="10" t="n"/>
    </row>
    <row r="1161">
      <c r="B1161">
        <f t="array" ref="B1161">_xlfn.XLOOKUP(C1161,INDIRECT("tblEquipment[Equipment ID]"),INDIRECT("tblEquipment[Production Department]"),"")</f>
        <v/>
      </c>
      <c r="D1161">
        <f t="array" ref="D1161">_xlfn.XLOOKUP(C1161,INDIRECT("tblEquipment[Equipment ID]"),INDIRECT("tblEquipment[Equipment Name]"),"")</f>
        <v/>
      </c>
      <c r="F1161" s="16" t="n"/>
      <c r="G1161" s="16" t="n"/>
      <c r="H1161" s="1">
        <f>IF(OR(F1161=0,G1161=0),"",(G1161-F1161)*24)</f>
        <v/>
      </c>
      <c r="I1161" s="10" t="n"/>
      <c r="J1161" s="1">
        <f>IF(OR(tblDowntime[[#This Row],[Failure Type]]="Sawshop",tblDowntime[[#This Row],[Failure Type]]="Electrical",tblDowntime[[#This Row],[Failure Type]]="Mechanical"),tblDowntime[[#This Row],[Downtime Hours]],"")</f>
        <v/>
      </c>
      <c r="K1161" s="10" t="n"/>
      <c r="L1161" s="10" t="n"/>
      <c r="M1161">
        <f>IF(tblDowntime[[#This Row],[Maintenance Downtime Hours]]="","",tblDowntime[[#This Row],[Equipment ID]])</f>
        <v/>
      </c>
      <c r="N1161" s="1">
        <f>IF(tblDowntime[[#This Row],[Failure Type]]="Production",tblDowntime[[#This Row],[Downtime Hours]],"")</f>
        <v/>
      </c>
      <c r="O1161">
        <f>IF(tblDowntime[[#This Row],[Production Downtime Hours]]="","",tblDowntime[[#This Row],[Equipment ID]])</f>
        <v/>
      </c>
      <c r="P1161" s="10" t="n"/>
    </row>
    <row r="1162">
      <c r="B1162">
        <f t="array" ref="B1162">_xlfn.XLOOKUP(C1162,INDIRECT("tblEquipment[Equipment ID]"),INDIRECT("tblEquipment[Production Department]"),"")</f>
        <v/>
      </c>
      <c r="D1162">
        <f t="array" ref="D1162">_xlfn.XLOOKUP(C1162,INDIRECT("tblEquipment[Equipment ID]"),INDIRECT("tblEquipment[Equipment Name]"),"")</f>
        <v/>
      </c>
      <c r="F1162" s="16" t="n"/>
      <c r="G1162" s="16" t="n"/>
      <c r="H1162" s="1">
        <f>IF(OR(F1162=0,G1162=0),"",(G1162-F1162)*24)</f>
        <v/>
      </c>
      <c r="I1162" s="10" t="n"/>
      <c r="J1162" s="1">
        <f>IF(OR(tblDowntime[[#This Row],[Failure Type]]="Sawshop",tblDowntime[[#This Row],[Failure Type]]="Electrical",tblDowntime[[#This Row],[Failure Type]]="Mechanical"),tblDowntime[[#This Row],[Downtime Hours]],"")</f>
        <v/>
      </c>
      <c r="K1162" s="10" t="n"/>
      <c r="L1162" s="10" t="n"/>
      <c r="M1162">
        <f>IF(tblDowntime[[#This Row],[Maintenance Downtime Hours]]="","",tblDowntime[[#This Row],[Equipment ID]])</f>
        <v/>
      </c>
      <c r="N1162" s="1">
        <f>IF(tblDowntime[[#This Row],[Failure Type]]="Production",tblDowntime[[#This Row],[Downtime Hours]],"")</f>
        <v/>
      </c>
      <c r="O1162">
        <f>IF(tblDowntime[[#This Row],[Production Downtime Hours]]="","",tblDowntime[[#This Row],[Equipment ID]])</f>
        <v/>
      </c>
      <c r="P1162" s="10" t="n"/>
    </row>
    <row r="1163">
      <c r="B1163">
        <f t="array" ref="B1163">_xlfn.XLOOKUP(C1163,INDIRECT("tblEquipment[Equipment ID]"),INDIRECT("tblEquipment[Production Department]"),"")</f>
        <v/>
      </c>
      <c r="D1163">
        <f t="array" ref="D1163">_xlfn.XLOOKUP(C1163,INDIRECT("tblEquipment[Equipment ID]"),INDIRECT("tblEquipment[Equipment Name]"),"")</f>
        <v/>
      </c>
      <c r="F1163" s="16" t="n"/>
      <c r="G1163" s="16" t="n"/>
      <c r="H1163" s="1">
        <f>IF(OR(F1163=0,G1163=0),"",(G1163-F1163)*24)</f>
        <v/>
      </c>
      <c r="I1163" s="10" t="n"/>
      <c r="J1163" s="1">
        <f>IF(OR(tblDowntime[[#This Row],[Failure Type]]="Sawshop",tblDowntime[[#This Row],[Failure Type]]="Electrical",tblDowntime[[#This Row],[Failure Type]]="Mechanical"),tblDowntime[[#This Row],[Downtime Hours]],"")</f>
        <v/>
      </c>
      <c r="K1163" s="10" t="n"/>
      <c r="L1163" s="10" t="n"/>
      <c r="M1163">
        <f>IF(tblDowntime[[#This Row],[Maintenance Downtime Hours]]="","",tblDowntime[[#This Row],[Equipment ID]])</f>
        <v/>
      </c>
      <c r="N1163" s="1">
        <f>IF(tblDowntime[[#This Row],[Failure Type]]="Production",tblDowntime[[#This Row],[Downtime Hours]],"")</f>
        <v/>
      </c>
      <c r="O1163">
        <f>IF(tblDowntime[[#This Row],[Production Downtime Hours]]="","",tblDowntime[[#This Row],[Equipment ID]])</f>
        <v/>
      </c>
      <c r="P1163" s="10" t="n"/>
    </row>
    <row r="1164">
      <c r="B1164">
        <f t="array" ref="B1164">_xlfn.XLOOKUP(C1164,INDIRECT("tblEquipment[Equipment ID]"),INDIRECT("tblEquipment[Production Department]"),"")</f>
        <v/>
      </c>
      <c r="D1164">
        <f t="array" ref="D1164">_xlfn.XLOOKUP(C1164,INDIRECT("tblEquipment[Equipment ID]"),INDIRECT("tblEquipment[Equipment Name]"),"")</f>
        <v/>
      </c>
      <c r="F1164" s="16" t="n"/>
      <c r="G1164" s="16" t="n"/>
      <c r="H1164" s="1">
        <f>IF(OR(F1164=0,G1164=0),"",(G1164-F1164)*24)</f>
        <v/>
      </c>
      <c r="I1164" s="10" t="n"/>
      <c r="J1164" s="1">
        <f>IF(OR(tblDowntime[[#This Row],[Failure Type]]="Sawshop",tblDowntime[[#This Row],[Failure Type]]="Electrical",tblDowntime[[#This Row],[Failure Type]]="Mechanical"),tblDowntime[[#This Row],[Downtime Hours]],"")</f>
        <v/>
      </c>
      <c r="K1164" s="10" t="n"/>
      <c r="L1164" s="10" t="n"/>
      <c r="M1164">
        <f>IF(tblDowntime[[#This Row],[Maintenance Downtime Hours]]="","",tblDowntime[[#This Row],[Equipment ID]])</f>
        <v/>
      </c>
      <c r="N1164" s="1">
        <f>IF(tblDowntime[[#This Row],[Failure Type]]="Production",tblDowntime[[#This Row],[Downtime Hours]],"")</f>
        <v/>
      </c>
      <c r="O1164">
        <f>IF(tblDowntime[[#This Row],[Production Downtime Hours]]="","",tblDowntime[[#This Row],[Equipment ID]])</f>
        <v/>
      </c>
      <c r="P1164" s="10" t="n"/>
    </row>
    <row r="1165">
      <c r="B1165">
        <f t="array" ref="B1165">_xlfn.XLOOKUP(C1165,INDIRECT("tblEquipment[Equipment ID]"),INDIRECT("tblEquipment[Production Department]"),"")</f>
        <v/>
      </c>
      <c r="D1165">
        <f t="array" ref="D1165">_xlfn.XLOOKUP(C1165,INDIRECT("tblEquipment[Equipment ID]"),INDIRECT("tblEquipment[Equipment Name]"),"")</f>
        <v/>
      </c>
      <c r="F1165" s="16" t="n"/>
      <c r="G1165" s="16" t="n"/>
      <c r="H1165" s="1">
        <f>IF(OR(F1165=0,G1165=0),"",(G1165-F1165)*24)</f>
        <v/>
      </c>
      <c r="I1165" s="10" t="n"/>
      <c r="J1165" s="1">
        <f>IF(OR(tblDowntime[[#This Row],[Failure Type]]="Sawshop",tblDowntime[[#This Row],[Failure Type]]="Electrical",tblDowntime[[#This Row],[Failure Type]]="Mechanical"),tblDowntime[[#This Row],[Downtime Hours]],"")</f>
        <v/>
      </c>
      <c r="K1165" s="10" t="n"/>
      <c r="L1165" s="10" t="n"/>
      <c r="M1165">
        <f>IF(tblDowntime[[#This Row],[Maintenance Downtime Hours]]="","",tblDowntime[[#This Row],[Equipment ID]])</f>
        <v/>
      </c>
      <c r="N1165" s="1">
        <f>IF(tblDowntime[[#This Row],[Failure Type]]="Production",tblDowntime[[#This Row],[Downtime Hours]],"")</f>
        <v/>
      </c>
      <c r="O1165">
        <f>IF(tblDowntime[[#This Row],[Production Downtime Hours]]="","",tblDowntime[[#This Row],[Equipment ID]])</f>
        <v/>
      </c>
      <c r="P1165" s="10" t="n"/>
    </row>
    <row r="1166">
      <c r="B1166">
        <f t="array" ref="B1166">_xlfn.XLOOKUP(C1166,INDIRECT("tblEquipment[Equipment ID]"),INDIRECT("tblEquipment[Production Department]"),"")</f>
        <v/>
      </c>
      <c r="D1166">
        <f t="array" ref="D1166">_xlfn.XLOOKUP(C1166,INDIRECT("tblEquipment[Equipment ID]"),INDIRECT("tblEquipment[Equipment Name]"),"")</f>
        <v/>
      </c>
      <c r="F1166" s="16" t="n"/>
      <c r="G1166" s="16" t="n"/>
      <c r="H1166" s="1">
        <f>IF(OR(F1166=0,G1166=0),"",(G1166-F1166)*24)</f>
        <v/>
      </c>
      <c r="I1166" s="10" t="n"/>
      <c r="J1166" s="1">
        <f>IF(OR(tblDowntime[[#This Row],[Failure Type]]="Sawshop",tblDowntime[[#This Row],[Failure Type]]="Electrical",tblDowntime[[#This Row],[Failure Type]]="Mechanical"),tblDowntime[[#This Row],[Downtime Hours]],"")</f>
        <v/>
      </c>
      <c r="K1166" s="10" t="n"/>
      <c r="L1166" s="10" t="n"/>
      <c r="M1166">
        <f>IF(tblDowntime[[#This Row],[Maintenance Downtime Hours]]="","",tblDowntime[[#This Row],[Equipment ID]])</f>
        <v/>
      </c>
      <c r="N1166" s="1">
        <f>IF(tblDowntime[[#This Row],[Failure Type]]="Production",tblDowntime[[#This Row],[Downtime Hours]],"")</f>
        <v/>
      </c>
      <c r="O1166">
        <f>IF(tblDowntime[[#This Row],[Production Downtime Hours]]="","",tblDowntime[[#This Row],[Equipment ID]])</f>
        <v/>
      </c>
      <c r="P1166" s="10" t="n"/>
    </row>
    <row r="1167">
      <c r="B1167">
        <f t="array" ref="B1167">_xlfn.XLOOKUP(C1167,INDIRECT("tblEquipment[Equipment ID]"),INDIRECT("tblEquipment[Production Department]"),"")</f>
        <v/>
      </c>
      <c r="D1167">
        <f t="array" ref="D1167">_xlfn.XLOOKUP(C1167,INDIRECT("tblEquipment[Equipment ID]"),INDIRECT("tblEquipment[Equipment Name]"),"")</f>
        <v/>
      </c>
      <c r="F1167" s="16" t="n"/>
      <c r="G1167" s="16" t="n"/>
      <c r="H1167" s="1">
        <f>IF(OR(F1167=0,G1167=0),"",(G1167-F1167)*24)</f>
        <v/>
      </c>
      <c r="I1167" s="10" t="n"/>
      <c r="J1167" s="1">
        <f>IF(OR(tblDowntime[[#This Row],[Failure Type]]="Sawshop",tblDowntime[[#This Row],[Failure Type]]="Electrical",tblDowntime[[#This Row],[Failure Type]]="Mechanical"),tblDowntime[[#This Row],[Downtime Hours]],"")</f>
        <v/>
      </c>
      <c r="K1167" s="10" t="n"/>
      <c r="L1167" s="10" t="n"/>
      <c r="M1167">
        <f>IF(tblDowntime[[#This Row],[Maintenance Downtime Hours]]="","",tblDowntime[[#This Row],[Equipment ID]])</f>
        <v/>
      </c>
      <c r="N1167" s="1">
        <f>IF(tblDowntime[[#This Row],[Failure Type]]="Production",tblDowntime[[#This Row],[Downtime Hours]],"")</f>
        <v/>
      </c>
      <c r="O1167">
        <f>IF(tblDowntime[[#This Row],[Production Downtime Hours]]="","",tblDowntime[[#This Row],[Equipment ID]])</f>
        <v/>
      </c>
      <c r="P1167" s="10" t="n"/>
    </row>
    <row r="1168">
      <c r="B1168">
        <f t="array" ref="B1168">_xlfn.XLOOKUP(C1168,INDIRECT("tblEquipment[Equipment ID]"),INDIRECT("tblEquipment[Production Department]"),"")</f>
        <v/>
      </c>
      <c r="D1168">
        <f t="array" ref="D1168">_xlfn.XLOOKUP(C1168,INDIRECT("tblEquipment[Equipment ID]"),INDIRECT("tblEquipment[Equipment Name]"),"")</f>
        <v/>
      </c>
      <c r="F1168" s="16" t="n"/>
      <c r="G1168" s="16" t="n"/>
      <c r="H1168" s="1">
        <f>IF(OR(F1168=0,G1168=0),"",(G1168-F1168)*24)</f>
        <v/>
      </c>
      <c r="I1168" s="10" t="n"/>
      <c r="J1168" s="1">
        <f>IF(OR(tblDowntime[[#This Row],[Failure Type]]="Sawshop",tblDowntime[[#This Row],[Failure Type]]="Electrical",tblDowntime[[#This Row],[Failure Type]]="Mechanical"),tblDowntime[[#This Row],[Downtime Hours]],"")</f>
        <v/>
      </c>
      <c r="K1168" s="10" t="n"/>
      <c r="L1168" s="10" t="n"/>
      <c r="M1168">
        <f>IF(tblDowntime[[#This Row],[Maintenance Downtime Hours]]="","",tblDowntime[[#This Row],[Equipment ID]])</f>
        <v/>
      </c>
      <c r="N1168" s="1">
        <f>IF(tblDowntime[[#This Row],[Failure Type]]="Production",tblDowntime[[#This Row],[Downtime Hours]],"")</f>
        <v/>
      </c>
      <c r="O1168">
        <f>IF(tblDowntime[[#This Row],[Production Downtime Hours]]="","",tblDowntime[[#This Row],[Equipment ID]])</f>
        <v/>
      </c>
      <c r="P1168" s="10" t="n"/>
    </row>
    <row r="1169">
      <c r="B1169">
        <f t="array" ref="B1169">_xlfn.XLOOKUP(C1169,INDIRECT("tblEquipment[Equipment ID]"),INDIRECT("tblEquipment[Production Department]"),"")</f>
        <v/>
      </c>
      <c r="D1169">
        <f t="array" ref="D1169">_xlfn.XLOOKUP(C1169,INDIRECT("tblEquipment[Equipment ID]"),INDIRECT("tblEquipment[Equipment Name]"),"")</f>
        <v/>
      </c>
      <c r="F1169" s="16" t="n"/>
      <c r="G1169" s="16" t="n"/>
      <c r="H1169" s="1">
        <f>IF(OR(F1169=0,G1169=0),"",(G1169-F1169)*24)</f>
        <v/>
      </c>
      <c r="I1169" s="10" t="n"/>
      <c r="J1169" s="1">
        <f>IF(OR(tblDowntime[[#This Row],[Failure Type]]="Sawshop",tblDowntime[[#This Row],[Failure Type]]="Electrical",tblDowntime[[#This Row],[Failure Type]]="Mechanical"),tblDowntime[[#This Row],[Downtime Hours]],"")</f>
        <v/>
      </c>
      <c r="K1169" s="10" t="n"/>
      <c r="L1169" s="10" t="n"/>
      <c r="M1169">
        <f>IF(tblDowntime[[#This Row],[Maintenance Downtime Hours]]="","",tblDowntime[[#This Row],[Equipment ID]])</f>
        <v/>
      </c>
      <c r="N1169" s="1">
        <f>IF(tblDowntime[[#This Row],[Failure Type]]="Production",tblDowntime[[#This Row],[Downtime Hours]],"")</f>
        <v/>
      </c>
      <c r="O1169">
        <f>IF(tblDowntime[[#This Row],[Production Downtime Hours]]="","",tblDowntime[[#This Row],[Equipment ID]])</f>
        <v/>
      </c>
      <c r="P1169" s="10" t="n"/>
    </row>
    <row r="1170">
      <c r="B1170">
        <f t="array" ref="B1170">_xlfn.XLOOKUP(C1170,INDIRECT("tblEquipment[Equipment ID]"),INDIRECT("tblEquipment[Production Department]"),"")</f>
        <v/>
      </c>
      <c r="D1170">
        <f t="array" ref="D1170">_xlfn.XLOOKUP(C1170,INDIRECT("tblEquipment[Equipment ID]"),INDIRECT("tblEquipment[Equipment Name]"),"")</f>
        <v/>
      </c>
      <c r="F1170" s="16" t="n"/>
      <c r="G1170" s="16" t="n"/>
      <c r="H1170" s="1">
        <f>IF(OR(F1170=0,G1170=0),"",(G1170-F1170)*24)</f>
        <v/>
      </c>
      <c r="I1170" s="10" t="n"/>
      <c r="J1170" s="1">
        <f>IF(OR(tblDowntime[[#This Row],[Failure Type]]="Sawshop",tblDowntime[[#This Row],[Failure Type]]="Electrical",tblDowntime[[#This Row],[Failure Type]]="Mechanical"),tblDowntime[[#This Row],[Downtime Hours]],"")</f>
        <v/>
      </c>
      <c r="K1170" s="10" t="n"/>
      <c r="L1170" s="10" t="n"/>
      <c r="M1170">
        <f>IF(tblDowntime[[#This Row],[Maintenance Downtime Hours]]="","",tblDowntime[[#This Row],[Equipment ID]])</f>
        <v/>
      </c>
      <c r="N1170" s="1">
        <f>IF(tblDowntime[[#This Row],[Failure Type]]="Production",tblDowntime[[#This Row],[Downtime Hours]],"")</f>
        <v/>
      </c>
      <c r="O1170">
        <f>IF(tblDowntime[[#This Row],[Production Downtime Hours]]="","",tblDowntime[[#This Row],[Equipment ID]])</f>
        <v/>
      </c>
      <c r="P1170" s="10" t="n"/>
    </row>
    <row r="1171">
      <c r="B1171">
        <f t="array" ref="B1171">_xlfn.XLOOKUP(C1171,INDIRECT("tblEquipment[Equipment ID]"),INDIRECT("tblEquipment[Production Department]"),"")</f>
        <v/>
      </c>
      <c r="D1171">
        <f t="array" ref="D1171">_xlfn.XLOOKUP(C1171,INDIRECT("tblEquipment[Equipment ID]"),INDIRECT("tblEquipment[Equipment Name]"),"")</f>
        <v/>
      </c>
      <c r="F1171" s="16" t="n"/>
      <c r="G1171" s="16" t="n"/>
      <c r="H1171" s="1">
        <f>IF(OR(F1171=0,G1171=0),"",(G1171-F1171)*24)</f>
        <v/>
      </c>
      <c r="I1171" s="10" t="n"/>
      <c r="J1171" s="1">
        <f>IF(OR(tblDowntime[[#This Row],[Failure Type]]="Sawshop",tblDowntime[[#This Row],[Failure Type]]="Electrical",tblDowntime[[#This Row],[Failure Type]]="Mechanical"),tblDowntime[[#This Row],[Downtime Hours]],"")</f>
        <v/>
      </c>
      <c r="K1171" s="10" t="n"/>
      <c r="L1171" s="10" t="n"/>
      <c r="M1171">
        <f>IF(tblDowntime[[#This Row],[Maintenance Downtime Hours]]="","",tblDowntime[[#This Row],[Equipment ID]])</f>
        <v/>
      </c>
      <c r="N1171" s="1">
        <f>IF(tblDowntime[[#This Row],[Failure Type]]="Production",tblDowntime[[#This Row],[Downtime Hours]],"")</f>
        <v/>
      </c>
      <c r="O1171">
        <f>IF(tblDowntime[[#This Row],[Production Downtime Hours]]="","",tblDowntime[[#This Row],[Equipment ID]])</f>
        <v/>
      </c>
      <c r="P1171" s="10" t="n"/>
    </row>
    <row r="1172">
      <c r="B1172">
        <f t="array" ref="B1172">_xlfn.XLOOKUP(C1172,INDIRECT("tblEquipment[Equipment ID]"),INDIRECT("tblEquipment[Production Department]"),"")</f>
        <v/>
      </c>
      <c r="D1172">
        <f t="array" ref="D1172">_xlfn.XLOOKUP(C1172,INDIRECT("tblEquipment[Equipment ID]"),INDIRECT("tblEquipment[Equipment Name]"),"")</f>
        <v/>
      </c>
      <c r="F1172" s="16" t="n"/>
      <c r="G1172" s="16" t="n"/>
      <c r="H1172" s="1">
        <f>IF(OR(F1172=0,G1172=0),"",(G1172-F1172)*24)</f>
        <v/>
      </c>
      <c r="I1172" s="10" t="n"/>
      <c r="J1172" s="1">
        <f>IF(OR(tblDowntime[[#This Row],[Failure Type]]="Sawshop",tblDowntime[[#This Row],[Failure Type]]="Electrical",tblDowntime[[#This Row],[Failure Type]]="Mechanical"),tblDowntime[[#This Row],[Downtime Hours]],"")</f>
        <v/>
      </c>
      <c r="K1172" s="10" t="n"/>
      <c r="L1172" s="10" t="n"/>
      <c r="M1172">
        <f>IF(tblDowntime[[#This Row],[Maintenance Downtime Hours]]="","",tblDowntime[[#This Row],[Equipment ID]])</f>
        <v/>
      </c>
      <c r="N1172" s="1">
        <f>IF(tblDowntime[[#This Row],[Failure Type]]="Production",tblDowntime[[#This Row],[Downtime Hours]],"")</f>
        <v/>
      </c>
      <c r="O1172">
        <f>IF(tblDowntime[[#This Row],[Production Downtime Hours]]="","",tblDowntime[[#This Row],[Equipment ID]])</f>
        <v/>
      </c>
      <c r="P1172" s="10" t="n"/>
    </row>
    <row r="1173">
      <c r="B1173">
        <f t="array" ref="B1173">_xlfn.XLOOKUP(C1173,INDIRECT("tblEquipment[Equipment ID]"),INDIRECT("tblEquipment[Production Department]"),"")</f>
        <v/>
      </c>
      <c r="D1173">
        <f t="array" ref="D1173">_xlfn.XLOOKUP(C1173,INDIRECT("tblEquipment[Equipment ID]"),INDIRECT("tblEquipment[Equipment Name]"),"")</f>
        <v/>
      </c>
      <c r="F1173" s="16" t="n"/>
      <c r="G1173" s="16" t="n"/>
      <c r="H1173" s="1">
        <f>IF(OR(F1173=0,G1173=0),"",(G1173-F1173)*24)</f>
        <v/>
      </c>
      <c r="I1173" s="10" t="n"/>
      <c r="J1173" s="1">
        <f>IF(OR(tblDowntime[[#This Row],[Failure Type]]="Sawshop",tblDowntime[[#This Row],[Failure Type]]="Electrical",tblDowntime[[#This Row],[Failure Type]]="Mechanical"),tblDowntime[[#This Row],[Downtime Hours]],"")</f>
        <v/>
      </c>
      <c r="K1173" s="10" t="n"/>
      <c r="L1173" s="10" t="n"/>
      <c r="M1173">
        <f>IF(tblDowntime[[#This Row],[Maintenance Downtime Hours]]="","",tblDowntime[[#This Row],[Equipment ID]])</f>
        <v/>
      </c>
      <c r="N1173" s="1">
        <f>IF(tblDowntime[[#This Row],[Failure Type]]="Production",tblDowntime[[#This Row],[Downtime Hours]],"")</f>
        <v/>
      </c>
      <c r="O1173">
        <f>IF(tblDowntime[[#This Row],[Production Downtime Hours]]="","",tblDowntime[[#This Row],[Equipment ID]])</f>
        <v/>
      </c>
      <c r="P1173" s="10" t="n"/>
    </row>
    <row r="1174">
      <c r="B1174">
        <f t="array" ref="B1174">_xlfn.XLOOKUP(C1174,INDIRECT("tblEquipment[Equipment ID]"),INDIRECT("tblEquipment[Production Department]"),"")</f>
        <v/>
      </c>
      <c r="D1174">
        <f t="array" ref="D1174">_xlfn.XLOOKUP(C1174,INDIRECT("tblEquipment[Equipment ID]"),INDIRECT("tblEquipment[Equipment Name]"),"")</f>
        <v/>
      </c>
      <c r="F1174" s="16" t="n"/>
      <c r="G1174" s="16" t="n"/>
      <c r="H1174" s="1">
        <f>IF(OR(F1174=0,G1174=0),"",(G1174-F1174)*24)</f>
        <v/>
      </c>
      <c r="I1174" s="10" t="n"/>
      <c r="J1174" s="1">
        <f>IF(OR(tblDowntime[[#This Row],[Failure Type]]="Sawshop",tblDowntime[[#This Row],[Failure Type]]="Electrical",tblDowntime[[#This Row],[Failure Type]]="Mechanical"),tblDowntime[[#This Row],[Downtime Hours]],"")</f>
        <v/>
      </c>
      <c r="K1174" s="10" t="n"/>
      <c r="L1174" s="10" t="n"/>
      <c r="M1174">
        <f>IF(tblDowntime[[#This Row],[Maintenance Downtime Hours]]="","",tblDowntime[[#This Row],[Equipment ID]])</f>
        <v/>
      </c>
      <c r="N1174" s="1">
        <f>IF(tblDowntime[[#This Row],[Failure Type]]="Production",tblDowntime[[#This Row],[Downtime Hours]],"")</f>
        <v/>
      </c>
      <c r="O1174">
        <f>IF(tblDowntime[[#This Row],[Production Downtime Hours]]="","",tblDowntime[[#This Row],[Equipment ID]])</f>
        <v/>
      </c>
      <c r="P1174" s="10" t="n"/>
    </row>
    <row r="1175">
      <c r="B1175">
        <f t="array" ref="B1175">_xlfn.XLOOKUP(C1175,INDIRECT("tblEquipment[Equipment ID]"),INDIRECT("tblEquipment[Production Department]"),"")</f>
        <v/>
      </c>
      <c r="D1175">
        <f t="array" ref="D1175">_xlfn.XLOOKUP(C1175,INDIRECT("tblEquipment[Equipment ID]"),INDIRECT("tblEquipment[Equipment Name]"),"")</f>
        <v/>
      </c>
      <c r="F1175" s="16" t="n"/>
      <c r="G1175" s="16" t="n"/>
      <c r="H1175" s="1">
        <f>IF(OR(F1175=0,G1175=0),"",(G1175-F1175)*24)</f>
        <v/>
      </c>
      <c r="I1175" s="10" t="n"/>
      <c r="J1175" s="1">
        <f>IF(OR(tblDowntime[[#This Row],[Failure Type]]="Sawshop",tblDowntime[[#This Row],[Failure Type]]="Electrical",tblDowntime[[#This Row],[Failure Type]]="Mechanical"),tblDowntime[[#This Row],[Downtime Hours]],"")</f>
        <v/>
      </c>
      <c r="K1175" s="10" t="n"/>
      <c r="L1175" s="10" t="n"/>
      <c r="M1175">
        <f>IF(tblDowntime[[#This Row],[Maintenance Downtime Hours]]="","",tblDowntime[[#This Row],[Equipment ID]])</f>
        <v/>
      </c>
      <c r="N1175" s="1">
        <f>IF(tblDowntime[[#This Row],[Failure Type]]="Production",tblDowntime[[#This Row],[Downtime Hours]],"")</f>
        <v/>
      </c>
      <c r="O1175">
        <f>IF(tblDowntime[[#This Row],[Production Downtime Hours]]="","",tblDowntime[[#This Row],[Equipment ID]])</f>
        <v/>
      </c>
      <c r="P1175" s="10" t="n"/>
    </row>
    <row r="1176">
      <c r="B1176">
        <f t="array" ref="B1176">_xlfn.XLOOKUP(C1176,INDIRECT("tblEquipment[Equipment ID]"),INDIRECT("tblEquipment[Production Department]"),"")</f>
        <v/>
      </c>
      <c r="D1176">
        <f t="array" ref="D1176">_xlfn.XLOOKUP(C1176,INDIRECT("tblEquipment[Equipment ID]"),INDIRECT("tblEquipment[Equipment Name]"),"")</f>
        <v/>
      </c>
      <c r="F1176" s="16" t="n"/>
      <c r="G1176" s="16" t="n"/>
      <c r="H1176" s="1">
        <f>IF(OR(F1176=0,G1176=0),"",(G1176-F1176)*24)</f>
        <v/>
      </c>
      <c r="I1176" s="10" t="n"/>
      <c r="J1176" s="1">
        <f>IF(OR(tblDowntime[[#This Row],[Failure Type]]="Sawshop",tblDowntime[[#This Row],[Failure Type]]="Electrical",tblDowntime[[#This Row],[Failure Type]]="Mechanical"),tblDowntime[[#This Row],[Downtime Hours]],"")</f>
        <v/>
      </c>
      <c r="K1176" s="10" t="n"/>
      <c r="L1176" s="10" t="n"/>
      <c r="M1176">
        <f>IF(tblDowntime[[#This Row],[Maintenance Downtime Hours]]="","",tblDowntime[[#This Row],[Equipment ID]])</f>
        <v/>
      </c>
      <c r="N1176" s="1">
        <f>IF(tblDowntime[[#This Row],[Failure Type]]="Production",tblDowntime[[#This Row],[Downtime Hours]],"")</f>
        <v/>
      </c>
      <c r="O1176">
        <f>IF(tblDowntime[[#This Row],[Production Downtime Hours]]="","",tblDowntime[[#This Row],[Equipment ID]])</f>
        <v/>
      </c>
      <c r="P1176" s="10" t="n"/>
    </row>
    <row r="1177">
      <c r="B1177">
        <f t="array" ref="B1177">_xlfn.XLOOKUP(C1177,INDIRECT("tblEquipment[Equipment ID]"),INDIRECT("tblEquipment[Production Department]"),"")</f>
        <v/>
      </c>
      <c r="D1177">
        <f t="array" ref="D1177">_xlfn.XLOOKUP(C1177,INDIRECT("tblEquipment[Equipment ID]"),INDIRECT("tblEquipment[Equipment Name]"),"")</f>
        <v/>
      </c>
      <c r="F1177" s="16" t="n"/>
      <c r="G1177" s="16" t="n"/>
      <c r="H1177" s="1">
        <f>IF(OR(F1177=0,G1177=0),"",(G1177-F1177)*24)</f>
        <v/>
      </c>
      <c r="I1177" s="10" t="n"/>
      <c r="J1177" s="1">
        <f>IF(OR(tblDowntime[[#This Row],[Failure Type]]="Sawshop",tblDowntime[[#This Row],[Failure Type]]="Electrical",tblDowntime[[#This Row],[Failure Type]]="Mechanical"),tblDowntime[[#This Row],[Downtime Hours]],"")</f>
        <v/>
      </c>
      <c r="K1177" s="10" t="n"/>
      <c r="L1177" s="10" t="n"/>
      <c r="M1177">
        <f>IF(tblDowntime[[#This Row],[Maintenance Downtime Hours]]="","",tblDowntime[[#This Row],[Equipment ID]])</f>
        <v/>
      </c>
      <c r="N1177" s="1">
        <f>IF(tblDowntime[[#This Row],[Failure Type]]="Production",tblDowntime[[#This Row],[Downtime Hours]],"")</f>
        <v/>
      </c>
      <c r="O1177">
        <f>IF(tblDowntime[[#This Row],[Production Downtime Hours]]="","",tblDowntime[[#This Row],[Equipment ID]])</f>
        <v/>
      </c>
      <c r="P1177" s="10" t="n"/>
    </row>
    <row r="1178">
      <c r="B1178">
        <f t="array" ref="B1178">_xlfn.XLOOKUP(C1178,INDIRECT("tblEquipment[Equipment ID]"),INDIRECT("tblEquipment[Production Department]"),"")</f>
        <v/>
      </c>
      <c r="D1178">
        <f t="array" ref="D1178">_xlfn.XLOOKUP(C1178,INDIRECT("tblEquipment[Equipment ID]"),INDIRECT("tblEquipment[Equipment Name]"),"")</f>
        <v/>
      </c>
      <c r="F1178" s="16" t="n"/>
      <c r="G1178" s="16" t="n"/>
      <c r="H1178" s="1">
        <f>IF(OR(F1178=0,G1178=0),"",(G1178-F1178)*24)</f>
        <v/>
      </c>
      <c r="I1178" s="10" t="n"/>
      <c r="J1178" s="1">
        <f>IF(OR(tblDowntime[[#This Row],[Failure Type]]="Sawshop",tblDowntime[[#This Row],[Failure Type]]="Electrical",tblDowntime[[#This Row],[Failure Type]]="Mechanical"),tblDowntime[[#This Row],[Downtime Hours]],"")</f>
        <v/>
      </c>
      <c r="K1178" s="10" t="n"/>
      <c r="L1178" s="10" t="n"/>
      <c r="M1178">
        <f>IF(tblDowntime[[#This Row],[Maintenance Downtime Hours]]="","",tblDowntime[[#This Row],[Equipment ID]])</f>
        <v/>
      </c>
      <c r="N1178" s="1">
        <f>IF(tblDowntime[[#This Row],[Failure Type]]="Production",tblDowntime[[#This Row],[Downtime Hours]],"")</f>
        <v/>
      </c>
      <c r="O1178">
        <f>IF(tblDowntime[[#This Row],[Production Downtime Hours]]="","",tblDowntime[[#This Row],[Equipment ID]])</f>
        <v/>
      </c>
      <c r="P1178" s="10" t="n"/>
    </row>
    <row r="1179">
      <c r="B1179">
        <f t="array" ref="B1179">_xlfn.XLOOKUP(C1179,INDIRECT("tblEquipment[Equipment ID]"),INDIRECT("tblEquipment[Production Department]"),"")</f>
        <v/>
      </c>
      <c r="D1179">
        <f t="array" ref="D1179">_xlfn.XLOOKUP(C1179,INDIRECT("tblEquipment[Equipment ID]"),INDIRECT("tblEquipment[Equipment Name]"),"")</f>
        <v/>
      </c>
      <c r="F1179" s="16" t="n"/>
      <c r="G1179" s="16" t="n"/>
      <c r="H1179" s="1">
        <f>IF(OR(F1179=0,G1179=0),"",(G1179-F1179)*24)</f>
        <v/>
      </c>
      <c r="I1179" s="10" t="n"/>
      <c r="J1179" s="1">
        <f>IF(OR(tblDowntime[[#This Row],[Failure Type]]="Sawshop",tblDowntime[[#This Row],[Failure Type]]="Electrical",tblDowntime[[#This Row],[Failure Type]]="Mechanical"),tblDowntime[[#This Row],[Downtime Hours]],"")</f>
        <v/>
      </c>
      <c r="K1179" s="10" t="n"/>
      <c r="L1179" s="10" t="n"/>
      <c r="M1179">
        <f>IF(tblDowntime[[#This Row],[Maintenance Downtime Hours]]="","",tblDowntime[[#This Row],[Equipment ID]])</f>
        <v/>
      </c>
      <c r="N1179" s="1">
        <f>IF(tblDowntime[[#This Row],[Failure Type]]="Production",tblDowntime[[#This Row],[Downtime Hours]],"")</f>
        <v/>
      </c>
      <c r="O1179">
        <f>IF(tblDowntime[[#This Row],[Production Downtime Hours]]="","",tblDowntime[[#This Row],[Equipment ID]])</f>
        <v/>
      </c>
      <c r="P1179" s="10" t="n"/>
    </row>
    <row r="1180">
      <c r="B1180">
        <f t="array" ref="B1180">_xlfn.XLOOKUP(C1180,INDIRECT("tblEquipment[Equipment ID]"),INDIRECT("tblEquipment[Production Department]"),"")</f>
        <v/>
      </c>
      <c r="D1180">
        <f t="array" ref="D1180">_xlfn.XLOOKUP(C1180,INDIRECT("tblEquipment[Equipment ID]"),INDIRECT("tblEquipment[Equipment Name]"),"")</f>
        <v/>
      </c>
      <c r="F1180" s="16" t="n"/>
      <c r="G1180" s="16" t="n"/>
      <c r="H1180" s="1">
        <f>IF(OR(F1180=0,G1180=0),"",(G1180-F1180)*24)</f>
        <v/>
      </c>
      <c r="I1180" s="10" t="n"/>
      <c r="J1180" s="1">
        <f>IF(OR(tblDowntime[[#This Row],[Failure Type]]="Sawshop",tblDowntime[[#This Row],[Failure Type]]="Electrical",tblDowntime[[#This Row],[Failure Type]]="Mechanical"),tblDowntime[[#This Row],[Downtime Hours]],"")</f>
        <v/>
      </c>
      <c r="K1180" s="10" t="n"/>
      <c r="L1180" s="10" t="n"/>
      <c r="M1180">
        <f>IF(tblDowntime[[#This Row],[Maintenance Downtime Hours]]="","",tblDowntime[[#This Row],[Equipment ID]])</f>
        <v/>
      </c>
      <c r="N1180" s="1">
        <f>IF(tblDowntime[[#This Row],[Failure Type]]="Production",tblDowntime[[#This Row],[Downtime Hours]],"")</f>
        <v/>
      </c>
      <c r="O1180">
        <f>IF(tblDowntime[[#This Row],[Production Downtime Hours]]="","",tblDowntime[[#This Row],[Equipment ID]])</f>
        <v/>
      </c>
      <c r="P1180" s="10" t="n"/>
    </row>
    <row r="1181">
      <c r="B1181">
        <f t="array" ref="B1181">_xlfn.XLOOKUP(C1181,INDIRECT("tblEquipment[Equipment ID]"),INDIRECT("tblEquipment[Production Department]"),"")</f>
        <v/>
      </c>
      <c r="D1181">
        <f t="array" ref="D1181">_xlfn.XLOOKUP(C1181,INDIRECT("tblEquipment[Equipment ID]"),INDIRECT("tblEquipment[Equipment Name]"),"")</f>
        <v/>
      </c>
      <c r="F1181" s="16" t="n"/>
      <c r="G1181" s="16" t="n"/>
      <c r="H1181" s="1">
        <f>IF(OR(F1181=0,G1181=0),"",(G1181-F1181)*24)</f>
        <v/>
      </c>
      <c r="I1181" s="10" t="n"/>
      <c r="J1181" s="1">
        <f>IF(OR(tblDowntime[[#This Row],[Failure Type]]="Sawshop",tblDowntime[[#This Row],[Failure Type]]="Electrical",tblDowntime[[#This Row],[Failure Type]]="Mechanical"),tblDowntime[[#This Row],[Downtime Hours]],"")</f>
        <v/>
      </c>
      <c r="K1181" s="10" t="n"/>
      <c r="L1181" s="10" t="n"/>
      <c r="M1181">
        <f>IF(tblDowntime[[#This Row],[Maintenance Downtime Hours]]="","",tblDowntime[[#This Row],[Equipment ID]])</f>
        <v/>
      </c>
      <c r="N1181" s="1">
        <f>IF(tblDowntime[[#This Row],[Failure Type]]="Production",tblDowntime[[#This Row],[Downtime Hours]],"")</f>
        <v/>
      </c>
      <c r="O1181">
        <f>IF(tblDowntime[[#This Row],[Production Downtime Hours]]="","",tblDowntime[[#This Row],[Equipment ID]])</f>
        <v/>
      </c>
      <c r="P1181" s="10" t="n"/>
    </row>
    <row r="1182">
      <c r="B1182">
        <f t="array" ref="B1182">_xlfn.XLOOKUP(C1182,INDIRECT("tblEquipment[Equipment ID]"),INDIRECT("tblEquipment[Production Department]"),"")</f>
        <v/>
      </c>
      <c r="D1182">
        <f t="array" ref="D1182">_xlfn.XLOOKUP(C1182,INDIRECT("tblEquipment[Equipment ID]"),INDIRECT("tblEquipment[Equipment Name]"),"")</f>
        <v/>
      </c>
      <c r="F1182" s="16" t="n"/>
      <c r="G1182" s="16" t="n"/>
      <c r="H1182" s="1">
        <f>IF(OR(F1182=0,G1182=0),"",(G1182-F1182)*24)</f>
        <v/>
      </c>
      <c r="I1182" s="10" t="n"/>
      <c r="J1182" s="1">
        <f>IF(OR(tblDowntime[[#This Row],[Failure Type]]="Sawshop",tblDowntime[[#This Row],[Failure Type]]="Electrical",tblDowntime[[#This Row],[Failure Type]]="Mechanical"),tblDowntime[[#This Row],[Downtime Hours]],"")</f>
        <v/>
      </c>
      <c r="K1182" s="10" t="n"/>
      <c r="L1182" s="10" t="n"/>
      <c r="M1182">
        <f>IF(tblDowntime[[#This Row],[Maintenance Downtime Hours]]="","",tblDowntime[[#This Row],[Equipment ID]])</f>
        <v/>
      </c>
      <c r="N1182" s="1">
        <f>IF(tblDowntime[[#This Row],[Failure Type]]="Production",tblDowntime[[#This Row],[Downtime Hours]],"")</f>
        <v/>
      </c>
      <c r="O1182">
        <f>IF(tblDowntime[[#This Row],[Production Downtime Hours]]="","",tblDowntime[[#This Row],[Equipment ID]])</f>
        <v/>
      </c>
      <c r="P1182" s="10" t="n"/>
    </row>
    <row r="1183">
      <c r="B1183">
        <f t="array" ref="B1183">_xlfn.XLOOKUP(C1183,INDIRECT("tblEquipment[Equipment ID]"),INDIRECT("tblEquipment[Production Department]"),"")</f>
        <v/>
      </c>
      <c r="D1183">
        <f t="array" ref="D1183">_xlfn.XLOOKUP(C1183,INDIRECT("tblEquipment[Equipment ID]"),INDIRECT("tblEquipment[Equipment Name]"),"")</f>
        <v/>
      </c>
      <c r="F1183" s="16" t="n"/>
      <c r="G1183" s="16" t="n"/>
      <c r="H1183" s="1">
        <f>IF(OR(F1183=0,G1183=0),"",(G1183-F1183)*24)</f>
        <v/>
      </c>
      <c r="I1183" s="10" t="n"/>
      <c r="J1183" s="1">
        <f>IF(OR(tblDowntime[[#This Row],[Failure Type]]="Sawshop",tblDowntime[[#This Row],[Failure Type]]="Electrical",tblDowntime[[#This Row],[Failure Type]]="Mechanical"),tblDowntime[[#This Row],[Downtime Hours]],"")</f>
        <v/>
      </c>
      <c r="K1183" s="10" t="n"/>
      <c r="L1183" s="10" t="n"/>
      <c r="M1183">
        <f>IF(tblDowntime[[#This Row],[Maintenance Downtime Hours]]="","",tblDowntime[[#This Row],[Equipment ID]])</f>
        <v/>
      </c>
      <c r="N1183" s="1">
        <f>IF(tblDowntime[[#This Row],[Failure Type]]="Production",tblDowntime[[#This Row],[Downtime Hours]],"")</f>
        <v/>
      </c>
      <c r="O1183">
        <f>IF(tblDowntime[[#This Row],[Production Downtime Hours]]="","",tblDowntime[[#This Row],[Equipment ID]])</f>
        <v/>
      </c>
      <c r="P1183" s="10" t="n"/>
    </row>
    <row r="1184">
      <c r="B1184">
        <f t="array" ref="B1184">_xlfn.XLOOKUP(C1184,INDIRECT("tblEquipment[Equipment ID]"),INDIRECT("tblEquipment[Production Department]"),"")</f>
        <v/>
      </c>
      <c r="D1184">
        <f t="array" ref="D1184">_xlfn.XLOOKUP(C1184,INDIRECT("tblEquipment[Equipment ID]"),INDIRECT("tblEquipment[Equipment Name]"),"")</f>
        <v/>
      </c>
      <c r="F1184" s="16" t="n"/>
      <c r="G1184" s="16" t="n"/>
      <c r="H1184" s="1">
        <f>IF(OR(F1184=0,G1184=0),"",(G1184-F1184)*24)</f>
        <v/>
      </c>
      <c r="I1184" s="10" t="n"/>
      <c r="J1184" s="1">
        <f>IF(OR(tblDowntime[[#This Row],[Failure Type]]="Sawshop",tblDowntime[[#This Row],[Failure Type]]="Electrical",tblDowntime[[#This Row],[Failure Type]]="Mechanical"),tblDowntime[[#This Row],[Downtime Hours]],"")</f>
        <v/>
      </c>
      <c r="K1184" s="10" t="n"/>
      <c r="L1184" s="10" t="n"/>
      <c r="M1184">
        <f>IF(tblDowntime[[#This Row],[Maintenance Downtime Hours]]="","",tblDowntime[[#This Row],[Equipment ID]])</f>
        <v/>
      </c>
      <c r="N1184" s="1">
        <f>IF(tblDowntime[[#This Row],[Failure Type]]="Production",tblDowntime[[#This Row],[Downtime Hours]],"")</f>
        <v/>
      </c>
      <c r="O1184">
        <f>IF(tblDowntime[[#This Row],[Production Downtime Hours]]="","",tblDowntime[[#This Row],[Equipment ID]])</f>
        <v/>
      </c>
      <c r="P1184" s="10" t="n"/>
    </row>
    <row r="1185">
      <c r="B1185">
        <f t="array" ref="B1185">_xlfn.XLOOKUP(C1185,INDIRECT("tblEquipment[Equipment ID]"),INDIRECT("tblEquipment[Production Department]"),"")</f>
        <v/>
      </c>
      <c r="D1185">
        <f t="array" ref="D1185">_xlfn.XLOOKUP(C1185,INDIRECT("tblEquipment[Equipment ID]"),INDIRECT("tblEquipment[Equipment Name]"),"")</f>
        <v/>
      </c>
      <c r="F1185" s="16" t="n"/>
      <c r="G1185" s="16" t="n"/>
      <c r="H1185" s="1">
        <f>IF(OR(F1185=0,G1185=0),"",(G1185-F1185)*24)</f>
        <v/>
      </c>
      <c r="I1185" s="10" t="n"/>
      <c r="J1185" s="1">
        <f>IF(OR(tblDowntime[[#This Row],[Failure Type]]="Sawshop",tblDowntime[[#This Row],[Failure Type]]="Electrical",tblDowntime[[#This Row],[Failure Type]]="Mechanical"),tblDowntime[[#This Row],[Downtime Hours]],"")</f>
        <v/>
      </c>
      <c r="K1185" s="10" t="n"/>
      <c r="L1185" s="10" t="n"/>
      <c r="M1185">
        <f>IF(tblDowntime[[#This Row],[Maintenance Downtime Hours]]="","",tblDowntime[[#This Row],[Equipment ID]])</f>
        <v/>
      </c>
      <c r="N1185" s="1">
        <f>IF(tblDowntime[[#This Row],[Failure Type]]="Production",tblDowntime[[#This Row],[Downtime Hours]],"")</f>
        <v/>
      </c>
      <c r="O1185">
        <f>IF(tblDowntime[[#This Row],[Production Downtime Hours]]="","",tblDowntime[[#This Row],[Equipment ID]])</f>
        <v/>
      </c>
      <c r="P1185" s="10" t="n"/>
    </row>
    <row r="1186">
      <c r="B1186">
        <f t="array" ref="B1186">_xlfn.XLOOKUP(C1186,INDIRECT("tblEquipment[Equipment ID]"),INDIRECT("tblEquipment[Production Department]"),"")</f>
        <v/>
      </c>
      <c r="D1186">
        <f t="array" ref="D1186">_xlfn.XLOOKUP(C1186,INDIRECT("tblEquipment[Equipment ID]"),INDIRECT("tblEquipment[Equipment Name]"),"")</f>
        <v/>
      </c>
      <c r="F1186" s="16" t="n"/>
      <c r="G1186" s="16" t="n"/>
      <c r="H1186" s="1">
        <f>IF(OR(F1186=0,G1186=0),"",(G1186-F1186)*24)</f>
        <v/>
      </c>
      <c r="I1186" s="10" t="n"/>
      <c r="J1186" s="1">
        <f>IF(OR(tblDowntime[[#This Row],[Failure Type]]="Sawshop",tblDowntime[[#This Row],[Failure Type]]="Electrical",tblDowntime[[#This Row],[Failure Type]]="Mechanical"),tblDowntime[[#This Row],[Downtime Hours]],"")</f>
        <v/>
      </c>
      <c r="K1186" s="10" t="n"/>
      <c r="L1186" s="10" t="n"/>
      <c r="M1186">
        <f>IF(tblDowntime[[#This Row],[Maintenance Downtime Hours]]="","",tblDowntime[[#This Row],[Equipment ID]])</f>
        <v/>
      </c>
      <c r="N1186" s="1">
        <f>IF(tblDowntime[[#This Row],[Failure Type]]="Production",tblDowntime[[#This Row],[Downtime Hours]],"")</f>
        <v/>
      </c>
      <c r="O1186">
        <f>IF(tblDowntime[[#This Row],[Production Downtime Hours]]="","",tblDowntime[[#This Row],[Equipment ID]])</f>
        <v/>
      </c>
      <c r="P1186" s="10" t="n"/>
    </row>
    <row r="1187">
      <c r="B1187">
        <f t="array" ref="B1187">_xlfn.XLOOKUP(C1187,INDIRECT("tblEquipment[Equipment ID]"),INDIRECT("tblEquipment[Production Department]"),"")</f>
        <v/>
      </c>
      <c r="D1187">
        <f t="array" ref="D1187">_xlfn.XLOOKUP(C1187,INDIRECT("tblEquipment[Equipment ID]"),INDIRECT("tblEquipment[Equipment Name]"),"")</f>
        <v/>
      </c>
      <c r="F1187" s="16" t="n"/>
      <c r="G1187" s="16" t="n"/>
      <c r="H1187" s="1">
        <f>IF(OR(F1187=0,G1187=0),"",(G1187-F1187)*24)</f>
        <v/>
      </c>
      <c r="I1187" s="10" t="n"/>
      <c r="J1187" s="1">
        <f>IF(OR(tblDowntime[[#This Row],[Failure Type]]="Sawshop",tblDowntime[[#This Row],[Failure Type]]="Electrical",tblDowntime[[#This Row],[Failure Type]]="Mechanical"),tblDowntime[[#This Row],[Downtime Hours]],"")</f>
        <v/>
      </c>
      <c r="K1187" s="10" t="n"/>
      <c r="L1187" s="10" t="n"/>
      <c r="M1187">
        <f>IF(tblDowntime[[#This Row],[Maintenance Downtime Hours]]="","",tblDowntime[[#This Row],[Equipment ID]])</f>
        <v/>
      </c>
      <c r="N1187" s="1">
        <f>IF(tblDowntime[[#This Row],[Failure Type]]="Production",tblDowntime[[#This Row],[Downtime Hours]],"")</f>
        <v/>
      </c>
      <c r="O1187">
        <f>IF(tblDowntime[[#This Row],[Production Downtime Hours]]="","",tblDowntime[[#This Row],[Equipment ID]])</f>
        <v/>
      </c>
      <c r="P1187" s="10" t="n"/>
    </row>
    <row r="1188">
      <c r="B1188">
        <f t="array" ref="B1188">_xlfn.XLOOKUP(C1188,INDIRECT("tblEquipment[Equipment ID]"),INDIRECT("tblEquipment[Production Department]"),"")</f>
        <v/>
      </c>
      <c r="D1188">
        <f t="array" ref="D1188">_xlfn.XLOOKUP(C1188,INDIRECT("tblEquipment[Equipment ID]"),INDIRECT("tblEquipment[Equipment Name]"),"")</f>
        <v/>
      </c>
      <c r="F1188" s="16" t="n"/>
      <c r="G1188" s="16" t="n"/>
      <c r="H1188" s="1">
        <f>IF(OR(F1188=0,G1188=0),"",(G1188-F1188)*24)</f>
        <v/>
      </c>
      <c r="I1188" s="10" t="n"/>
      <c r="J1188" s="1">
        <f>IF(OR(tblDowntime[[#This Row],[Failure Type]]="Sawshop",tblDowntime[[#This Row],[Failure Type]]="Electrical",tblDowntime[[#This Row],[Failure Type]]="Mechanical"),tblDowntime[[#This Row],[Downtime Hours]],"")</f>
        <v/>
      </c>
      <c r="K1188" s="10" t="n"/>
      <c r="L1188" s="10" t="n"/>
      <c r="M1188">
        <f>IF(tblDowntime[[#This Row],[Maintenance Downtime Hours]]="","",tblDowntime[[#This Row],[Equipment ID]])</f>
        <v/>
      </c>
      <c r="N1188" s="1">
        <f>IF(tblDowntime[[#This Row],[Failure Type]]="Production",tblDowntime[[#This Row],[Downtime Hours]],"")</f>
        <v/>
      </c>
      <c r="O1188">
        <f>IF(tblDowntime[[#This Row],[Production Downtime Hours]]="","",tblDowntime[[#This Row],[Equipment ID]])</f>
        <v/>
      </c>
      <c r="P1188" s="10" t="n"/>
    </row>
    <row r="1189">
      <c r="B1189">
        <f t="array" ref="B1189">_xlfn.XLOOKUP(C1189,INDIRECT("tblEquipment[Equipment ID]"),INDIRECT("tblEquipment[Production Department]"),"")</f>
        <v/>
      </c>
      <c r="D1189">
        <f t="array" ref="D1189">_xlfn.XLOOKUP(C1189,INDIRECT("tblEquipment[Equipment ID]"),INDIRECT("tblEquipment[Equipment Name]"),"")</f>
        <v/>
      </c>
      <c r="F1189" s="16" t="n"/>
      <c r="G1189" s="16" t="n"/>
      <c r="H1189" s="1">
        <f>IF(OR(F1189=0,G1189=0),"",(G1189-F1189)*24)</f>
        <v/>
      </c>
      <c r="I1189" s="10" t="n"/>
      <c r="J1189" s="1">
        <f>IF(OR(tblDowntime[[#This Row],[Failure Type]]="Sawshop",tblDowntime[[#This Row],[Failure Type]]="Electrical",tblDowntime[[#This Row],[Failure Type]]="Mechanical"),tblDowntime[[#This Row],[Downtime Hours]],"")</f>
        <v/>
      </c>
      <c r="K1189" s="10" t="n"/>
      <c r="L1189" s="10" t="n"/>
      <c r="M1189">
        <f>IF(tblDowntime[[#This Row],[Maintenance Downtime Hours]]="","",tblDowntime[[#This Row],[Equipment ID]])</f>
        <v/>
      </c>
      <c r="N1189" s="1">
        <f>IF(tblDowntime[[#This Row],[Failure Type]]="Production",tblDowntime[[#This Row],[Downtime Hours]],"")</f>
        <v/>
      </c>
      <c r="O1189">
        <f>IF(tblDowntime[[#This Row],[Production Downtime Hours]]="","",tblDowntime[[#This Row],[Equipment ID]])</f>
        <v/>
      </c>
      <c r="P1189" s="10" t="n"/>
    </row>
    <row r="1190">
      <c r="B1190">
        <f t="array" ref="B1190">_xlfn.XLOOKUP(C1190,INDIRECT("tblEquipment[Equipment ID]"),INDIRECT("tblEquipment[Production Department]"),"")</f>
        <v/>
      </c>
      <c r="D1190">
        <f t="array" ref="D1190">_xlfn.XLOOKUP(C1190,INDIRECT("tblEquipment[Equipment ID]"),INDIRECT("tblEquipment[Equipment Name]"),"")</f>
        <v/>
      </c>
      <c r="F1190" s="16" t="n"/>
      <c r="G1190" s="16" t="n"/>
      <c r="H1190" s="1">
        <f>IF(OR(F1190=0,G1190=0),"",(G1190-F1190)*24)</f>
        <v/>
      </c>
      <c r="I1190" s="10" t="n"/>
      <c r="J1190" s="1">
        <f>IF(OR(tblDowntime[[#This Row],[Failure Type]]="Sawshop",tblDowntime[[#This Row],[Failure Type]]="Electrical",tblDowntime[[#This Row],[Failure Type]]="Mechanical"),tblDowntime[[#This Row],[Downtime Hours]],"")</f>
        <v/>
      </c>
      <c r="K1190" s="10" t="n"/>
      <c r="L1190" s="10" t="n"/>
      <c r="M1190">
        <f>IF(tblDowntime[[#This Row],[Maintenance Downtime Hours]]="","",tblDowntime[[#This Row],[Equipment ID]])</f>
        <v/>
      </c>
      <c r="N1190" s="1">
        <f>IF(tblDowntime[[#This Row],[Failure Type]]="Production",tblDowntime[[#This Row],[Downtime Hours]],"")</f>
        <v/>
      </c>
      <c r="O1190">
        <f>IF(tblDowntime[[#This Row],[Production Downtime Hours]]="","",tblDowntime[[#This Row],[Equipment ID]])</f>
        <v/>
      </c>
      <c r="P1190" s="10" t="n"/>
    </row>
    <row r="1191">
      <c r="B1191">
        <f t="array" ref="B1191">_xlfn.XLOOKUP(C1191,INDIRECT("tblEquipment[Equipment ID]"),INDIRECT("tblEquipment[Production Department]"),"")</f>
        <v/>
      </c>
      <c r="D1191">
        <f t="array" ref="D1191">_xlfn.XLOOKUP(C1191,INDIRECT("tblEquipment[Equipment ID]"),INDIRECT("tblEquipment[Equipment Name]"),"")</f>
        <v/>
      </c>
      <c r="F1191" s="16" t="n"/>
      <c r="G1191" s="16" t="n"/>
      <c r="H1191" s="1">
        <f>IF(OR(F1191=0,G1191=0),"",(G1191-F1191)*24)</f>
        <v/>
      </c>
      <c r="I1191" s="10" t="n"/>
      <c r="J1191" s="1">
        <f>IF(OR(tblDowntime[[#This Row],[Failure Type]]="Sawshop",tblDowntime[[#This Row],[Failure Type]]="Electrical",tblDowntime[[#This Row],[Failure Type]]="Mechanical"),tblDowntime[[#This Row],[Downtime Hours]],"")</f>
        <v/>
      </c>
      <c r="K1191" s="10" t="n"/>
      <c r="L1191" s="10" t="n"/>
      <c r="M1191">
        <f>IF(tblDowntime[[#This Row],[Maintenance Downtime Hours]]="","",tblDowntime[[#This Row],[Equipment ID]])</f>
        <v/>
      </c>
      <c r="N1191" s="1">
        <f>IF(tblDowntime[[#This Row],[Failure Type]]="Production",tblDowntime[[#This Row],[Downtime Hours]],"")</f>
        <v/>
      </c>
      <c r="O1191">
        <f>IF(tblDowntime[[#This Row],[Production Downtime Hours]]="","",tblDowntime[[#This Row],[Equipment ID]])</f>
        <v/>
      </c>
      <c r="P1191" s="10" t="n"/>
    </row>
    <row r="1192">
      <c r="B1192">
        <f t="array" ref="B1192">_xlfn.XLOOKUP(C1192,INDIRECT("tblEquipment[Equipment ID]"),INDIRECT("tblEquipment[Production Department]"),"")</f>
        <v/>
      </c>
      <c r="D1192">
        <f t="array" ref="D1192">_xlfn.XLOOKUP(C1192,INDIRECT("tblEquipment[Equipment ID]"),INDIRECT("tblEquipment[Equipment Name]"),"")</f>
        <v/>
      </c>
      <c r="F1192" s="16" t="n"/>
      <c r="G1192" s="16" t="n"/>
      <c r="H1192" s="1">
        <f>IF(OR(F1192=0,G1192=0),"",(G1192-F1192)*24)</f>
        <v/>
      </c>
      <c r="I1192" s="10" t="n"/>
      <c r="J1192" s="1">
        <f>IF(OR(tblDowntime[[#This Row],[Failure Type]]="Sawshop",tblDowntime[[#This Row],[Failure Type]]="Electrical",tblDowntime[[#This Row],[Failure Type]]="Mechanical"),tblDowntime[[#This Row],[Downtime Hours]],"")</f>
        <v/>
      </c>
      <c r="K1192" s="10" t="n"/>
      <c r="L1192" s="10" t="n"/>
      <c r="M1192">
        <f>IF(tblDowntime[[#This Row],[Maintenance Downtime Hours]]="","",tblDowntime[[#This Row],[Equipment ID]])</f>
        <v/>
      </c>
      <c r="N1192" s="1">
        <f>IF(tblDowntime[[#This Row],[Failure Type]]="Production",tblDowntime[[#This Row],[Downtime Hours]],"")</f>
        <v/>
      </c>
      <c r="O1192">
        <f>IF(tblDowntime[[#This Row],[Production Downtime Hours]]="","",tblDowntime[[#This Row],[Equipment ID]])</f>
        <v/>
      </c>
      <c r="P1192" s="10" t="n"/>
    </row>
    <row r="1193">
      <c r="B1193">
        <f t="array" ref="B1193">_xlfn.XLOOKUP(C1193,INDIRECT("tblEquipment[Equipment ID]"),INDIRECT("tblEquipment[Production Department]"),"")</f>
        <v/>
      </c>
      <c r="D1193">
        <f t="array" ref="D1193">_xlfn.XLOOKUP(C1193,INDIRECT("tblEquipment[Equipment ID]"),INDIRECT("tblEquipment[Equipment Name]"),"")</f>
        <v/>
      </c>
      <c r="F1193" s="16" t="n"/>
      <c r="G1193" s="16" t="n"/>
      <c r="H1193" s="1">
        <f>IF(OR(F1193=0,G1193=0),"",(G1193-F1193)*24)</f>
        <v/>
      </c>
      <c r="I1193" s="10" t="n"/>
      <c r="J1193" s="1">
        <f>IF(OR(tblDowntime[[#This Row],[Failure Type]]="Sawshop",tblDowntime[[#This Row],[Failure Type]]="Electrical",tblDowntime[[#This Row],[Failure Type]]="Mechanical"),tblDowntime[[#This Row],[Downtime Hours]],"")</f>
        <v/>
      </c>
      <c r="K1193" s="10" t="n"/>
      <c r="L1193" s="10" t="n"/>
      <c r="M1193">
        <f>IF(tblDowntime[[#This Row],[Maintenance Downtime Hours]]="","",tblDowntime[[#This Row],[Equipment ID]])</f>
        <v/>
      </c>
      <c r="N1193" s="1">
        <f>IF(tblDowntime[[#This Row],[Failure Type]]="Production",tblDowntime[[#This Row],[Downtime Hours]],"")</f>
        <v/>
      </c>
      <c r="O1193">
        <f>IF(tblDowntime[[#This Row],[Production Downtime Hours]]="","",tblDowntime[[#This Row],[Equipment ID]])</f>
        <v/>
      </c>
      <c r="P1193" s="10" t="n"/>
    </row>
    <row r="1194">
      <c r="B1194">
        <f t="array" ref="B1194">_xlfn.XLOOKUP(C1194,INDIRECT("tblEquipment[Equipment ID]"),INDIRECT("tblEquipment[Production Department]"),"")</f>
        <v/>
      </c>
      <c r="D1194">
        <f t="array" ref="D1194">_xlfn.XLOOKUP(C1194,INDIRECT("tblEquipment[Equipment ID]"),INDIRECT("tblEquipment[Equipment Name]"),"")</f>
        <v/>
      </c>
      <c r="F1194" s="16" t="n"/>
      <c r="G1194" s="16" t="n"/>
      <c r="H1194" s="1">
        <f>IF(OR(F1194=0,G1194=0),"",(G1194-F1194)*24)</f>
        <v/>
      </c>
      <c r="I1194" s="10" t="n"/>
      <c r="J1194" s="1">
        <f>IF(OR(tblDowntime[[#This Row],[Failure Type]]="Sawshop",tblDowntime[[#This Row],[Failure Type]]="Electrical",tblDowntime[[#This Row],[Failure Type]]="Mechanical"),tblDowntime[[#This Row],[Downtime Hours]],"")</f>
        <v/>
      </c>
      <c r="K1194" s="10" t="n"/>
      <c r="L1194" s="10" t="n"/>
      <c r="M1194">
        <f>IF(tblDowntime[[#This Row],[Maintenance Downtime Hours]]="","",tblDowntime[[#This Row],[Equipment ID]])</f>
        <v/>
      </c>
      <c r="N1194" s="1">
        <f>IF(tblDowntime[[#This Row],[Failure Type]]="Production",tblDowntime[[#This Row],[Downtime Hours]],"")</f>
        <v/>
      </c>
      <c r="O1194">
        <f>IF(tblDowntime[[#This Row],[Production Downtime Hours]]="","",tblDowntime[[#This Row],[Equipment ID]])</f>
        <v/>
      </c>
      <c r="P1194" s="10" t="n"/>
    </row>
    <row r="1195">
      <c r="B1195">
        <f t="array" ref="B1195">_xlfn.XLOOKUP(C1195,INDIRECT("tblEquipment[Equipment ID]"),INDIRECT("tblEquipment[Production Department]"),"")</f>
        <v/>
      </c>
      <c r="D1195">
        <f t="array" ref="D1195">_xlfn.XLOOKUP(C1195,INDIRECT("tblEquipment[Equipment ID]"),INDIRECT("tblEquipment[Equipment Name]"),"")</f>
        <v/>
      </c>
      <c r="F1195" s="16" t="n"/>
      <c r="G1195" s="16" t="n"/>
      <c r="H1195" s="1">
        <f>IF(OR(F1195=0,G1195=0),"",(G1195-F1195)*24)</f>
        <v/>
      </c>
      <c r="I1195" s="10" t="n"/>
      <c r="J1195" s="1">
        <f>IF(OR(tblDowntime[[#This Row],[Failure Type]]="Sawshop",tblDowntime[[#This Row],[Failure Type]]="Electrical",tblDowntime[[#This Row],[Failure Type]]="Mechanical"),tblDowntime[[#This Row],[Downtime Hours]],"")</f>
        <v/>
      </c>
      <c r="K1195" s="10" t="n"/>
      <c r="L1195" s="10" t="n"/>
      <c r="M1195">
        <f>IF(tblDowntime[[#This Row],[Maintenance Downtime Hours]]="","",tblDowntime[[#This Row],[Equipment ID]])</f>
        <v/>
      </c>
      <c r="N1195" s="1">
        <f>IF(tblDowntime[[#This Row],[Failure Type]]="Production",tblDowntime[[#This Row],[Downtime Hours]],"")</f>
        <v/>
      </c>
      <c r="O1195">
        <f>IF(tblDowntime[[#This Row],[Production Downtime Hours]]="","",tblDowntime[[#This Row],[Equipment ID]])</f>
        <v/>
      </c>
      <c r="P1195" s="10" t="n"/>
    </row>
    <row r="1196">
      <c r="B1196">
        <f t="array" ref="B1196">_xlfn.XLOOKUP(C1196,INDIRECT("tblEquipment[Equipment ID]"),INDIRECT("tblEquipment[Production Department]"),"")</f>
        <v/>
      </c>
      <c r="D1196">
        <f t="array" ref="D1196">_xlfn.XLOOKUP(C1196,INDIRECT("tblEquipment[Equipment ID]"),INDIRECT("tblEquipment[Equipment Name]"),"")</f>
        <v/>
      </c>
      <c r="F1196" s="16" t="n"/>
      <c r="G1196" s="16" t="n"/>
      <c r="H1196" s="1">
        <f>IF(OR(F1196=0,G1196=0),"",(G1196-F1196)*24)</f>
        <v/>
      </c>
      <c r="I1196" s="10" t="n"/>
      <c r="J1196" s="1">
        <f>IF(OR(tblDowntime[[#This Row],[Failure Type]]="Sawshop",tblDowntime[[#This Row],[Failure Type]]="Electrical",tblDowntime[[#This Row],[Failure Type]]="Mechanical"),tblDowntime[[#This Row],[Downtime Hours]],"")</f>
        <v/>
      </c>
      <c r="K1196" s="10" t="n"/>
      <c r="L1196" s="10" t="n"/>
      <c r="M1196">
        <f>IF(tblDowntime[[#This Row],[Maintenance Downtime Hours]]="","",tblDowntime[[#This Row],[Equipment ID]])</f>
        <v/>
      </c>
      <c r="N1196" s="1">
        <f>IF(tblDowntime[[#This Row],[Failure Type]]="Production",tblDowntime[[#This Row],[Downtime Hours]],"")</f>
        <v/>
      </c>
      <c r="O1196">
        <f>IF(tblDowntime[[#This Row],[Production Downtime Hours]]="","",tblDowntime[[#This Row],[Equipment ID]])</f>
        <v/>
      </c>
      <c r="P1196" s="10" t="n"/>
    </row>
    <row r="1197">
      <c r="B1197">
        <f t="array" ref="B1197">_xlfn.XLOOKUP(C1197,INDIRECT("tblEquipment[Equipment ID]"),INDIRECT("tblEquipment[Production Department]"),"")</f>
        <v/>
      </c>
      <c r="D1197">
        <f t="array" ref="D1197">_xlfn.XLOOKUP(C1197,INDIRECT("tblEquipment[Equipment ID]"),INDIRECT("tblEquipment[Equipment Name]"),"")</f>
        <v/>
      </c>
      <c r="F1197" s="16" t="n"/>
      <c r="G1197" s="16" t="n"/>
      <c r="H1197" s="1">
        <f>IF(OR(F1197=0,G1197=0),"",(G1197-F1197)*24)</f>
        <v/>
      </c>
      <c r="I1197" s="10" t="n"/>
      <c r="J1197" s="1">
        <f>IF(OR(tblDowntime[[#This Row],[Failure Type]]="Sawshop",tblDowntime[[#This Row],[Failure Type]]="Electrical",tblDowntime[[#This Row],[Failure Type]]="Mechanical"),tblDowntime[[#This Row],[Downtime Hours]],"")</f>
        <v/>
      </c>
      <c r="K1197" s="10" t="n"/>
      <c r="L1197" s="10" t="n"/>
      <c r="M1197">
        <f>IF(tblDowntime[[#This Row],[Maintenance Downtime Hours]]="","",tblDowntime[[#This Row],[Equipment ID]])</f>
        <v/>
      </c>
      <c r="N1197" s="1">
        <f>IF(tblDowntime[[#This Row],[Failure Type]]="Production",tblDowntime[[#This Row],[Downtime Hours]],"")</f>
        <v/>
      </c>
      <c r="O1197">
        <f>IF(tblDowntime[[#This Row],[Production Downtime Hours]]="","",tblDowntime[[#This Row],[Equipment ID]])</f>
        <v/>
      </c>
      <c r="P1197" s="10" t="n"/>
    </row>
    <row r="1198">
      <c r="B1198">
        <f t="array" ref="B1198">_xlfn.XLOOKUP(C1198,INDIRECT("tblEquipment[Equipment ID]"),INDIRECT("tblEquipment[Production Department]"),"")</f>
        <v/>
      </c>
      <c r="D1198">
        <f t="array" ref="D1198">_xlfn.XLOOKUP(C1198,INDIRECT("tblEquipment[Equipment ID]"),INDIRECT("tblEquipment[Equipment Name]"),"")</f>
        <v/>
      </c>
      <c r="F1198" s="16" t="n"/>
      <c r="G1198" s="16" t="n"/>
      <c r="H1198" s="1">
        <f>IF(OR(F1198=0,G1198=0),"",(G1198-F1198)*24)</f>
        <v/>
      </c>
      <c r="I1198" s="10" t="n"/>
      <c r="J1198" s="1">
        <f>IF(OR(tblDowntime[[#This Row],[Failure Type]]="Sawshop",tblDowntime[[#This Row],[Failure Type]]="Electrical",tblDowntime[[#This Row],[Failure Type]]="Mechanical"),tblDowntime[[#This Row],[Downtime Hours]],"")</f>
        <v/>
      </c>
      <c r="K1198" s="10" t="n"/>
      <c r="L1198" s="10" t="n"/>
      <c r="M1198">
        <f>IF(tblDowntime[[#This Row],[Maintenance Downtime Hours]]="","",tblDowntime[[#This Row],[Equipment ID]])</f>
        <v/>
      </c>
      <c r="N1198" s="1">
        <f>IF(tblDowntime[[#This Row],[Failure Type]]="Production",tblDowntime[[#This Row],[Downtime Hours]],"")</f>
        <v/>
      </c>
      <c r="O1198">
        <f>IF(tblDowntime[[#This Row],[Production Downtime Hours]]="","",tblDowntime[[#This Row],[Equipment ID]])</f>
        <v/>
      </c>
      <c r="P1198" s="10" t="n"/>
    </row>
    <row r="1199">
      <c r="B1199">
        <f t="array" ref="B1199">_xlfn.XLOOKUP(C1199,INDIRECT("tblEquipment[Equipment ID]"),INDIRECT("tblEquipment[Production Department]"),"")</f>
        <v/>
      </c>
      <c r="D1199">
        <f t="array" ref="D1199">_xlfn.XLOOKUP(C1199,INDIRECT("tblEquipment[Equipment ID]"),INDIRECT("tblEquipment[Equipment Name]"),"")</f>
        <v/>
      </c>
      <c r="F1199" s="16" t="n"/>
      <c r="G1199" s="16" t="n"/>
      <c r="H1199" s="1">
        <f>IF(OR(F1199=0,G1199=0),"",(G1199-F1199)*24)</f>
        <v/>
      </c>
      <c r="I1199" s="10" t="n"/>
      <c r="J1199" s="1">
        <f>IF(OR(tblDowntime[[#This Row],[Failure Type]]="Sawshop",tblDowntime[[#This Row],[Failure Type]]="Electrical",tblDowntime[[#This Row],[Failure Type]]="Mechanical"),tblDowntime[[#This Row],[Downtime Hours]],"")</f>
        <v/>
      </c>
      <c r="K1199" s="10" t="n"/>
      <c r="L1199" s="10" t="n"/>
      <c r="M1199">
        <f>IF(tblDowntime[[#This Row],[Maintenance Downtime Hours]]="","",tblDowntime[[#This Row],[Equipment ID]])</f>
        <v/>
      </c>
      <c r="N1199" s="1">
        <f>IF(tblDowntime[[#This Row],[Failure Type]]="Production",tblDowntime[[#This Row],[Downtime Hours]],"")</f>
        <v/>
      </c>
      <c r="O1199">
        <f>IF(tblDowntime[[#This Row],[Production Downtime Hours]]="","",tblDowntime[[#This Row],[Equipment ID]])</f>
        <v/>
      </c>
      <c r="P1199" s="10" t="n"/>
    </row>
    <row r="1200">
      <c r="B1200">
        <f t="array" ref="B1200">_xlfn.XLOOKUP(C1200,INDIRECT("tblEquipment[Equipment ID]"),INDIRECT("tblEquipment[Production Department]"),"")</f>
        <v/>
      </c>
      <c r="D1200">
        <f t="array" ref="D1200">_xlfn.XLOOKUP(C1200,INDIRECT("tblEquipment[Equipment ID]"),INDIRECT("tblEquipment[Equipment Name]"),"")</f>
        <v/>
      </c>
      <c r="F1200" s="16" t="n"/>
      <c r="G1200" s="16" t="n"/>
      <c r="H1200" s="1">
        <f>IF(OR(F1200=0,G1200=0),"",(G1200-F1200)*24)</f>
        <v/>
      </c>
      <c r="I1200" s="10" t="n"/>
      <c r="J1200" s="1">
        <f>IF(OR(tblDowntime[[#This Row],[Failure Type]]="Sawshop",tblDowntime[[#This Row],[Failure Type]]="Electrical",tblDowntime[[#This Row],[Failure Type]]="Mechanical"),tblDowntime[[#This Row],[Downtime Hours]],"")</f>
        <v/>
      </c>
      <c r="K1200" s="10" t="n"/>
      <c r="L1200" s="10" t="n"/>
      <c r="M1200">
        <f>IF(tblDowntime[[#This Row],[Maintenance Downtime Hours]]="","",tblDowntime[[#This Row],[Equipment ID]])</f>
        <v/>
      </c>
      <c r="N1200" s="1">
        <f>IF(tblDowntime[[#This Row],[Failure Type]]="Production",tblDowntime[[#This Row],[Downtime Hours]],"")</f>
        <v/>
      </c>
      <c r="O1200">
        <f>IF(tblDowntime[[#This Row],[Production Downtime Hours]]="","",tblDowntime[[#This Row],[Equipment ID]])</f>
        <v/>
      </c>
      <c r="P1200" s="10" t="n"/>
    </row>
    <row r="1201">
      <c r="B1201">
        <f t="array" ref="B1201">_xlfn.XLOOKUP(C1201,INDIRECT("tblEquipment[Equipment ID]"),INDIRECT("tblEquipment[Production Department]"),"")</f>
        <v/>
      </c>
      <c r="D1201">
        <f t="array" ref="D1201">_xlfn.XLOOKUP(C1201,INDIRECT("tblEquipment[Equipment ID]"),INDIRECT("tblEquipment[Equipment Name]"),"")</f>
        <v/>
      </c>
      <c r="F1201" s="16" t="n"/>
      <c r="G1201" s="16" t="n"/>
      <c r="H1201" s="1">
        <f>IF(OR(F1201=0,G1201=0),"",(G1201-F1201)*24)</f>
        <v/>
      </c>
      <c r="I1201" s="10" t="n"/>
      <c r="J1201" s="1">
        <f>IF(OR(tblDowntime[[#This Row],[Failure Type]]="Sawshop",tblDowntime[[#This Row],[Failure Type]]="Electrical",tblDowntime[[#This Row],[Failure Type]]="Mechanical"),tblDowntime[[#This Row],[Downtime Hours]],"")</f>
        <v/>
      </c>
      <c r="K1201" s="10" t="n"/>
      <c r="L1201" s="10" t="n"/>
      <c r="M1201">
        <f>IF(tblDowntime[[#This Row],[Maintenance Downtime Hours]]="","",tblDowntime[[#This Row],[Equipment ID]])</f>
        <v/>
      </c>
      <c r="N1201" s="1">
        <f>IF(tblDowntime[[#This Row],[Failure Type]]="Production",tblDowntime[[#This Row],[Downtime Hours]],"")</f>
        <v/>
      </c>
      <c r="O1201">
        <f>IF(tblDowntime[[#This Row],[Production Downtime Hours]]="","",tblDowntime[[#This Row],[Equipment ID]])</f>
        <v/>
      </c>
      <c r="P1201" s="10" t="n"/>
    </row>
    <row r="1202">
      <c r="B1202">
        <f t="array" ref="B1202">_xlfn.XLOOKUP(C1202,INDIRECT("tblEquipment[Equipment ID]"),INDIRECT("tblEquipment[Production Department]"),"")</f>
        <v/>
      </c>
      <c r="D1202">
        <f t="array" ref="D1202">_xlfn.XLOOKUP(C1202,INDIRECT("tblEquipment[Equipment ID]"),INDIRECT("tblEquipment[Equipment Name]"),"")</f>
        <v/>
      </c>
      <c r="F1202" s="16" t="n"/>
      <c r="G1202" s="16" t="n"/>
      <c r="H1202" s="1">
        <f>IF(OR(F1202=0,G1202=0),"",(G1202-F1202)*24)</f>
        <v/>
      </c>
      <c r="I1202" s="10" t="n"/>
      <c r="J1202" s="1">
        <f>IF(OR(tblDowntime[[#This Row],[Failure Type]]="Sawshop",tblDowntime[[#This Row],[Failure Type]]="Electrical",tblDowntime[[#This Row],[Failure Type]]="Mechanical"),tblDowntime[[#This Row],[Downtime Hours]],"")</f>
        <v/>
      </c>
      <c r="K1202" s="10" t="n"/>
      <c r="L1202" s="10" t="n"/>
      <c r="M1202">
        <f>IF(tblDowntime[[#This Row],[Maintenance Downtime Hours]]="","",tblDowntime[[#This Row],[Equipment ID]])</f>
        <v/>
      </c>
      <c r="N1202" s="1">
        <f>IF(tblDowntime[[#This Row],[Failure Type]]="Production",tblDowntime[[#This Row],[Downtime Hours]],"")</f>
        <v/>
      </c>
      <c r="O1202">
        <f>IF(tblDowntime[[#This Row],[Production Downtime Hours]]="","",tblDowntime[[#This Row],[Equipment ID]])</f>
        <v/>
      </c>
      <c r="P1202" s="10" t="n"/>
    </row>
    <row r="1203">
      <c r="B1203">
        <f t="array" ref="B1203">_xlfn.XLOOKUP(C1203,INDIRECT("tblEquipment[Equipment ID]"),INDIRECT("tblEquipment[Production Department]"),"")</f>
        <v/>
      </c>
      <c r="D1203">
        <f t="array" ref="D1203">_xlfn.XLOOKUP(C1203,INDIRECT("tblEquipment[Equipment ID]"),INDIRECT("tblEquipment[Equipment Name]"),"")</f>
        <v/>
      </c>
      <c r="F1203" s="16" t="n"/>
      <c r="G1203" s="16" t="n"/>
      <c r="H1203" s="1">
        <f>IF(OR(F1203=0,G1203=0),"",(G1203-F1203)*24)</f>
        <v/>
      </c>
      <c r="I1203" s="10" t="n"/>
      <c r="J1203" s="1">
        <f>IF(OR(tblDowntime[[#This Row],[Failure Type]]="Sawshop",tblDowntime[[#This Row],[Failure Type]]="Electrical",tblDowntime[[#This Row],[Failure Type]]="Mechanical"),tblDowntime[[#This Row],[Downtime Hours]],"")</f>
        <v/>
      </c>
      <c r="K1203" s="10" t="n"/>
      <c r="L1203" s="10" t="n"/>
      <c r="M1203">
        <f>IF(tblDowntime[[#This Row],[Maintenance Downtime Hours]]="","",tblDowntime[[#This Row],[Equipment ID]])</f>
        <v/>
      </c>
      <c r="N1203" s="1">
        <f>IF(tblDowntime[[#This Row],[Failure Type]]="Production",tblDowntime[[#This Row],[Downtime Hours]],"")</f>
        <v/>
      </c>
      <c r="O1203">
        <f>IF(tblDowntime[[#This Row],[Production Downtime Hours]]="","",tblDowntime[[#This Row],[Equipment ID]])</f>
        <v/>
      </c>
      <c r="P1203" s="10" t="n"/>
    </row>
    <row r="1204">
      <c r="B1204">
        <f t="array" ref="B1204">_xlfn.XLOOKUP(C1204,INDIRECT("tblEquipment[Equipment ID]"),INDIRECT("tblEquipment[Production Department]"),"")</f>
        <v/>
      </c>
      <c r="D1204">
        <f t="array" ref="D1204">_xlfn.XLOOKUP(C1204,INDIRECT("tblEquipment[Equipment ID]"),INDIRECT("tblEquipment[Equipment Name]"),"")</f>
        <v/>
      </c>
      <c r="F1204" s="16" t="n"/>
      <c r="G1204" s="16" t="n"/>
      <c r="H1204" s="1">
        <f>IF(OR(F1204=0,G1204=0),"",(G1204-F1204)*24)</f>
        <v/>
      </c>
      <c r="I1204" s="10" t="n"/>
      <c r="J1204" s="1">
        <f>IF(OR(tblDowntime[[#This Row],[Failure Type]]="Sawshop",tblDowntime[[#This Row],[Failure Type]]="Electrical",tblDowntime[[#This Row],[Failure Type]]="Mechanical"),tblDowntime[[#This Row],[Downtime Hours]],"")</f>
        <v/>
      </c>
      <c r="K1204" s="10" t="n"/>
      <c r="L1204" s="10" t="n"/>
      <c r="M1204">
        <f>IF(tblDowntime[[#This Row],[Maintenance Downtime Hours]]="","",tblDowntime[[#This Row],[Equipment ID]])</f>
        <v/>
      </c>
      <c r="N1204" s="1">
        <f>IF(tblDowntime[[#This Row],[Failure Type]]="Production",tblDowntime[[#This Row],[Downtime Hours]],"")</f>
        <v/>
      </c>
      <c r="O1204">
        <f>IF(tblDowntime[[#This Row],[Production Downtime Hours]]="","",tblDowntime[[#This Row],[Equipment ID]])</f>
        <v/>
      </c>
      <c r="P1204" s="10" t="n"/>
    </row>
    <row r="1205">
      <c r="B1205">
        <f t="array" ref="B1205">_xlfn.XLOOKUP(C1205,INDIRECT("tblEquipment[Equipment ID]"),INDIRECT("tblEquipment[Production Department]"),"")</f>
        <v/>
      </c>
      <c r="D1205">
        <f t="array" ref="D1205">_xlfn.XLOOKUP(C1205,INDIRECT("tblEquipment[Equipment ID]"),INDIRECT("tblEquipment[Equipment Name]"),"")</f>
        <v/>
      </c>
      <c r="F1205" s="16" t="n"/>
      <c r="G1205" s="16" t="n"/>
      <c r="H1205" s="1">
        <f>IF(OR(F1205=0,G1205=0),"",(G1205-F1205)*24)</f>
        <v/>
      </c>
      <c r="I1205" s="10" t="n"/>
      <c r="J1205" s="1">
        <f>IF(OR(tblDowntime[[#This Row],[Failure Type]]="Sawshop",tblDowntime[[#This Row],[Failure Type]]="Electrical",tblDowntime[[#This Row],[Failure Type]]="Mechanical"),tblDowntime[[#This Row],[Downtime Hours]],"")</f>
        <v/>
      </c>
      <c r="K1205" s="10" t="n"/>
      <c r="L1205" s="10" t="n"/>
      <c r="M1205">
        <f>IF(tblDowntime[[#This Row],[Maintenance Downtime Hours]]="","",tblDowntime[[#This Row],[Equipment ID]])</f>
        <v/>
      </c>
      <c r="N1205" s="1">
        <f>IF(tblDowntime[[#This Row],[Failure Type]]="Production",tblDowntime[[#This Row],[Downtime Hours]],"")</f>
        <v/>
      </c>
      <c r="O1205">
        <f>IF(tblDowntime[[#This Row],[Production Downtime Hours]]="","",tblDowntime[[#This Row],[Equipment ID]])</f>
        <v/>
      </c>
      <c r="P1205" s="10" t="n"/>
    </row>
    <row r="1206">
      <c r="B1206">
        <f t="array" ref="B1206">_xlfn.XLOOKUP(C1206,INDIRECT("tblEquipment[Equipment ID]"),INDIRECT("tblEquipment[Production Department]"),"")</f>
        <v/>
      </c>
      <c r="D1206">
        <f t="array" ref="D1206">_xlfn.XLOOKUP(C1206,INDIRECT("tblEquipment[Equipment ID]"),INDIRECT("tblEquipment[Equipment Name]"),"")</f>
        <v/>
      </c>
      <c r="F1206" s="16" t="n"/>
      <c r="G1206" s="16" t="n"/>
      <c r="H1206" s="1">
        <f>IF(OR(F1206=0,G1206=0),"",(G1206-F1206)*24)</f>
        <v/>
      </c>
      <c r="I1206" s="10" t="n"/>
      <c r="J1206" s="1">
        <f>IF(OR(tblDowntime[[#This Row],[Failure Type]]="Sawshop",tblDowntime[[#This Row],[Failure Type]]="Electrical",tblDowntime[[#This Row],[Failure Type]]="Mechanical"),tblDowntime[[#This Row],[Downtime Hours]],"")</f>
        <v/>
      </c>
      <c r="K1206" s="10" t="n"/>
      <c r="L1206" s="10" t="n"/>
      <c r="M1206">
        <f>IF(tblDowntime[[#This Row],[Maintenance Downtime Hours]]="","",tblDowntime[[#This Row],[Equipment ID]])</f>
        <v/>
      </c>
      <c r="N1206" s="1">
        <f>IF(tblDowntime[[#This Row],[Failure Type]]="Production",tblDowntime[[#This Row],[Downtime Hours]],"")</f>
        <v/>
      </c>
      <c r="O1206">
        <f>IF(tblDowntime[[#This Row],[Production Downtime Hours]]="","",tblDowntime[[#This Row],[Equipment ID]])</f>
        <v/>
      </c>
      <c r="P1206" s="10" t="n"/>
    </row>
    <row r="1207">
      <c r="B1207">
        <f t="array" ref="B1207">_xlfn.XLOOKUP(C1207,INDIRECT("tblEquipment[Equipment ID]"),INDIRECT("tblEquipment[Production Department]"),"")</f>
        <v/>
      </c>
      <c r="D1207">
        <f t="array" ref="D1207">_xlfn.XLOOKUP(C1207,INDIRECT("tblEquipment[Equipment ID]"),INDIRECT("tblEquipment[Equipment Name]"),"")</f>
        <v/>
      </c>
      <c r="F1207" s="16" t="n"/>
      <c r="G1207" s="16" t="n"/>
      <c r="H1207" s="1">
        <f>IF(OR(F1207=0,G1207=0),"",(G1207-F1207)*24)</f>
        <v/>
      </c>
      <c r="I1207" s="10" t="n"/>
      <c r="J1207" s="1">
        <f>IF(OR(tblDowntime[[#This Row],[Failure Type]]="Sawshop",tblDowntime[[#This Row],[Failure Type]]="Electrical",tblDowntime[[#This Row],[Failure Type]]="Mechanical"),tblDowntime[[#This Row],[Downtime Hours]],"")</f>
        <v/>
      </c>
      <c r="K1207" s="10" t="n"/>
      <c r="L1207" s="10" t="n"/>
      <c r="M1207">
        <f>IF(tblDowntime[[#This Row],[Maintenance Downtime Hours]]="","",tblDowntime[[#This Row],[Equipment ID]])</f>
        <v/>
      </c>
      <c r="N1207" s="1">
        <f>IF(tblDowntime[[#This Row],[Failure Type]]="Production",tblDowntime[[#This Row],[Downtime Hours]],"")</f>
        <v/>
      </c>
      <c r="O1207">
        <f>IF(tblDowntime[[#This Row],[Production Downtime Hours]]="","",tblDowntime[[#This Row],[Equipment ID]])</f>
        <v/>
      </c>
      <c r="P1207" s="10" t="n"/>
    </row>
    <row r="1208">
      <c r="B1208">
        <f t="array" ref="B1208">_xlfn.XLOOKUP(C1208,INDIRECT("tblEquipment[Equipment ID]"),INDIRECT("tblEquipment[Production Department]"),"")</f>
        <v/>
      </c>
      <c r="D1208">
        <f t="array" ref="D1208">_xlfn.XLOOKUP(C1208,INDIRECT("tblEquipment[Equipment ID]"),INDIRECT("tblEquipment[Equipment Name]"),"")</f>
        <v/>
      </c>
      <c r="F1208" s="16" t="n"/>
      <c r="G1208" s="16" t="n"/>
      <c r="H1208" s="1">
        <f>IF(OR(F1208=0,G1208=0),"",(G1208-F1208)*24)</f>
        <v/>
      </c>
      <c r="I1208" s="10" t="n"/>
      <c r="J1208" s="1">
        <f>IF(OR(tblDowntime[[#This Row],[Failure Type]]="Sawshop",tblDowntime[[#This Row],[Failure Type]]="Electrical",tblDowntime[[#This Row],[Failure Type]]="Mechanical"),tblDowntime[[#This Row],[Downtime Hours]],"")</f>
        <v/>
      </c>
      <c r="K1208" s="10" t="n"/>
      <c r="L1208" s="10" t="n"/>
      <c r="M1208">
        <f>IF(tblDowntime[[#This Row],[Maintenance Downtime Hours]]="","",tblDowntime[[#This Row],[Equipment ID]])</f>
        <v/>
      </c>
      <c r="N1208" s="1">
        <f>IF(tblDowntime[[#This Row],[Failure Type]]="Production",tblDowntime[[#This Row],[Downtime Hours]],"")</f>
        <v/>
      </c>
      <c r="O1208">
        <f>IF(tblDowntime[[#This Row],[Production Downtime Hours]]="","",tblDowntime[[#This Row],[Equipment ID]])</f>
        <v/>
      </c>
      <c r="P1208" s="10" t="n"/>
    </row>
    <row r="1209">
      <c r="B1209">
        <f t="array" ref="B1209">_xlfn.XLOOKUP(C1209,INDIRECT("tblEquipment[Equipment ID]"),INDIRECT("tblEquipment[Production Department]"),"")</f>
        <v/>
      </c>
      <c r="D1209">
        <f t="array" ref="D1209">_xlfn.XLOOKUP(C1209,INDIRECT("tblEquipment[Equipment ID]"),INDIRECT("tblEquipment[Equipment Name]"),"")</f>
        <v/>
      </c>
      <c r="F1209" s="16" t="n"/>
      <c r="G1209" s="16" t="n"/>
      <c r="H1209" s="1">
        <f>IF(OR(F1209=0,G1209=0),"",(G1209-F1209)*24)</f>
        <v/>
      </c>
      <c r="I1209" s="10" t="n"/>
      <c r="J1209" s="1">
        <f>IF(OR(tblDowntime[[#This Row],[Failure Type]]="Sawshop",tblDowntime[[#This Row],[Failure Type]]="Electrical",tblDowntime[[#This Row],[Failure Type]]="Mechanical"),tblDowntime[[#This Row],[Downtime Hours]],"")</f>
        <v/>
      </c>
      <c r="K1209" s="10" t="n"/>
      <c r="L1209" s="10" t="n"/>
      <c r="M1209">
        <f>IF(tblDowntime[[#This Row],[Maintenance Downtime Hours]]="","",tblDowntime[[#This Row],[Equipment ID]])</f>
        <v/>
      </c>
      <c r="N1209" s="1">
        <f>IF(tblDowntime[[#This Row],[Failure Type]]="Production",tblDowntime[[#This Row],[Downtime Hours]],"")</f>
        <v/>
      </c>
      <c r="O1209">
        <f>IF(tblDowntime[[#This Row],[Production Downtime Hours]]="","",tblDowntime[[#This Row],[Equipment ID]])</f>
        <v/>
      </c>
      <c r="P1209" s="10" t="n"/>
    </row>
    <row r="1210">
      <c r="B1210">
        <f t="array" ref="B1210">_xlfn.XLOOKUP(C1210,INDIRECT("tblEquipment[Equipment ID]"),INDIRECT("tblEquipment[Production Department]"),"")</f>
        <v/>
      </c>
      <c r="D1210">
        <f t="array" ref="D1210">_xlfn.XLOOKUP(C1210,INDIRECT("tblEquipment[Equipment ID]"),INDIRECT("tblEquipment[Equipment Name]"),"")</f>
        <v/>
      </c>
      <c r="F1210" s="16" t="n"/>
      <c r="G1210" s="16" t="n"/>
      <c r="H1210" s="1">
        <f>IF(OR(F1210=0,G1210=0),"",(G1210-F1210)*24)</f>
        <v/>
      </c>
      <c r="I1210" s="10" t="n"/>
      <c r="J1210" s="1">
        <f>IF(OR(tblDowntime[[#This Row],[Failure Type]]="Sawshop",tblDowntime[[#This Row],[Failure Type]]="Electrical",tblDowntime[[#This Row],[Failure Type]]="Mechanical"),tblDowntime[[#This Row],[Downtime Hours]],"")</f>
        <v/>
      </c>
      <c r="K1210" s="10" t="n"/>
      <c r="L1210" s="10" t="n"/>
      <c r="M1210">
        <f>IF(tblDowntime[[#This Row],[Maintenance Downtime Hours]]="","",tblDowntime[[#This Row],[Equipment ID]])</f>
        <v/>
      </c>
      <c r="N1210" s="1">
        <f>IF(tblDowntime[[#This Row],[Failure Type]]="Production",tblDowntime[[#This Row],[Downtime Hours]],"")</f>
        <v/>
      </c>
      <c r="O1210">
        <f>IF(tblDowntime[[#This Row],[Production Downtime Hours]]="","",tblDowntime[[#This Row],[Equipment ID]])</f>
        <v/>
      </c>
      <c r="P1210" s="10" t="n"/>
    </row>
    <row r="1211">
      <c r="B1211">
        <f t="array" ref="B1211">_xlfn.XLOOKUP(C1211,INDIRECT("tblEquipment[Equipment ID]"),INDIRECT("tblEquipment[Production Department]"),"")</f>
        <v/>
      </c>
      <c r="D1211">
        <f t="array" ref="D1211">_xlfn.XLOOKUP(C1211,INDIRECT("tblEquipment[Equipment ID]"),INDIRECT("tblEquipment[Equipment Name]"),"")</f>
        <v/>
      </c>
      <c r="F1211" s="16" t="n"/>
      <c r="G1211" s="16" t="n"/>
      <c r="H1211" s="1">
        <f>IF(OR(F1211=0,G1211=0),"",(G1211-F1211)*24)</f>
        <v/>
      </c>
      <c r="I1211" s="10" t="n"/>
      <c r="J1211" s="1">
        <f>IF(OR(tblDowntime[[#This Row],[Failure Type]]="Sawshop",tblDowntime[[#This Row],[Failure Type]]="Electrical",tblDowntime[[#This Row],[Failure Type]]="Mechanical"),tblDowntime[[#This Row],[Downtime Hours]],"")</f>
        <v/>
      </c>
      <c r="K1211" s="10" t="n"/>
      <c r="L1211" s="10" t="n"/>
      <c r="M1211">
        <f>IF(tblDowntime[[#This Row],[Maintenance Downtime Hours]]="","",tblDowntime[[#This Row],[Equipment ID]])</f>
        <v/>
      </c>
      <c r="N1211" s="1">
        <f>IF(tblDowntime[[#This Row],[Failure Type]]="Production",tblDowntime[[#This Row],[Downtime Hours]],"")</f>
        <v/>
      </c>
      <c r="O1211">
        <f>IF(tblDowntime[[#This Row],[Production Downtime Hours]]="","",tblDowntime[[#This Row],[Equipment ID]])</f>
        <v/>
      </c>
      <c r="P1211" s="10" t="n"/>
    </row>
    <row r="1212">
      <c r="B1212">
        <f t="array" ref="B1212">_xlfn.XLOOKUP(C1212,INDIRECT("tblEquipment[Equipment ID]"),INDIRECT("tblEquipment[Production Department]"),"")</f>
        <v/>
      </c>
      <c r="D1212">
        <f t="array" ref="D1212">_xlfn.XLOOKUP(C1212,INDIRECT("tblEquipment[Equipment ID]"),INDIRECT("tblEquipment[Equipment Name]"),"")</f>
        <v/>
      </c>
      <c r="F1212" s="16" t="n"/>
      <c r="G1212" s="16" t="n"/>
      <c r="H1212" s="1">
        <f>IF(OR(F1212=0,G1212=0),"",(G1212-F1212)*24)</f>
        <v/>
      </c>
      <c r="I1212" s="10" t="n"/>
      <c r="J1212" s="1">
        <f>IF(OR(tblDowntime[[#This Row],[Failure Type]]="Sawshop",tblDowntime[[#This Row],[Failure Type]]="Electrical",tblDowntime[[#This Row],[Failure Type]]="Mechanical"),tblDowntime[[#This Row],[Downtime Hours]],"")</f>
        <v/>
      </c>
      <c r="K1212" s="10" t="n"/>
      <c r="L1212" s="10" t="n"/>
      <c r="M1212">
        <f>IF(tblDowntime[[#This Row],[Maintenance Downtime Hours]]="","",tblDowntime[[#This Row],[Equipment ID]])</f>
        <v/>
      </c>
      <c r="N1212" s="1">
        <f>IF(tblDowntime[[#This Row],[Failure Type]]="Production",tblDowntime[[#This Row],[Downtime Hours]],"")</f>
        <v/>
      </c>
      <c r="O1212">
        <f>IF(tblDowntime[[#This Row],[Production Downtime Hours]]="","",tblDowntime[[#This Row],[Equipment ID]])</f>
        <v/>
      </c>
      <c r="P1212" s="10" t="n"/>
    </row>
    <row r="1213">
      <c r="B1213">
        <f t="array" ref="B1213">_xlfn.XLOOKUP(C1213,INDIRECT("tblEquipment[Equipment ID]"),INDIRECT("tblEquipment[Production Department]"),"")</f>
        <v/>
      </c>
      <c r="D1213">
        <f t="array" ref="D1213">_xlfn.XLOOKUP(C1213,INDIRECT("tblEquipment[Equipment ID]"),INDIRECT("tblEquipment[Equipment Name]"),"")</f>
        <v/>
      </c>
      <c r="F1213" s="16" t="n"/>
      <c r="G1213" s="16" t="n"/>
      <c r="H1213" s="1">
        <f>IF(OR(F1213=0,G1213=0),"",(G1213-F1213)*24)</f>
        <v/>
      </c>
      <c r="I1213" s="10" t="n"/>
      <c r="J1213" s="1">
        <f>IF(OR(tblDowntime[[#This Row],[Failure Type]]="Sawshop",tblDowntime[[#This Row],[Failure Type]]="Electrical",tblDowntime[[#This Row],[Failure Type]]="Mechanical"),tblDowntime[[#This Row],[Downtime Hours]],"")</f>
        <v/>
      </c>
      <c r="K1213" s="10" t="n"/>
      <c r="L1213" s="10" t="n"/>
      <c r="M1213">
        <f>IF(tblDowntime[[#This Row],[Maintenance Downtime Hours]]="","",tblDowntime[[#This Row],[Equipment ID]])</f>
        <v/>
      </c>
      <c r="N1213" s="1">
        <f>IF(tblDowntime[[#This Row],[Failure Type]]="Production",tblDowntime[[#This Row],[Downtime Hours]],"")</f>
        <v/>
      </c>
      <c r="O1213">
        <f>IF(tblDowntime[[#This Row],[Production Downtime Hours]]="","",tblDowntime[[#This Row],[Equipment ID]])</f>
        <v/>
      </c>
      <c r="P1213" s="10" t="n"/>
    </row>
    <row r="1214">
      <c r="B1214">
        <f t="array" ref="B1214">_xlfn.XLOOKUP(C1214,INDIRECT("tblEquipment[Equipment ID]"),INDIRECT("tblEquipment[Production Department]"),"")</f>
        <v/>
      </c>
      <c r="D1214">
        <f t="array" ref="D1214">_xlfn.XLOOKUP(C1214,INDIRECT("tblEquipment[Equipment ID]"),INDIRECT("tblEquipment[Equipment Name]"),"")</f>
        <v/>
      </c>
      <c r="F1214" s="16" t="n"/>
      <c r="G1214" s="16" t="n"/>
      <c r="H1214" s="1">
        <f>IF(OR(F1214=0,G1214=0),"",(G1214-F1214)*24)</f>
        <v/>
      </c>
      <c r="I1214" s="10" t="n"/>
      <c r="J1214" s="1">
        <f>IF(OR(tblDowntime[[#This Row],[Failure Type]]="Sawshop",tblDowntime[[#This Row],[Failure Type]]="Electrical",tblDowntime[[#This Row],[Failure Type]]="Mechanical"),tblDowntime[[#This Row],[Downtime Hours]],"")</f>
        <v/>
      </c>
      <c r="K1214" s="10" t="n"/>
      <c r="L1214" s="10" t="n"/>
      <c r="M1214">
        <f>IF(tblDowntime[[#This Row],[Maintenance Downtime Hours]]="","",tblDowntime[[#This Row],[Equipment ID]])</f>
        <v/>
      </c>
      <c r="N1214" s="1">
        <f>IF(tblDowntime[[#This Row],[Failure Type]]="Production",tblDowntime[[#This Row],[Downtime Hours]],"")</f>
        <v/>
      </c>
      <c r="O1214">
        <f>IF(tblDowntime[[#This Row],[Production Downtime Hours]]="","",tblDowntime[[#This Row],[Equipment ID]])</f>
        <v/>
      </c>
      <c r="P1214" s="10" t="n"/>
    </row>
    <row r="1215">
      <c r="B1215">
        <f t="array" ref="B1215">_xlfn.XLOOKUP(C1215,INDIRECT("tblEquipment[Equipment ID]"),INDIRECT("tblEquipment[Production Department]"),"")</f>
        <v/>
      </c>
      <c r="D1215">
        <f t="array" ref="D1215">_xlfn.XLOOKUP(C1215,INDIRECT("tblEquipment[Equipment ID]"),INDIRECT("tblEquipment[Equipment Name]"),"")</f>
        <v/>
      </c>
      <c r="F1215" s="16" t="n"/>
      <c r="G1215" s="16" t="n"/>
      <c r="H1215" s="1">
        <f>IF(OR(F1215=0,G1215=0),"",(G1215-F1215)*24)</f>
        <v/>
      </c>
      <c r="I1215" s="10" t="n"/>
      <c r="J1215" s="1">
        <f>IF(OR(tblDowntime[[#This Row],[Failure Type]]="Sawshop",tblDowntime[[#This Row],[Failure Type]]="Electrical",tblDowntime[[#This Row],[Failure Type]]="Mechanical"),tblDowntime[[#This Row],[Downtime Hours]],"")</f>
        <v/>
      </c>
      <c r="K1215" s="10" t="n"/>
      <c r="L1215" s="10" t="n"/>
      <c r="M1215">
        <f>IF(tblDowntime[[#This Row],[Maintenance Downtime Hours]]="","",tblDowntime[[#This Row],[Equipment ID]])</f>
        <v/>
      </c>
      <c r="N1215" s="1">
        <f>IF(tblDowntime[[#This Row],[Failure Type]]="Production",tblDowntime[[#This Row],[Downtime Hours]],"")</f>
        <v/>
      </c>
      <c r="O1215">
        <f>IF(tblDowntime[[#This Row],[Production Downtime Hours]]="","",tblDowntime[[#This Row],[Equipment ID]])</f>
        <v/>
      </c>
      <c r="P1215" s="10" t="n"/>
    </row>
    <row r="1216">
      <c r="B1216">
        <f t="array" ref="B1216">_xlfn.XLOOKUP(C1216,INDIRECT("tblEquipment[Equipment ID]"),INDIRECT("tblEquipment[Production Department]"),"")</f>
        <v/>
      </c>
      <c r="D1216">
        <f t="array" ref="D1216">_xlfn.XLOOKUP(C1216,INDIRECT("tblEquipment[Equipment ID]"),INDIRECT("tblEquipment[Equipment Name]"),"")</f>
        <v/>
      </c>
      <c r="F1216" s="16" t="n"/>
      <c r="G1216" s="16" t="n"/>
      <c r="H1216" s="1">
        <f>IF(OR(F1216=0,G1216=0),"",(G1216-F1216)*24)</f>
        <v/>
      </c>
      <c r="I1216" s="10" t="n"/>
      <c r="J1216" s="1">
        <f>IF(OR(tblDowntime[[#This Row],[Failure Type]]="Sawshop",tblDowntime[[#This Row],[Failure Type]]="Electrical",tblDowntime[[#This Row],[Failure Type]]="Mechanical"),tblDowntime[[#This Row],[Downtime Hours]],"")</f>
        <v/>
      </c>
      <c r="K1216" s="10" t="n"/>
      <c r="L1216" s="10" t="n"/>
      <c r="M1216">
        <f>IF(tblDowntime[[#This Row],[Maintenance Downtime Hours]]="","",tblDowntime[[#This Row],[Equipment ID]])</f>
        <v/>
      </c>
      <c r="N1216" s="1">
        <f>IF(tblDowntime[[#This Row],[Failure Type]]="Production",tblDowntime[[#This Row],[Downtime Hours]],"")</f>
        <v/>
      </c>
      <c r="O1216">
        <f>IF(tblDowntime[[#This Row],[Production Downtime Hours]]="","",tblDowntime[[#This Row],[Equipment ID]])</f>
        <v/>
      </c>
      <c r="P1216" s="10" t="n"/>
    </row>
    <row r="1217">
      <c r="B1217">
        <f t="array" ref="B1217">_xlfn.XLOOKUP(C1217,INDIRECT("tblEquipment[Equipment ID]"),INDIRECT("tblEquipment[Production Department]"),"")</f>
        <v/>
      </c>
      <c r="D1217">
        <f t="array" ref="D1217">_xlfn.XLOOKUP(C1217,INDIRECT("tblEquipment[Equipment ID]"),INDIRECT("tblEquipment[Equipment Name]"),"")</f>
        <v/>
      </c>
      <c r="F1217" s="16" t="n"/>
      <c r="G1217" s="16" t="n"/>
      <c r="H1217" s="1">
        <f>IF(OR(F1217=0,G1217=0),"",(G1217-F1217)*24)</f>
        <v/>
      </c>
      <c r="I1217" s="10" t="n"/>
      <c r="J1217" s="1">
        <f>IF(OR(tblDowntime[[#This Row],[Failure Type]]="Sawshop",tblDowntime[[#This Row],[Failure Type]]="Electrical",tblDowntime[[#This Row],[Failure Type]]="Mechanical"),tblDowntime[[#This Row],[Downtime Hours]],"")</f>
        <v/>
      </c>
      <c r="K1217" s="10" t="n"/>
      <c r="L1217" s="10" t="n"/>
      <c r="M1217">
        <f>IF(tblDowntime[[#This Row],[Maintenance Downtime Hours]]="","",tblDowntime[[#This Row],[Equipment ID]])</f>
        <v/>
      </c>
      <c r="N1217" s="1">
        <f>IF(tblDowntime[[#This Row],[Failure Type]]="Production",tblDowntime[[#This Row],[Downtime Hours]],"")</f>
        <v/>
      </c>
      <c r="O1217">
        <f>IF(tblDowntime[[#This Row],[Production Downtime Hours]]="","",tblDowntime[[#This Row],[Equipment ID]])</f>
        <v/>
      </c>
      <c r="P1217" s="10" t="n"/>
    </row>
    <row r="1218">
      <c r="B1218">
        <f t="array" ref="B1218">_xlfn.XLOOKUP(C1218,INDIRECT("tblEquipment[Equipment ID]"),INDIRECT("tblEquipment[Production Department]"),"")</f>
        <v/>
      </c>
      <c r="D1218">
        <f t="array" ref="D1218">_xlfn.XLOOKUP(C1218,INDIRECT("tblEquipment[Equipment ID]"),INDIRECT("tblEquipment[Equipment Name]"),"")</f>
        <v/>
      </c>
      <c r="F1218" s="16" t="n"/>
      <c r="G1218" s="16" t="n"/>
      <c r="H1218" s="1">
        <f>IF(OR(F1218=0,G1218=0),"",(G1218-F1218)*24)</f>
        <v/>
      </c>
      <c r="I1218" s="10" t="n"/>
      <c r="J1218" s="1">
        <f>IF(OR(tblDowntime[[#This Row],[Failure Type]]="Sawshop",tblDowntime[[#This Row],[Failure Type]]="Electrical",tblDowntime[[#This Row],[Failure Type]]="Mechanical"),tblDowntime[[#This Row],[Downtime Hours]],"")</f>
        <v/>
      </c>
      <c r="K1218" s="10" t="n"/>
      <c r="L1218" s="10" t="n"/>
      <c r="M1218">
        <f>IF(tblDowntime[[#This Row],[Maintenance Downtime Hours]]="","",tblDowntime[[#This Row],[Equipment ID]])</f>
        <v/>
      </c>
      <c r="N1218" s="1">
        <f>IF(tblDowntime[[#This Row],[Failure Type]]="Production",tblDowntime[[#This Row],[Downtime Hours]],"")</f>
        <v/>
      </c>
      <c r="O1218">
        <f>IF(tblDowntime[[#This Row],[Production Downtime Hours]]="","",tblDowntime[[#This Row],[Equipment ID]])</f>
        <v/>
      </c>
      <c r="P1218" s="10" t="n"/>
    </row>
    <row r="1219">
      <c r="B1219">
        <f t="array" ref="B1219">_xlfn.XLOOKUP(C1219,INDIRECT("tblEquipment[Equipment ID]"),INDIRECT("tblEquipment[Production Department]"),"")</f>
        <v/>
      </c>
      <c r="D1219">
        <f t="array" ref="D1219">_xlfn.XLOOKUP(C1219,INDIRECT("tblEquipment[Equipment ID]"),INDIRECT("tblEquipment[Equipment Name]"),"")</f>
        <v/>
      </c>
      <c r="F1219" s="16" t="n"/>
      <c r="G1219" s="16" t="n"/>
      <c r="H1219" s="1">
        <f>IF(OR(F1219=0,G1219=0),"",(G1219-F1219)*24)</f>
        <v/>
      </c>
      <c r="I1219" s="10" t="n"/>
      <c r="J1219" s="1">
        <f>IF(OR(tblDowntime[[#This Row],[Failure Type]]="Sawshop",tblDowntime[[#This Row],[Failure Type]]="Electrical",tblDowntime[[#This Row],[Failure Type]]="Mechanical"),tblDowntime[[#This Row],[Downtime Hours]],"")</f>
        <v/>
      </c>
      <c r="K1219" s="10" t="n"/>
      <c r="L1219" s="10" t="n"/>
      <c r="M1219">
        <f>IF(tblDowntime[[#This Row],[Maintenance Downtime Hours]]="","",tblDowntime[[#This Row],[Equipment ID]])</f>
        <v/>
      </c>
      <c r="N1219" s="1">
        <f>IF(tblDowntime[[#This Row],[Failure Type]]="Production",tblDowntime[[#This Row],[Downtime Hours]],"")</f>
        <v/>
      </c>
      <c r="O1219">
        <f>IF(tblDowntime[[#This Row],[Production Downtime Hours]]="","",tblDowntime[[#This Row],[Equipment ID]])</f>
        <v/>
      </c>
      <c r="P1219" s="10" t="n"/>
    </row>
    <row r="1220">
      <c r="B1220">
        <f t="array" ref="B1220">_xlfn.XLOOKUP(C1220,INDIRECT("tblEquipment[Equipment ID]"),INDIRECT("tblEquipment[Production Department]"),"")</f>
        <v/>
      </c>
      <c r="D1220">
        <f t="array" ref="D1220">_xlfn.XLOOKUP(C1220,INDIRECT("tblEquipment[Equipment ID]"),INDIRECT("tblEquipment[Equipment Name]"),"")</f>
        <v/>
      </c>
      <c r="F1220" s="16" t="n"/>
      <c r="G1220" s="16" t="n"/>
      <c r="H1220" s="1">
        <f>IF(OR(F1220=0,G1220=0),"",(G1220-F1220)*24)</f>
        <v/>
      </c>
      <c r="I1220" s="10" t="n"/>
      <c r="J1220" s="1">
        <f>IF(OR(tblDowntime[[#This Row],[Failure Type]]="Sawshop",tblDowntime[[#This Row],[Failure Type]]="Electrical",tblDowntime[[#This Row],[Failure Type]]="Mechanical"),tblDowntime[[#This Row],[Downtime Hours]],"")</f>
        <v/>
      </c>
      <c r="K1220" s="10" t="n"/>
      <c r="L1220" s="10" t="n"/>
      <c r="M1220">
        <f>IF(tblDowntime[[#This Row],[Maintenance Downtime Hours]]="","",tblDowntime[[#This Row],[Equipment ID]])</f>
        <v/>
      </c>
      <c r="N1220" s="1">
        <f>IF(tblDowntime[[#This Row],[Failure Type]]="Production",tblDowntime[[#This Row],[Downtime Hours]],"")</f>
        <v/>
      </c>
      <c r="O1220">
        <f>IF(tblDowntime[[#This Row],[Production Downtime Hours]]="","",tblDowntime[[#This Row],[Equipment ID]])</f>
        <v/>
      </c>
      <c r="P1220" s="10" t="n"/>
    </row>
    <row r="1221">
      <c r="B1221">
        <f t="array" ref="B1221">_xlfn.XLOOKUP(C1221,INDIRECT("tblEquipment[Equipment ID]"),INDIRECT("tblEquipment[Production Department]"),"")</f>
        <v/>
      </c>
      <c r="D1221">
        <f t="array" ref="D1221">_xlfn.XLOOKUP(C1221,INDIRECT("tblEquipment[Equipment ID]"),INDIRECT("tblEquipment[Equipment Name]"),"")</f>
        <v/>
      </c>
      <c r="F1221" s="16" t="n"/>
      <c r="G1221" s="16" t="n"/>
      <c r="H1221" s="1">
        <f>IF(OR(F1221=0,G1221=0),"",(G1221-F1221)*24)</f>
        <v/>
      </c>
      <c r="I1221" s="10" t="n"/>
      <c r="J1221" s="1">
        <f>IF(OR(tblDowntime[[#This Row],[Failure Type]]="Sawshop",tblDowntime[[#This Row],[Failure Type]]="Electrical",tblDowntime[[#This Row],[Failure Type]]="Mechanical"),tblDowntime[[#This Row],[Downtime Hours]],"")</f>
        <v/>
      </c>
      <c r="K1221" s="10" t="n"/>
      <c r="L1221" s="10" t="n"/>
      <c r="M1221">
        <f>IF(tblDowntime[[#This Row],[Maintenance Downtime Hours]]="","",tblDowntime[[#This Row],[Equipment ID]])</f>
        <v/>
      </c>
      <c r="N1221" s="1">
        <f>IF(tblDowntime[[#This Row],[Failure Type]]="Production",tblDowntime[[#This Row],[Downtime Hours]],"")</f>
        <v/>
      </c>
      <c r="O1221">
        <f>IF(tblDowntime[[#This Row],[Production Downtime Hours]]="","",tblDowntime[[#This Row],[Equipment ID]])</f>
        <v/>
      </c>
      <c r="P1221" s="10" t="n"/>
    </row>
    <row r="1222">
      <c r="B1222">
        <f t="array" ref="B1222">_xlfn.XLOOKUP(C1222,INDIRECT("tblEquipment[Equipment ID]"),INDIRECT("tblEquipment[Production Department]"),"")</f>
        <v/>
      </c>
      <c r="D1222">
        <f t="array" ref="D1222">_xlfn.XLOOKUP(C1222,INDIRECT("tblEquipment[Equipment ID]"),INDIRECT("tblEquipment[Equipment Name]"),"")</f>
        <v/>
      </c>
      <c r="F1222" s="16" t="n"/>
      <c r="G1222" s="16" t="n"/>
      <c r="H1222" s="1">
        <f>IF(OR(F1222=0,G1222=0),"",(G1222-F1222)*24)</f>
        <v/>
      </c>
      <c r="I1222" s="10" t="n"/>
      <c r="J1222" s="1">
        <f>IF(OR(tblDowntime[[#This Row],[Failure Type]]="Sawshop",tblDowntime[[#This Row],[Failure Type]]="Electrical",tblDowntime[[#This Row],[Failure Type]]="Mechanical"),tblDowntime[[#This Row],[Downtime Hours]],"")</f>
        <v/>
      </c>
      <c r="K1222" s="10" t="n"/>
      <c r="L1222" s="10" t="n"/>
      <c r="M1222">
        <f>IF(tblDowntime[[#This Row],[Maintenance Downtime Hours]]="","",tblDowntime[[#This Row],[Equipment ID]])</f>
        <v/>
      </c>
      <c r="N1222" s="1">
        <f>IF(tblDowntime[[#This Row],[Failure Type]]="Production",tblDowntime[[#This Row],[Downtime Hours]],"")</f>
        <v/>
      </c>
      <c r="O1222">
        <f>IF(tblDowntime[[#This Row],[Production Downtime Hours]]="","",tblDowntime[[#This Row],[Equipment ID]])</f>
        <v/>
      </c>
      <c r="P1222" s="10" t="n"/>
    </row>
    <row r="1223">
      <c r="B1223">
        <f t="array" ref="B1223">_xlfn.XLOOKUP(C1223,INDIRECT("tblEquipment[Equipment ID]"),INDIRECT("tblEquipment[Production Department]"),"")</f>
        <v/>
      </c>
      <c r="D1223">
        <f t="array" ref="D1223">_xlfn.XLOOKUP(C1223,INDIRECT("tblEquipment[Equipment ID]"),INDIRECT("tblEquipment[Equipment Name]"),"")</f>
        <v/>
      </c>
      <c r="F1223" s="16" t="n"/>
      <c r="G1223" s="16" t="n"/>
      <c r="H1223" s="1">
        <f>IF(OR(F1223=0,G1223=0),"",(G1223-F1223)*24)</f>
        <v/>
      </c>
      <c r="I1223" s="10" t="n"/>
      <c r="J1223" s="1">
        <f>IF(OR(tblDowntime[[#This Row],[Failure Type]]="Sawshop",tblDowntime[[#This Row],[Failure Type]]="Electrical",tblDowntime[[#This Row],[Failure Type]]="Mechanical"),tblDowntime[[#This Row],[Downtime Hours]],"")</f>
        <v/>
      </c>
      <c r="K1223" s="10" t="n"/>
      <c r="L1223" s="10" t="n"/>
      <c r="M1223">
        <f>IF(tblDowntime[[#This Row],[Maintenance Downtime Hours]]="","",tblDowntime[[#This Row],[Equipment ID]])</f>
        <v/>
      </c>
      <c r="N1223" s="1">
        <f>IF(tblDowntime[[#This Row],[Failure Type]]="Production",tblDowntime[[#This Row],[Downtime Hours]],"")</f>
        <v/>
      </c>
      <c r="O1223">
        <f>IF(tblDowntime[[#This Row],[Production Downtime Hours]]="","",tblDowntime[[#This Row],[Equipment ID]])</f>
        <v/>
      </c>
      <c r="P1223" s="10" t="n"/>
    </row>
    <row r="1224">
      <c r="B1224">
        <f t="array" ref="B1224">_xlfn.XLOOKUP(C1224,INDIRECT("tblEquipment[Equipment ID]"),INDIRECT("tblEquipment[Production Department]"),"")</f>
        <v/>
      </c>
      <c r="D1224">
        <f t="array" ref="D1224">_xlfn.XLOOKUP(C1224,INDIRECT("tblEquipment[Equipment ID]"),INDIRECT("tblEquipment[Equipment Name]"),"")</f>
        <v/>
      </c>
      <c r="F1224" s="16" t="n"/>
      <c r="G1224" s="16" t="n"/>
      <c r="H1224" s="1">
        <f>IF(OR(F1224=0,G1224=0),"",(G1224-F1224)*24)</f>
        <v/>
      </c>
      <c r="I1224" s="10" t="n"/>
      <c r="J1224" s="1">
        <f>IF(OR(tblDowntime[[#This Row],[Failure Type]]="Sawshop",tblDowntime[[#This Row],[Failure Type]]="Electrical",tblDowntime[[#This Row],[Failure Type]]="Mechanical"),tblDowntime[[#This Row],[Downtime Hours]],"")</f>
        <v/>
      </c>
      <c r="K1224" s="10" t="n"/>
      <c r="L1224" s="10" t="n"/>
      <c r="M1224">
        <f>IF(tblDowntime[[#This Row],[Maintenance Downtime Hours]]="","",tblDowntime[[#This Row],[Equipment ID]])</f>
        <v/>
      </c>
      <c r="N1224" s="1">
        <f>IF(tblDowntime[[#This Row],[Failure Type]]="Production",tblDowntime[[#This Row],[Downtime Hours]],"")</f>
        <v/>
      </c>
      <c r="O1224">
        <f>IF(tblDowntime[[#This Row],[Production Downtime Hours]]="","",tblDowntime[[#This Row],[Equipment ID]])</f>
        <v/>
      </c>
      <c r="P1224" s="10" t="n"/>
    </row>
    <row r="1225">
      <c r="B1225">
        <f t="array" ref="B1225">_xlfn.XLOOKUP(C1225,INDIRECT("tblEquipment[Equipment ID]"),INDIRECT("tblEquipment[Production Department]"),"")</f>
        <v/>
      </c>
      <c r="D1225">
        <f t="array" ref="D1225">_xlfn.XLOOKUP(C1225,INDIRECT("tblEquipment[Equipment ID]"),INDIRECT("tblEquipment[Equipment Name]"),"")</f>
        <v/>
      </c>
      <c r="F1225" s="16" t="n"/>
      <c r="G1225" s="16" t="n"/>
      <c r="H1225" s="1">
        <f>IF(OR(F1225=0,G1225=0),"",(G1225-F1225)*24)</f>
        <v/>
      </c>
      <c r="I1225" s="10" t="n"/>
      <c r="J1225" s="1">
        <f>IF(OR(tblDowntime[[#This Row],[Failure Type]]="Sawshop",tblDowntime[[#This Row],[Failure Type]]="Electrical",tblDowntime[[#This Row],[Failure Type]]="Mechanical"),tblDowntime[[#This Row],[Downtime Hours]],"")</f>
        <v/>
      </c>
      <c r="K1225" s="10" t="n"/>
      <c r="L1225" s="10" t="n"/>
      <c r="M1225">
        <f>IF(tblDowntime[[#This Row],[Maintenance Downtime Hours]]="","",tblDowntime[[#This Row],[Equipment ID]])</f>
        <v/>
      </c>
      <c r="N1225" s="1">
        <f>IF(tblDowntime[[#This Row],[Failure Type]]="Production",tblDowntime[[#This Row],[Downtime Hours]],"")</f>
        <v/>
      </c>
      <c r="O1225">
        <f>IF(tblDowntime[[#This Row],[Production Downtime Hours]]="","",tblDowntime[[#This Row],[Equipment ID]])</f>
        <v/>
      </c>
      <c r="P1225" s="10" t="n"/>
    </row>
    <row r="1226">
      <c r="B1226">
        <f t="array" ref="B1226">_xlfn.XLOOKUP(C1226,INDIRECT("tblEquipment[Equipment ID]"),INDIRECT("tblEquipment[Production Department]"),"")</f>
        <v/>
      </c>
      <c r="D1226">
        <f t="array" ref="D1226">_xlfn.XLOOKUP(C1226,INDIRECT("tblEquipment[Equipment ID]"),INDIRECT("tblEquipment[Equipment Name]"),"")</f>
        <v/>
      </c>
      <c r="F1226" s="16" t="n"/>
      <c r="G1226" s="16" t="n"/>
      <c r="H1226" s="1">
        <f>IF(OR(F1226=0,G1226=0),"",(G1226-F1226)*24)</f>
        <v/>
      </c>
      <c r="I1226" s="10" t="n"/>
      <c r="J1226" s="1">
        <f>IF(OR(tblDowntime[[#This Row],[Failure Type]]="Sawshop",tblDowntime[[#This Row],[Failure Type]]="Electrical",tblDowntime[[#This Row],[Failure Type]]="Mechanical"),tblDowntime[[#This Row],[Downtime Hours]],"")</f>
        <v/>
      </c>
      <c r="K1226" s="10" t="n"/>
      <c r="L1226" s="10" t="n"/>
      <c r="M1226">
        <f>IF(tblDowntime[[#This Row],[Maintenance Downtime Hours]]="","",tblDowntime[[#This Row],[Equipment ID]])</f>
        <v/>
      </c>
      <c r="N1226" s="1">
        <f>IF(tblDowntime[[#This Row],[Failure Type]]="Production",tblDowntime[[#This Row],[Downtime Hours]],"")</f>
        <v/>
      </c>
      <c r="O1226">
        <f>IF(tblDowntime[[#This Row],[Production Downtime Hours]]="","",tblDowntime[[#This Row],[Equipment ID]])</f>
        <v/>
      </c>
      <c r="P1226" s="10" t="n"/>
    </row>
    <row r="1227">
      <c r="B1227">
        <f t="array" ref="B1227">_xlfn.XLOOKUP(C1227,INDIRECT("tblEquipment[Equipment ID]"),INDIRECT("tblEquipment[Production Department]"),"")</f>
        <v/>
      </c>
      <c r="D1227">
        <f t="array" ref="D1227">_xlfn.XLOOKUP(C1227,INDIRECT("tblEquipment[Equipment ID]"),INDIRECT("tblEquipment[Equipment Name]"),"")</f>
        <v/>
      </c>
      <c r="F1227" s="16" t="n"/>
      <c r="G1227" s="16" t="n"/>
      <c r="H1227" s="1">
        <f>IF(OR(F1227=0,G1227=0),"",(G1227-F1227)*24)</f>
        <v/>
      </c>
      <c r="I1227" s="10" t="n"/>
      <c r="J1227" s="1">
        <f>IF(OR(tblDowntime[[#This Row],[Failure Type]]="Sawshop",tblDowntime[[#This Row],[Failure Type]]="Electrical",tblDowntime[[#This Row],[Failure Type]]="Mechanical"),tblDowntime[[#This Row],[Downtime Hours]],"")</f>
        <v/>
      </c>
      <c r="K1227" s="10" t="n"/>
      <c r="L1227" s="10" t="n"/>
      <c r="M1227">
        <f>IF(tblDowntime[[#This Row],[Maintenance Downtime Hours]]="","",tblDowntime[[#This Row],[Equipment ID]])</f>
        <v/>
      </c>
      <c r="N1227" s="1">
        <f>IF(tblDowntime[[#This Row],[Failure Type]]="Production",tblDowntime[[#This Row],[Downtime Hours]],"")</f>
        <v/>
      </c>
      <c r="O1227">
        <f>IF(tblDowntime[[#This Row],[Production Downtime Hours]]="","",tblDowntime[[#This Row],[Equipment ID]])</f>
        <v/>
      </c>
      <c r="P1227" s="10" t="n"/>
    </row>
    <row r="1228">
      <c r="B1228">
        <f t="array" ref="B1228">_xlfn.XLOOKUP(C1228,INDIRECT("tblEquipment[Equipment ID]"),INDIRECT("tblEquipment[Production Department]"),"")</f>
        <v/>
      </c>
      <c r="D1228">
        <f t="array" ref="D1228">_xlfn.XLOOKUP(C1228,INDIRECT("tblEquipment[Equipment ID]"),INDIRECT("tblEquipment[Equipment Name]"),"")</f>
        <v/>
      </c>
      <c r="F1228" s="16" t="n"/>
      <c r="G1228" s="16" t="n"/>
      <c r="H1228" s="1">
        <f>IF(OR(F1228=0,G1228=0),"",(G1228-F1228)*24)</f>
        <v/>
      </c>
      <c r="I1228" s="10" t="n"/>
      <c r="J1228" s="1">
        <f>IF(OR(tblDowntime[[#This Row],[Failure Type]]="Sawshop",tblDowntime[[#This Row],[Failure Type]]="Electrical",tblDowntime[[#This Row],[Failure Type]]="Mechanical"),tblDowntime[[#This Row],[Downtime Hours]],"")</f>
        <v/>
      </c>
      <c r="K1228" s="10" t="n"/>
      <c r="L1228" s="10" t="n"/>
      <c r="M1228">
        <f>IF(tblDowntime[[#This Row],[Maintenance Downtime Hours]]="","",tblDowntime[[#This Row],[Equipment ID]])</f>
        <v/>
      </c>
      <c r="N1228" s="1">
        <f>IF(tblDowntime[[#This Row],[Failure Type]]="Production",tblDowntime[[#This Row],[Downtime Hours]],"")</f>
        <v/>
      </c>
      <c r="O1228">
        <f>IF(tblDowntime[[#This Row],[Production Downtime Hours]]="","",tblDowntime[[#This Row],[Equipment ID]])</f>
        <v/>
      </c>
      <c r="P1228" s="10" t="n"/>
    </row>
    <row r="1229">
      <c r="B1229">
        <f t="array" ref="B1229">_xlfn.XLOOKUP(C1229,INDIRECT("tblEquipment[Equipment ID]"),INDIRECT("tblEquipment[Production Department]"),"")</f>
        <v/>
      </c>
      <c r="D1229">
        <f t="array" ref="D1229">_xlfn.XLOOKUP(C1229,INDIRECT("tblEquipment[Equipment ID]"),INDIRECT("tblEquipment[Equipment Name]"),"")</f>
        <v/>
      </c>
      <c r="F1229" s="16" t="n"/>
      <c r="G1229" s="16" t="n"/>
      <c r="H1229" s="1">
        <f>IF(OR(F1229=0,G1229=0),"",(G1229-F1229)*24)</f>
        <v/>
      </c>
      <c r="I1229" s="10" t="n"/>
      <c r="J1229" s="1">
        <f>IF(OR(tblDowntime[[#This Row],[Failure Type]]="Sawshop",tblDowntime[[#This Row],[Failure Type]]="Electrical",tblDowntime[[#This Row],[Failure Type]]="Mechanical"),tblDowntime[[#This Row],[Downtime Hours]],"")</f>
        <v/>
      </c>
      <c r="K1229" s="10" t="n"/>
      <c r="L1229" s="10" t="n"/>
      <c r="M1229">
        <f>IF(tblDowntime[[#This Row],[Maintenance Downtime Hours]]="","",tblDowntime[[#This Row],[Equipment ID]])</f>
        <v/>
      </c>
      <c r="N1229" s="1">
        <f>IF(tblDowntime[[#This Row],[Failure Type]]="Production",tblDowntime[[#This Row],[Downtime Hours]],"")</f>
        <v/>
      </c>
      <c r="O1229">
        <f>IF(tblDowntime[[#This Row],[Production Downtime Hours]]="","",tblDowntime[[#This Row],[Equipment ID]])</f>
        <v/>
      </c>
      <c r="P1229" s="10" t="n"/>
    </row>
    <row r="1230">
      <c r="B1230">
        <f t="array" ref="B1230">_xlfn.XLOOKUP(C1230,INDIRECT("tblEquipment[Equipment ID]"),INDIRECT("tblEquipment[Production Department]"),"")</f>
        <v/>
      </c>
      <c r="D1230">
        <f t="array" ref="D1230">_xlfn.XLOOKUP(C1230,INDIRECT("tblEquipment[Equipment ID]"),INDIRECT("tblEquipment[Equipment Name]"),"")</f>
        <v/>
      </c>
      <c r="F1230" s="16" t="n"/>
      <c r="G1230" s="16" t="n"/>
      <c r="H1230" s="1">
        <f>IF(OR(F1230=0,G1230=0),"",(G1230-F1230)*24)</f>
        <v/>
      </c>
      <c r="I1230" s="10" t="n"/>
      <c r="J1230" s="1">
        <f>IF(OR(tblDowntime[[#This Row],[Failure Type]]="Sawshop",tblDowntime[[#This Row],[Failure Type]]="Electrical",tblDowntime[[#This Row],[Failure Type]]="Mechanical"),tblDowntime[[#This Row],[Downtime Hours]],"")</f>
        <v/>
      </c>
      <c r="K1230" s="10" t="n"/>
      <c r="L1230" s="10" t="n"/>
      <c r="M1230">
        <f>IF(tblDowntime[[#This Row],[Maintenance Downtime Hours]]="","",tblDowntime[[#This Row],[Equipment ID]])</f>
        <v/>
      </c>
      <c r="N1230" s="1">
        <f>IF(tblDowntime[[#This Row],[Failure Type]]="Production",tblDowntime[[#This Row],[Downtime Hours]],"")</f>
        <v/>
      </c>
      <c r="O1230">
        <f>IF(tblDowntime[[#This Row],[Production Downtime Hours]]="","",tblDowntime[[#This Row],[Equipment ID]])</f>
        <v/>
      </c>
      <c r="P1230" s="10" t="n"/>
    </row>
    <row r="1231">
      <c r="B1231">
        <f t="array" ref="B1231">_xlfn.XLOOKUP(C1231,INDIRECT("tblEquipment[Equipment ID]"),INDIRECT("tblEquipment[Production Department]"),"")</f>
        <v/>
      </c>
      <c r="D1231">
        <f t="array" ref="D1231">_xlfn.XLOOKUP(C1231,INDIRECT("tblEquipment[Equipment ID]"),INDIRECT("tblEquipment[Equipment Name]"),"")</f>
        <v/>
      </c>
      <c r="F1231" s="16" t="n"/>
      <c r="G1231" s="16" t="n"/>
      <c r="H1231" s="1">
        <f>IF(OR(F1231=0,G1231=0),"",(G1231-F1231)*24)</f>
        <v/>
      </c>
      <c r="I1231" s="10" t="n"/>
      <c r="J1231" s="1">
        <f>IF(OR(tblDowntime[[#This Row],[Failure Type]]="Sawshop",tblDowntime[[#This Row],[Failure Type]]="Electrical",tblDowntime[[#This Row],[Failure Type]]="Mechanical"),tblDowntime[[#This Row],[Downtime Hours]],"")</f>
        <v/>
      </c>
      <c r="K1231" s="10" t="n"/>
      <c r="L1231" s="10" t="n"/>
      <c r="M1231">
        <f>IF(tblDowntime[[#This Row],[Maintenance Downtime Hours]]="","",tblDowntime[[#This Row],[Equipment ID]])</f>
        <v/>
      </c>
      <c r="N1231" s="1">
        <f>IF(tblDowntime[[#This Row],[Failure Type]]="Production",tblDowntime[[#This Row],[Downtime Hours]],"")</f>
        <v/>
      </c>
      <c r="O1231">
        <f>IF(tblDowntime[[#This Row],[Production Downtime Hours]]="","",tblDowntime[[#This Row],[Equipment ID]])</f>
        <v/>
      </c>
      <c r="P1231" s="10" t="n"/>
    </row>
    <row r="1232">
      <c r="B1232">
        <f t="array" ref="B1232">_xlfn.XLOOKUP(C1232,INDIRECT("tblEquipment[Equipment ID]"),INDIRECT("tblEquipment[Production Department]"),"")</f>
        <v/>
      </c>
      <c r="D1232">
        <f t="array" ref="D1232">_xlfn.XLOOKUP(C1232,INDIRECT("tblEquipment[Equipment ID]"),INDIRECT("tblEquipment[Equipment Name]"),"")</f>
        <v/>
      </c>
      <c r="F1232" s="16" t="n"/>
      <c r="G1232" s="16" t="n"/>
      <c r="H1232" s="1">
        <f>IF(OR(F1232=0,G1232=0),"",(G1232-F1232)*24)</f>
        <v/>
      </c>
      <c r="I1232" s="10" t="n"/>
      <c r="J1232" s="1">
        <f>IF(OR(tblDowntime[[#This Row],[Failure Type]]="Sawshop",tblDowntime[[#This Row],[Failure Type]]="Electrical",tblDowntime[[#This Row],[Failure Type]]="Mechanical"),tblDowntime[[#This Row],[Downtime Hours]],"")</f>
        <v/>
      </c>
      <c r="K1232" s="10" t="n"/>
      <c r="L1232" s="10" t="n"/>
      <c r="M1232">
        <f>IF(tblDowntime[[#This Row],[Maintenance Downtime Hours]]="","",tblDowntime[[#This Row],[Equipment ID]])</f>
        <v/>
      </c>
      <c r="N1232" s="1">
        <f>IF(tblDowntime[[#This Row],[Failure Type]]="Production",tblDowntime[[#This Row],[Downtime Hours]],"")</f>
        <v/>
      </c>
      <c r="O1232">
        <f>IF(tblDowntime[[#This Row],[Production Downtime Hours]]="","",tblDowntime[[#This Row],[Equipment ID]])</f>
        <v/>
      </c>
      <c r="P1232" s="10" t="n"/>
    </row>
    <row r="1233">
      <c r="B1233">
        <f t="array" ref="B1233">_xlfn.XLOOKUP(C1233,INDIRECT("tblEquipment[Equipment ID]"),INDIRECT("tblEquipment[Production Department]"),"")</f>
        <v/>
      </c>
      <c r="D1233">
        <f t="array" ref="D1233">_xlfn.XLOOKUP(C1233,INDIRECT("tblEquipment[Equipment ID]"),INDIRECT("tblEquipment[Equipment Name]"),"")</f>
        <v/>
      </c>
      <c r="F1233" s="16" t="n"/>
      <c r="G1233" s="16" t="n"/>
      <c r="H1233" s="1">
        <f>IF(OR(F1233=0,G1233=0),"",(G1233-F1233)*24)</f>
        <v/>
      </c>
      <c r="I1233" s="10" t="n"/>
      <c r="J1233" s="1">
        <f>IF(OR(tblDowntime[[#This Row],[Failure Type]]="Sawshop",tblDowntime[[#This Row],[Failure Type]]="Electrical",tblDowntime[[#This Row],[Failure Type]]="Mechanical"),tblDowntime[[#This Row],[Downtime Hours]],"")</f>
        <v/>
      </c>
      <c r="K1233" s="10" t="n"/>
      <c r="L1233" s="10" t="n"/>
      <c r="M1233">
        <f>IF(tblDowntime[[#This Row],[Maintenance Downtime Hours]]="","",tblDowntime[[#This Row],[Equipment ID]])</f>
        <v/>
      </c>
      <c r="N1233" s="1">
        <f>IF(tblDowntime[[#This Row],[Failure Type]]="Production",tblDowntime[[#This Row],[Downtime Hours]],"")</f>
        <v/>
      </c>
      <c r="O1233">
        <f>IF(tblDowntime[[#This Row],[Production Downtime Hours]]="","",tblDowntime[[#This Row],[Equipment ID]])</f>
        <v/>
      </c>
      <c r="P1233" s="10" t="n"/>
    </row>
    <row r="1234">
      <c r="B1234">
        <f t="array" ref="B1234">_xlfn.XLOOKUP(C1234,INDIRECT("tblEquipment[Equipment ID]"),INDIRECT("tblEquipment[Production Department]"),"")</f>
        <v/>
      </c>
      <c r="D1234">
        <f t="array" ref="D1234">_xlfn.XLOOKUP(C1234,INDIRECT("tblEquipment[Equipment ID]"),INDIRECT("tblEquipment[Equipment Name]"),"")</f>
        <v/>
      </c>
      <c r="F1234" s="16" t="n"/>
      <c r="G1234" s="16" t="n"/>
      <c r="H1234" s="1">
        <f>IF(OR(F1234=0,G1234=0),"",(G1234-F1234)*24)</f>
        <v/>
      </c>
      <c r="I1234" s="10" t="n"/>
      <c r="J1234" s="1">
        <f>IF(OR(tblDowntime[[#This Row],[Failure Type]]="Sawshop",tblDowntime[[#This Row],[Failure Type]]="Electrical",tblDowntime[[#This Row],[Failure Type]]="Mechanical"),tblDowntime[[#This Row],[Downtime Hours]],"")</f>
        <v/>
      </c>
      <c r="K1234" s="10" t="n"/>
      <c r="L1234" s="10" t="n"/>
      <c r="M1234">
        <f>IF(tblDowntime[[#This Row],[Maintenance Downtime Hours]]="","",tblDowntime[[#This Row],[Equipment ID]])</f>
        <v/>
      </c>
      <c r="N1234" s="1">
        <f>IF(tblDowntime[[#This Row],[Failure Type]]="Production",tblDowntime[[#This Row],[Downtime Hours]],"")</f>
        <v/>
      </c>
      <c r="O1234">
        <f>IF(tblDowntime[[#This Row],[Production Downtime Hours]]="","",tblDowntime[[#This Row],[Equipment ID]])</f>
        <v/>
      </c>
      <c r="P1234" s="10" t="n"/>
    </row>
    <row r="1235">
      <c r="B1235">
        <f t="array" ref="B1235">_xlfn.XLOOKUP(C1235,INDIRECT("tblEquipment[Equipment ID]"),INDIRECT("tblEquipment[Production Department]"),"")</f>
        <v/>
      </c>
      <c r="D1235">
        <f t="array" ref="D1235">_xlfn.XLOOKUP(C1235,INDIRECT("tblEquipment[Equipment ID]"),INDIRECT("tblEquipment[Equipment Name]"),"")</f>
        <v/>
      </c>
      <c r="F1235" s="16" t="n"/>
      <c r="G1235" s="16" t="n"/>
      <c r="H1235" s="1">
        <f>IF(OR(F1235=0,G1235=0),"",(G1235-F1235)*24)</f>
        <v/>
      </c>
      <c r="I1235" s="10" t="n"/>
      <c r="J1235" s="1">
        <f>IF(OR(tblDowntime[[#This Row],[Failure Type]]="Sawshop",tblDowntime[[#This Row],[Failure Type]]="Electrical",tblDowntime[[#This Row],[Failure Type]]="Mechanical"),tblDowntime[[#This Row],[Downtime Hours]],"")</f>
        <v/>
      </c>
      <c r="K1235" s="10" t="n"/>
      <c r="L1235" s="10" t="n"/>
      <c r="M1235">
        <f>IF(tblDowntime[[#This Row],[Maintenance Downtime Hours]]="","",tblDowntime[[#This Row],[Equipment ID]])</f>
        <v/>
      </c>
      <c r="N1235" s="1">
        <f>IF(tblDowntime[[#This Row],[Failure Type]]="Production",tblDowntime[[#This Row],[Downtime Hours]],"")</f>
        <v/>
      </c>
      <c r="O1235">
        <f>IF(tblDowntime[[#This Row],[Production Downtime Hours]]="","",tblDowntime[[#This Row],[Equipment ID]])</f>
        <v/>
      </c>
      <c r="P1235" s="10" t="n"/>
    </row>
    <row r="1236">
      <c r="B1236">
        <f t="array" ref="B1236">_xlfn.XLOOKUP(C1236,INDIRECT("tblEquipment[Equipment ID]"),INDIRECT("tblEquipment[Production Department]"),"")</f>
        <v/>
      </c>
      <c r="D1236">
        <f t="array" ref="D1236">_xlfn.XLOOKUP(C1236,INDIRECT("tblEquipment[Equipment ID]"),INDIRECT("tblEquipment[Equipment Name]"),"")</f>
        <v/>
      </c>
      <c r="F1236" s="16" t="n"/>
      <c r="G1236" s="16" t="n"/>
      <c r="H1236" s="1">
        <f>IF(OR(F1236=0,G1236=0),"",(G1236-F1236)*24)</f>
        <v/>
      </c>
      <c r="I1236" s="10" t="n"/>
      <c r="J1236" s="1">
        <f>IF(OR(tblDowntime[[#This Row],[Failure Type]]="Sawshop",tblDowntime[[#This Row],[Failure Type]]="Electrical",tblDowntime[[#This Row],[Failure Type]]="Mechanical"),tblDowntime[[#This Row],[Downtime Hours]],"")</f>
        <v/>
      </c>
      <c r="K1236" s="10" t="n"/>
      <c r="L1236" s="10" t="n"/>
      <c r="M1236">
        <f>IF(tblDowntime[[#This Row],[Maintenance Downtime Hours]]="","",tblDowntime[[#This Row],[Equipment ID]])</f>
        <v/>
      </c>
      <c r="N1236" s="1">
        <f>IF(tblDowntime[[#This Row],[Failure Type]]="Production",tblDowntime[[#This Row],[Downtime Hours]],"")</f>
        <v/>
      </c>
      <c r="O1236">
        <f>IF(tblDowntime[[#This Row],[Production Downtime Hours]]="","",tblDowntime[[#This Row],[Equipment ID]])</f>
        <v/>
      </c>
      <c r="P1236" s="10" t="n"/>
    </row>
    <row r="1237">
      <c r="B1237">
        <f t="array" ref="B1237">_xlfn.XLOOKUP(C1237,INDIRECT("tblEquipment[Equipment ID]"),INDIRECT("tblEquipment[Production Department]"),"")</f>
        <v/>
      </c>
      <c r="D1237">
        <f t="array" ref="D1237">_xlfn.XLOOKUP(C1237,INDIRECT("tblEquipment[Equipment ID]"),INDIRECT("tblEquipment[Equipment Name]"),"")</f>
        <v/>
      </c>
      <c r="F1237" s="16" t="n"/>
      <c r="G1237" s="16" t="n"/>
      <c r="H1237" s="1">
        <f>IF(OR(F1237=0,G1237=0),"",(G1237-F1237)*24)</f>
        <v/>
      </c>
      <c r="I1237" s="10" t="n"/>
      <c r="J1237" s="1">
        <f>IF(OR(tblDowntime[[#This Row],[Failure Type]]="Sawshop",tblDowntime[[#This Row],[Failure Type]]="Electrical",tblDowntime[[#This Row],[Failure Type]]="Mechanical"),tblDowntime[[#This Row],[Downtime Hours]],"")</f>
        <v/>
      </c>
      <c r="K1237" s="10" t="n"/>
      <c r="L1237" s="10" t="n"/>
      <c r="M1237">
        <f>IF(tblDowntime[[#This Row],[Maintenance Downtime Hours]]="","",tblDowntime[[#This Row],[Equipment ID]])</f>
        <v/>
      </c>
      <c r="N1237" s="1">
        <f>IF(tblDowntime[[#This Row],[Failure Type]]="Production",tblDowntime[[#This Row],[Downtime Hours]],"")</f>
        <v/>
      </c>
      <c r="O1237">
        <f>IF(tblDowntime[[#This Row],[Production Downtime Hours]]="","",tblDowntime[[#This Row],[Equipment ID]])</f>
        <v/>
      </c>
      <c r="P1237" s="10" t="n"/>
    </row>
    <row r="1238">
      <c r="B1238">
        <f t="array" ref="B1238">_xlfn.XLOOKUP(C1238,INDIRECT("tblEquipment[Equipment ID]"),INDIRECT("tblEquipment[Production Department]"),"")</f>
        <v/>
      </c>
      <c r="D1238">
        <f t="array" ref="D1238">_xlfn.XLOOKUP(C1238,INDIRECT("tblEquipment[Equipment ID]"),INDIRECT("tblEquipment[Equipment Name]"),"")</f>
        <v/>
      </c>
      <c r="F1238" s="16" t="n"/>
      <c r="G1238" s="16" t="n"/>
      <c r="H1238" s="1">
        <f>IF(OR(F1238=0,G1238=0),"",(G1238-F1238)*24)</f>
        <v/>
      </c>
      <c r="I1238" s="10" t="n"/>
      <c r="J1238" s="1">
        <f>IF(OR(tblDowntime[[#This Row],[Failure Type]]="Sawshop",tblDowntime[[#This Row],[Failure Type]]="Electrical",tblDowntime[[#This Row],[Failure Type]]="Mechanical"),tblDowntime[[#This Row],[Downtime Hours]],"")</f>
        <v/>
      </c>
      <c r="K1238" s="10" t="n"/>
      <c r="L1238" s="10" t="n"/>
      <c r="M1238">
        <f>IF(tblDowntime[[#This Row],[Maintenance Downtime Hours]]="","",tblDowntime[[#This Row],[Equipment ID]])</f>
        <v/>
      </c>
      <c r="N1238" s="1">
        <f>IF(tblDowntime[[#This Row],[Failure Type]]="Production",tblDowntime[[#This Row],[Downtime Hours]],"")</f>
        <v/>
      </c>
      <c r="O1238">
        <f>IF(tblDowntime[[#This Row],[Production Downtime Hours]]="","",tblDowntime[[#This Row],[Equipment ID]])</f>
        <v/>
      </c>
      <c r="P1238" s="10" t="n"/>
    </row>
    <row r="1239">
      <c r="B1239">
        <f t="array" ref="B1239">_xlfn.XLOOKUP(C1239,INDIRECT("tblEquipment[Equipment ID]"),INDIRECT("tblEquipment[Production Department]"),"")</f>
        <v/>
      </c>
      <c r="D1239">
        <f t="array" ref="D1239">_xlfn.XLOOKUP(C1239,INDIRECT("tblEquipment[Equipment ID]"),INDIRECT("tblEquipment[Equipment Name]"),"")</f>
        <v/>
      </c>
      <c r="F1239" s="16" t="n"/>
      <c r="G1239" s="16" t="n"/>
      <c r="H1239" s="1">
        <f>IF(OR(F1239=0,G1239=0),"",(G1239-F1239)*24)</f>
        <v/>
      </c>
      <c r="I1239" s="10" t="n"/>
      <c r="J1239" s="1">
        <f>IF(OR(tblDowntime[[#This Row],[Failure Type]]="Sawshop",tblDowntime[[#This Row],[Failure Type]]="Electrical",tblDowntime[[#This Row],[Failure Type]]="Mechanical"),tblDowntime[[#This Row],[Downtime Hours]],"")</f>
        <v/>
      </c>
      <c r="K1239" s="10" t="n"/>
      <c r="L1239" s="10" t="n"/>
      <c r="M1239">
        <f>IF(tblDowntime[[#This Row],[Maintenance Downtime Hours]]="","",tblDowntime[[#This Row],[Equipment ID]])</f>
        <v/>
      </c>
      <c r="N1239" s="1">
        <f>IF(tblDowntime[[#This Row],[Failure Type]]="Production",tblDowntime[[#This Row],[Downtime Hours]],"")</f>
        <v/>
      </c>
      <c r="O1239">
        <f>IF(tblDowntime[[#This Row],[Production Downtime Hours]]="","",tblDowntime[[#This Row],[Equipment ID]])</f>
        <v/>
      </c>
      <c r="P1239" s="10" t="n"/>
    </row>
    <row r="1240">
      <c r="B1240">
        <f t="array" ref="B1240">_xlfn.XLOOKUP(C1240,INDIRECT("tblEquipment[Equipment ID]"),INDIRECT("tblEquipment[Production Department]"),"")</f>
        <v/>
      </c>
      <c r="D1240">
        <f t="array" ref="D1240">_xlfn.XLOOKUP(C1240,INDIRECT("tblEquipment[Equipment ID]"),INDIRECT("tblEquipment[Equipment Name]"),"")</f>
        <v/>
      </c>
      <c r="F1240" s="16" t="n"/>
      <c r="G1240" s="16" t="n"/>
      <c r="H1240" s="1">
        <f>IF(OR(F1240=0,G1240=0),"",(G1240-F1240)*24)</f>
        <v/>
      </c>
      <c r="I1240" s="10" t="n"/>
      <c r="J1240" s="1">
        <f>IF(OR(tblDowntime[[#This Row],[Failure Type]]="Sawshop",tblDowntime[[#This Row],[Failure Type]]="Electrical",tblDowntime[[#This Row],[Failure Type]]="Mechanical"),tblDowntime[[#This Row],[Downtime Hours]],"")</f>
        <v/>
      </c>
      <c r="K1240" s="10" t="n"/>
      <c r="L1240" s="10" t="n"/>
      <c r="M1240">
        <f>IF(tblDowntime[[#This Row],[Maintenance Downtime Hours]]="","",tblDowntime[[#This Row],[Equipment ID]])</f>
        <v/>
      </c>
      <c r="N1240" s="1">
        <f>IF(tblDowntime[[#This Row],[Failure Type]]="Production",tblDowntime[[#This Row],[Downtime Hours]],"")</f>
        <v/>
      </c>
      <c r="O1240">
        <f>IF(tblDowntime[[#This Row],[Production Downtime Hours]]="","",tblDowntime[[#This Row],[Equipment ID]])</f>
        <v/>
      </c>
      <c r="P1240" s="10" t="n"/>
    </row>
    <row r="1241">
      <c r="B1241">
        <f t="array" ref="B1241">_xlfn.XLOOKUP(C1241,INDIRECT("tblEquipment[Equipment ID]"),INDIRECT("tblEquipment[Production Department]"),"")</f>
        <v/>
      </c>
      <c r="D1241">
        <f t="array" ref="D1241">_xlfn.XLOOKUP(C1241,INDIRECT("tblEquipment[Equipment ID]"),INDIRECT("tblEquipment[Equipment Name]"),"")</f>
        <v/>
      </c>
      <c r="F1241" s="16" t="n"/>
      <c r="G1241" s="16" t="n"/>
      <c r="H1241" s="1">
        <f>IF(OR(F1241=0,G1241=0),"",(G1241-F1241)*24)</f>
        <v/>
      </c>
      <c r="I1241" s="10" t="n"/>
      <c r="J1241" s="1">
        <f>IF(OR(tblDowntime[[#This Row],[Failure Type]]="Sawshop",tblDowntime[[#This Row],[Failure Type]]="Electrical",tblDowntime[[#This Row],[Failure Type]]="Mechanical"),tblDowntime[[#This Row],[Downtime Hours]],"")</f>
        <v/>
      </c>
      <c r="K1241" s="10" t="n"/>
      <c r="L1241" s="10" t="n"/>
      <c r="M1241">
        <f>IF(tblDowntime[[#This Row],[Maintenance Downtime Hours]]="","",tblDowntime[[#This Row],[Equipment ID]])</f>
        <v/>
      </c>
      <c r="N1241" s="1">
        <f>IF(tblDowntime[[#This Row],[Failure Type]]="Production",tblDowntime[[#This Row],[Downtime Hours]],"")</f>
        <v/>
      </c>
      <c r="O1241">
        <f>IF(tblDowntime[[#This Row],[Production Downtime Hours]]="","",tblDowntime[[#This Row],[Equipment ID]])</f>
        <v/>
      </c>
      <c r="P1241" s="10" t="n"/>
    </row>
    <row r="1242">
      <c r="B1242">
        <f t="array" ref="B1242">_xlfn.XLOOKUP(C1242,INDIRECT("tblEquipment[Equipment ID]"),INDIRECT("tblEquipment[Production Department]"),"")</f>
        <v/>
      </c>
      <c r="D1242">
        <f t="array" ref="D1242">_xlfn.XLOOKUP(C1242,INDIRECT("tblEquipment[Equipment ID]"),INDIRECT("tblEquipment[Equipment Name]"),"")</f>
        <v/>
      </c>
      <c r="F1242" s="16" t="n"/>
      <c r="G1242" s="16" t="n"/>
      <c r="H1242" s="1">
        <f>IF(OR(F1242=0,G1242=0),"",(G1242-F1242)*24)</f>
        <v/>
      </c>
      <c r="I1242" s="10" t="n"/>
      <c r="J1242" s="1">
        <f>IF(OR(tblDowntime[[#This Row],[Failure Type]]="Sawshop",tblDowntime[[#This Row],[Failure Type]]="Electrical",tblDowntime[[#This Row],[Failure Type]]="Mechanical"),tblDowntime[[#This Row],[Downtime Hours]],"")</f>
        <v/>
      </c>
      <c r="K1242" s="10" t="n"/>
      <c r="L1242" s="10" t="n"/>
      <c r="M1242">
        <f>IF(tblDowntime[[#This Row],[Maintenance Downtime Hours]]="","",tblDowntime[[#This Row],[Equipment ID]])</f>
        <v/>
      </c>
      <c r="N1242" s="1">
        <f>IF(tblDowntime[[#This Row],[Failure Type]]="Production",tblDowntime[[#This Row],[Downtime Hours]],"")</f>
        <v/>
      </c>
      <c r="O1242">
        <f>IF(tblDowntime[[#This Row],[Production Downtime Hours]]="","",tblDowntime[[#This Row],[Equipment ID]])</f>
        <v/>
      </c>
      <c r="P1242" s="10" t="n"/>
    </row>
    <row r="1243">
      <c r="B1243">
        <f t="array" ref="B1243">_xlfn.XLOOKUP(C1243,INDIRECT("tblEquipment[Equipment ID]"),INDIRECT("tblEquipment[Production Department]"),"")</f>
        <v/>
      </c>
      <c r="D1243">
        <f t="array" ref="D1243">_xlfn.XLOOKUP(C1243,INDIRECT("tblEquipment[Equipment ID]"),INDIRECT("tblEquipment[Equipment Name]"),"")</f>
        <v/>
      </c>
      <c r="F1243" s="16" t="n"/>
      <c r="G1243" s="16" t="n"/>
      <c r="H1243" s="1">
        <f>IF(OR(F1243=0,G1243=0),"",(G1243-F1243)*24)</f>
        <v/>
      </c>
      <c r="I1243" s="10" t="n"/>
      <c r="J1243" s="1">
        <f>IF(OR(tblDowntime[[#This Row],[Failure Type]]="Sawshop",tblDowntime[[#This Row],[Failure Type]]="Electrical",tblDowntime[[#This Row],[Failure Type]]="Mechanical"),tblDowntime[[#This Row],[Downtime Hours]],"")</f>
        <v/>
      </c>
      <c r="K1243" s="10" t="n"/>
      <c r="L1243" s="10" t="n"/>
      <c r="M1243">
        <f>IF(tblDowntime[[#This Row],[Maintenance Downtime Hours]]="","",tblDowntime[[#This Row],[Equipment ID]])</f>
        <v/>
      </c>
      <c r="N1243" s="1">
        <f>IF(tblDowntime[[#This Row],[Failure Type]]="Production",tblDowntime[[#This Row],[Downtime Hours]],"")</f>
        <v/>
      </c>
      <c r="O1243">
        <f>IF(tblDowntime[[#This Row],[Production Downtime Hours]]="","",tblDowntime[[#This Row],[Equipment ID]])</f>
        <v/>
      </c>
      <c r="P1243" s="10" t="n"/>
    </row>
    <row r="1244">
      <c r="B1244">
        <f t="array" ref="B1244">_xlfn.XLOOKUP(C1244,INDIRECT("tblEquipment[Equipment ID]"),INDIRECT("tblEquipment[Production Department]"),"")</f>
        <v/>
      </c>
      <c r="D1244">
        <f t="array" ref="D1244">_xlfn.XLOOKUP(C1244,INDIRECT("tblEquipment[Equipment ID]"),INDIRECT("tblEquipment[Equipment Name]"),"")</f>
        <v/>
      </c>
      <c r="F1244" s="16" t="n"/>
      <c r="G1244" s="16" t="n"/>
      <c r="H1244" s="1">
        <f>IF(OR(F1244=0,G1244=0),"",(G1244-F1244)*24)</f>
        <v/>
      </c>
      <c r="I1244" s="10" t="n"/>
      <c r="J1244" s="1">
        <f>IF(OR(tblDowntime[[#This Row],[Failure Type]]="Sawshop",tblDowntime[[#This Row],[Failure Type]]="Electrical",tblDowntime[[#This Row],[Failure Type]]="Mechanical"),tblDowntime[[#This Row],[Downtime Hours]],"")</f>
        <v/>
      </c>
      <c r="K1244" s="10" t="n"/>
      <c r="L1244" s="10" t="n"/>
      <c r="M1244">
        <f>IF(tblDowntime[[#This Row],[Maintenance Downtime Hours]]="","",tblDowntime[[#This Row],[Equipment ID]])</f>
        <v/>
      </c>
      <c r="N1244" s="1">
        <f>IF(tblDowntime[[#This Row],[Failure Type]]="Production",tblDowntime[[#This Row],[Downtime Hours]],"")</f>
        <v/>
      </c>
      <c r="O1244">
        <f>IF(tblDowntime[[#This Row],[Production Downtime Hours]]="","",tblDowntime[[#This Row],[Equipment ID]])</f>
        <v/>
      </c>
      <c r="P1244" s="10" t="n"/>
    </row>
    <row r="1245">
      <c r="B1245">
        <f t="array" ref="B1245">_xlfn.XLOOKUP(C1245,INDIRECT("tblEquipment[Equipment ID]"),INDIRECT("tblEquipment[Production Department]"),"")</f>
        <v/>
      </c>
      <c r="D1245">
        <f t="array" ref="D1245">_xlfn.XLOOKUP(C1245,INDIRECT("tblEquipment[Equipment ID]"),INDIRECT("tblEquipment[Equipment Name]"),"")</f>
        <v/>
      </c>
      <c r="F1245" s="16" t="n"/>
      <c r="G1245" s="16" t="n"/>
      <c r="H1245" s="1">
        <f>IF(OR(F1245=0,G1245=0),"",(G1245-F1245)*24)</f>
        <v/>
      </c>
      <c r="I1245" s="10" t="n"/>
      <c r="J1245" s="1">
        <f>IF(OR(tblDowntime[[#This Row],[Failure Type]]="Sawshop",tblDowntime[[#This Row],[Failure Type]]="Electrical",tblDowntime[[#This Row],[Failure Type]]="Mechanical"),tblDowntime[[#This Row],[Downtime Hours]],"")</f>
        <v/>
      </c>
      <c r="K1245" s="10" t="n"/>
      <c r="L1245" s="10" t="n"/>
      <c r="M1245">
        <f>IF(tblDowntime[[#This Row],[Maintenance Downtime Hours]]="","",tblDowntime[[#This Row],[Equipment ID]])</f>
        <v/>
      </c>
      <c r="N1245" s="1">
        <f>IF(tblDowntime[[#This Row],[Failure Type]]="Production",tblDowntime[[#This Row],[Downtime Hours]],"")</f>
        <v/>
      </c>
      <c r="O1245">
        <f>IF(tblDowntime[[#This Row],[Production Downtime Hours]]="","",tblDowntime[[#This Row],[Equipment ID]])</f>
        <v/>
      </c>
      <c r="P1245" s="10" t="n"/>
    </row>
    <row r="1246">
      <c r="B1246">
        <f t="array" ref="B1246">_xlfn.XLOOKUP(C1246,INDIRECT("tblEquipment[Equipment ID]"),INDIRECT("tblEquipment[Production Department]"),"")</f>
        <v/>
      </c>
      <c r="D1246">
        <f t="array" ref="D1246">_xlfn.XLOOKUP(C1246,INDIRECT("tblEquipment[Equipment ID]"),INDIRECT("tblEquipment[Equipment Name]"),"")</f>
        <v/>
      </c>
      <c r="F1246" s="16" t="n"/>
      <c r="G1246" s="16" t="n"/>
      <c r="H1246" s="1">
        <f>IF(OR(F1246=0,G1246=0),"",(G1246-F1246)*24)</f>
        <v/>
      </c>
      <c r="I1246" s="10" t="n"/>
      <c r="J1246" s="1">
        <f>IF(OR(tblDowntime[[#This Row],[Failure Type]]="Sawshop",tblDowntime[[#This Row],[Failure Type]]="Electrical",tblDowntime[[#This Row],[Failure Type]]="Mechanical"),tblDowntime[[#This Row],[Downtime Hours]],"")</f>
        <v/>
      </c>
      <c r="K1246" s="10" t="n"/>
      <c r="L1246" s="10" t="n"/>
      <c r="M1246">
        <f>IF(tblDowntime[[#This Row],[Maintenance Downtime Hours]]="","",tblDowntime[[#This Row],[Equipment ID]])</f>
        <v/>
      </c>
      <c r="N1246" s="1">
        <f>IF(tblDowntime[[#This Row],[Failure Type]]="Production",tblDowntime[[#This Row],[Downtime Hours]],"")</f>
        <v/>
      </c>
      <c r="O1246">
        <f>IF(tblDowntime[[#This Row],[Production Downtime Hours]]="","",tblDowntime[[#This Row],[Equipment ID]])</f>
        <v/>
      </c>
      <c r="P1246" s="10" t="n"/>
    </row>
    <row r="1247">
      <c r="B1247">
        <f t="array" ref="B1247">_xlfn.XLOOKUP(C1247,INDIRECT("tblEquipment[Equipment ID]"),INDIRECT("tblEquipment[Production Department]"),"")</f>
        <v/>
      </c>
      <c r="D1247">
        <f t="array" ref="D1247">_xlfn.XLOOKUP(C1247,INDIRECT("tblEquipment[Equipment ID]"),INDIRECT("tblEquipment[Equipment Name]"),"")</f>
        <v/>
      </c>
      <c r="F1247" s="16" t="n"/>
      <c r="G1247" s="16" t="n"/>
      <c r="H1247" s="1">
        <f>IF(OR(F1247=0,G1247=0),"",(G1247-F1247)*24)</f>
        <v/>
      </c>
      <c r="I1247" s="10" t="n"/>
      <c r="J1247" s="1">
        <f>IF(OR(tblDowntime[[#This Row],[Failure Type]]="Sawshop",tblDowntime[[#This Row],[Failure Type]]="Electrical",tblDowntime[[#This Row],[Failure Type]]="Mechanical"),tblDowntime[[#This Row],[Downtime Hours]],"")</f>
        <v/>
      </c>
      <c r="K1247" s="10" t="n"/>
      <c r="L1247" s="10" t="n"/>
      <c r="M1247">
        <f>IF(tblDowntime[[#This Row],[Maintenance Downtime Hours]]="","",tblDowntime[[#This Row],[Equipment ID]])</f>
        <v/>
      </c>
      <c r="N1247" s="1">
        <f>IF(tblDowntime[[#This Row],[Failure Type]]="Production",tblDowntime[[#This Row],[Downtime Hours]],"")</f>
        <v/>
      </c>
      <c r="O1247">
        <f>IF(tblDowntime[[#This Row],[Production Downtime Hours]]="","",tblDowntime[[#This Row],[Equipment ID]])</f>
        <v/>
      </c>
      <c r="P1247" s="10" t="n"/>
    </row>
    <row r="1248">
      <c r="B1248">
        <f t="array" ref="B1248">_xlfn.XLOOKUP(C1248,INDIRECT("tblEquipment[Equipment ID]"),INDIRECT("tblEquipment[Production Department]"),"")</f>
        <v/>
      </c>
      <c r="D1248">
        <f t="array" ref="D1248">_xlfn.XLOOKUP(C1248,INDIRECT("tblEquipment[Equipment ID]"),INDIRECT("tblEquipment[Equipment Name]"),"")</f>
        <v/>
      </c>
      <c r="F1248" s="16" t="n"/>
      <c r="G1248" s="16" t="n"/>
      <c r="H1248" s="1">
        <f>IF(OR(F1248=0,G1248=0),"",(G1248-F1248)*24)</f>
        <v/>
      </c>
      <c r="I1248" s="10" t="n"/>
      <c r="J1248" s="1">
        <f>IF(OR(tblDowntime[[#This Row],[Failure Type]]="Sawshop",tblDowntime[[#This Row],[Failure Type]]="Electrical",tblDowntime[[#This Row],[Failure Type]]="Mechanical"),tblDowntime[[#This Row],[Downtime Hours]],"")</f>
        <v/>
      </c>
      <c r="K1248" s="10" t="n"/>
      <c r="L1248" s="10" t="n"/>
      <c r="M1248">
        <f>IF(tblDowntime[[#This Row],[Maintenance Downtime Hours]]="","",tblDowntime[[#This Row],[Equipment ID]])</f>
        <v/>
      </c>
      <c r="N1248" s="1">
        <f>IF(tblDowntime[[#This Row],[Failure Type]]="Production",tblDowntime[[#This Row],[Downtime Hours]],"")</f>
        <v/>
      </c>
      <c r="O1248">
        <f>IF(tblDowntime[[#This Row],[Production Downtime Hours]]="","",tblDowntime[[#This Row],[Equipment ID]])</f>
        <v/>
      </c>
      <c r="P1248" s="10" t="n"/>
    </row>
    <row r="1249">
      <c r="B1249">
        <f t="array" ref="B1249">_xlfn.XLOOKUP(C1249,INDIRECT("tblEquipment[Equipment ID]"),INDIRECT("tblEquipment[Production Department]"),"")</f>
        <v/>
      </c>
      <c r="D1249">
        <f t="array" ref="D1249">_xlfn.XLOOKUP(C1249,INDIRECT("tblEquipment[Equipment ID]"),INDIRECT("tblEquipment[Equipment Name]"),"")</f>
        <v/>
      </c>
      <c r="F1249" s="16" t="n"/>
      <c r="G1249" s="16" t="n"/>
      <c r="H1249" s="1">
        <f>IF(OR(F1249=0,G1249=0),"",(G1249-F1249)*24)</f>
        <v/>
      </c>
      <c r="I1249" s="10" t="n"/>
      <c r="J1249" s="1">
        <f>IF(OR(tblDowntime[[#This Row],[Failure Type]]="Sawshop",tblDowntime[[#This Row],[Failure Type]]="Electrical",tblDowntime[[#This Row],[Failure Type]]="Mechanical"),tblDowntime[[#This Row],[Downtime Hours]],"")</f>
        <v/>
      </c>
      <c r="K1249" s="10" t="n"/>
      <c r="L1249" s="10" t="n"/>
      <c r="M1249">
        <f>IF(tblDowntime[[#This Row],[Maintenance Downtime Hours]]="","",tblDowntime[[#This Row],[Equipment ID]])</f>
        <v/>
      </c>
      <c r="N1249" s="1">
        <f>IF(tblDowntime[[#This Row],[Failure Type]]="Production",tblDowntime[[#This Row],[Downtime Hours]],"")</f>
        <v/>
      </c>
      <c r="O1249">
        <f>IF(tblDowntime[[#This Row],[Production Downtime Hours]]="","",tblDowntime[[#This Row],[Equipment ID]])</f>
        <v/>
      </c>
      <c r="P1249" s="10" t="n"/>
    </row>
    <row r="1250">
      <c r="B1250">
        <f t="array" ref="B1250">_xlfn.XLOOKUP(C1250,INDIRECT("tblEquipment[Equipment ID]"),INDIRECT("tblEquipment[Production Department]"),"")</f>
        <v/>
      </c>
      <c r="D1250">
        <f t="array" ref="D1250">_xlfn.XLOOKUP(C1250,INDIRECT("tblEquipment[Equipment ID]"),INDIRECT("tblEquipment[Equipment Name]"),"")</f>
        <v/>
      </c>
      <c r="F1250" s="16" t="n"/>
      <c r="G1250" s="16" t="n"/>
      <c r="H1250" s="1">
        <f>IF(OR(F1250=0,G1250=0),"",(G1250-F1250)*24)</f>
        <v/>
      </c>
      <c r="I1250" s="10" t="n"/>
      <c r="J1250" s="1">
        <f>IF(OR(tblDowntime[[#This Row],[Failure Type]]="Sawshop",tblDowntime[[#This Row],[Failure Type]]="Electrical",tblDowntime[[#This Row],[Failure Type]]="Mechanical"),tblDowntime[[#This Row],[Downtime Hours]],"")</f>
        <v/>
      </c>
      <c r="K1250" s="10" t="n"/>
      <c r="L1250" s="10" t="n"/>
      <c r="M1250">
        <f>IF(tblDowntime[[#This Row],[Maintenance Downtime Hours]]="","",tblDowntime[[#This Row],[Equipment ID]])</f>
        <v/>
      </c>
      <c r="N1250" s="1">
        <f>IF(tblDowntime[[#This Row],[Failure Type]]="Production",tblDowntime[[#This Row],[Downtime Hours]],"")</f>
        <v/>
      </c>
      <c r="O1250">
        <f>IF(tblDowntime[[#This Row],[Production Downtime Hours]]="","",tblDowntime[[#This Row],[Equipment ID]])</f>
        <v/>
      </c>
      <c r="P1250" s="10" t="n"/>
    </row>
    <row r="1251">
      <c r="B1251">
        <f t="array" ref="B1251">_xlfn.XLOOKUP(C1251,INDIRECT("tblEquipment[Equipment ID]"),INDIRECT("tblEquipment[Production Department]"),"")</f>
        <v/>
      </c>
      <c r="D1251">
        <f t="array" ref="D1251">_xlfn.XLOOKUP(C1251,INDIRECT("tblEquipment[Equipment ID]"),INDIRECT("tblEquipment[Equipment Name]"),"")</f>
        <v/>
      </c>
      <c r="F1251" s="16" t="n"/>
      <c r="G1251" s="16" t="n"/>
      <c r="H1251" s="1">
        <f>IF(OR(F1251=0,G1251=0),"",(G1251-F1251)*24)</f>
        <v/>
      </c>
      <c r="I1251" s="10" t="n"/>
      <c r="J1251" s="1">
        <f>IF(OR(tblDowntime[[#This Row],[Failure Type]]="Sawshop",tblDowntime[[#This Row],[Failure Type]]="Electrical",tblDowntime[[#This Row],[Failure Type]]="Mechanical"),tblDowntime[[#This Row],[Downtime Hours]],"")</f>
        <v/>
      </c>
      <c r="K1251" s="10" t="n"/>
      <c r="L1251" s="10" t="n"/>
      <c r="M1251">
        <f>IF(tblDowntime[[#This Row],[Maintenance Downtime Hours]]="","",tblDowntime[[#This Row],[Equipment ID]])</f>
        <v/>
      </c>
      <c r="N1251" s="1">
        <f>IF(tblDowntime[[#This Row],[Failure Type]]="Production",tblDowntime[[#This Row],[Downtime Hours]],"")</f>
        <v/>
      </c>
      <c r="O1251">
        <f>IF(tblDowntime[[#This Row],[Production Downtime Hours]]="","",tblDowntime[[#This Row],[Equipment ID]])</f>
        <v/>
      </c>
      <c r="P1251" s="10" t="n"/>
    </row>
    <row r="1252">
      <c r="B1252">
        <f t="array" ref="B1252">_xlfn.XLOOKUP(C1252,INDIRECT("tblEquipment[Equipment ID]"),INDIRECT("tblEquipment[Production Department]"),"")</f>
        <v/>
      </c>
      <c r="D1252">
        <f t="array" ref="D1252">_xlfn.XLOOKUP(C1252,INDIRECT("tblEquipment[Equipment ID]"),INDIRECT("tblEquipment[Equipment Name]"),"")</f>
        <v/>
      </c>
      <c r="F1252" s="16" t="n"/>
      <c r="G1252" s="16" t="n"/>
      <c r="H1252" s="1">
        <f>IF(OR(F1252=0,G1252=0),"",(G1252-F1252)*24)</f>
        <v/>
      </c>
      <c r="I1252" s="10" t="n"/>
      <c r="J1252" s="1">
        <f>IF(OR(tblDowntime[[#This Row],[Failure Type]]="Sawshop",tblDowntime[[#This Row],[Failure Type]]="Electrical",tblDowntime[[#This Row],[Failure Type]]="Mechanical"),tblDowntime[[#This Row],[Downtime Hours]],"")</f>
        <v/>
      </c>
      <c r="K1252" s="10" t="n"/>
      <c r="L1252" s="10" t="n"/>
      <c r="M1252">
        <f>IF(tblDowntime[[#This Row],[Maintenance Downtime Hours]]="","",tblDowntime[[#This Row],[Equipment ID]])</f>
        <v/>
      </c>
      <c r="N1252" s="1">
        <f>IF(tblDowntime[[#This Row],[Failure Type]]="Production",tblDowntime[[#This Row],[Downtime Hours]],"")</f>
        <v/>
      </c>
      <c r="O1252">
        <f>IF(tblDowntime[[#This Row],[Production Downtime Hours]]="","",tblDowntime[[#This Row],[Equipment ID]])</f>
        <v/>
      </c>
      <c r="P1252" s="10" t="n"/>
    </row>
    <row r="1253">
      <c r="B1253">
        <f t="array" ref="B1253">_xlfn.XLOOKUP(C1253,INDIRECT("tblEquipment[Equipment ID]"),INDIRECT("tblEquipment[Production Department]"),"")</f>
        <v/>
      </c>
      <c r="D1253">
        <f t="array" ref="D1253">_xlfn.XLOOKUP(C1253,INDIRECT("tblEquipment[Equipment ID]"),INDIRECT("tblEquipment[Equipment Name]"),"")</f>
        <v/>
      </c>
      <c r="F1253" s="16" t="n"/>
      <c r="G1253" s="16" t="n"/>
      <c r="H1253" s="1">
        <f>IF(OR(F1253=0,G1253=0),"",(G1253-F1253)*24)</f>
        <v/>
      </c>
      <c r="I1253" s="10" t="n"/>
      <c r="J1253" s="1">
        <f>IF(OR(tblDowntime[[#This Row],[Failure Type]]="Sawshop",tblDowntime[[#This Row],[Failure Type]]="Electrical",tblDowntime[[#This Row],[Failure Type]]="Mechanical"),tblDowntime[[#This Row],[Downtime Hours]],"")</f>
        <v/>
      </c>
      <c r="K1253" s="10" t="n"/>
      <c r="L1253" s="10" t="n"/>
      <c r="M1253">
        <f>IF(tblDowntime[[#This Row],[Maintenance Downtime Hours]]="","",tblDowntime[[#This Row],[Equipment ID]])</f>
        <v/>
      </c>
      <c r="N1253" s="1">
        <f>IF(tblDowntime[[#This Row],[Failure Type]]="Production",tblDowntime[[#This Row],[Downtime Hours]],"")</f>
        <v/>
      </c>
      <c r="O1253">
        <f>IF(tblDowntime[[#This Row],[Production Downtime Hours]]="","",tblDowntime[[#This Row],[Equipment ID]])</f>
        <v/>
      </c>
      <c r="P1253" s="10" t="n"/>
    </row>
    <row r="1254">
      <c r="B1254">
        <f t="array" ref="B1254">_xlfn.XLOOKUP(C1254,INDIRECT("tblEquipment[Equipment ID]"),INDIRECT("tblEquipment[Production Department]"),"")</f>
        <v/>
      </c>
      <c r="D1254">
        <f t="array" ref="D1254">_xlfn.XLOOKUP(C1254,INDIRECT("tblEquipment[Equipment ID]"),INDIRECT("tblEquipment[Equipment Name]"),"")</f>
        <v/>
      </c>
      <c r="F1254" s="16" t="n"/>
      <c r="G1254" s="16" t="n"/>
      <c r="H1254" s="1">
        <f>IF(OR(F1254=0,G1254=0),"",(G1254-F1254)*24)</f>
        <v/>
      </c>
      <c r="I1254" s="10" t="n"/>
      <c r="J1254" s="1">
        <f>IF(OR(tblDowntime[[#This Row],[Failure Type]]="Sawshop",tblDowntime[[#This Row],[Failure Type]]="Electrical",tblDowntime[[#This Row],[Failure Type]]="Mechanical"),tblDowntime[[#This Row],[Downtime Hours]],"")</f>
        <v/>
      </c>
      <c r="K1254" s="10" t="n"/>
      <c r="L1254" s="10" t="n"/>
      <c r="M1254">
        <f>IF(tblDowntime[[#This Row],[Maintenance Downtime Hours]]="","",tblDowntime[[#This Row],[Equipment ID]])</f>
        <v/>
      </c>
      <c r="N1254" s="1">
        <f>IF(tblDowntime[[#This Row],[Failure Type]]="Production",tblDowntime[[#This Row],[Downtime Hours]],"")</f>
        <v/>
      </c>
      <c r="O1254">
        <f>IF(tblDowntime[[#This Row],[Production Downtime Hours]]="","",tblDowntime[[#This Row],[Equipment ID]])</f>
        <v/>
      </c>
      <c r="P1254" s="10" t="n"/>
    </row>
    <row r="1255">
      <c r="B1255">
        <f t="array" ref="B1255">_xlfn.XLOOKUP(C1255,INDIRECT("tblEquipment[Equipment ID]"),INDIRECT("tblEquipment[Production Department]"),"")</f>
        <v/>
      </c>
      <c r="D1255">
        <f t="array" ref="D1255">_xlfn.XLOOKUP(C1255,INDIRECT("tblEquipment[Equipment ID]"),INDIRECT("tblEquipment[Equipment Name]"),"")</f>
        <v/>
      </c>
      <c r="F1255" s="16" t="n"/>
      <c r="G1255" s="16" t="n"/>
      <c r="H1255" s="1">
        <f>IF(OR(F1255=0,G1255=0),"",(G1255-F1255)*24)</f>
        <v/>
      </c>
      <c r="I1255" s="10" t="n"/>
      <c r="J1255" s="1">
        <f>IF(OR(tblDowntime[[#This Row],[Failure Type]]="Sawshop",tblDowntime[[#This Row],[Failure Type]]="Electrical",tblDowntime[[#This Row],[Failure Type]]="Mechanical"),tblDowntime[[#This Row],[Downtime Hours]],"")</f>
        <v/>
      </c>
      <c r="K1255" s="10" t="n"/>
      <c r="L1255" s="10" t="n"/>
      <c r="M1255">
        <f>IF(tblDowntime[[#This Row],[Maintenance Downtime Hours]]="","",tblDowntime[[#This Row],[Equipment ID]])</f>
        <v/>
      </c>
      <c r="N1255" s="1">
        <f>IF(tblDowntime[[#This Row],[Failure Type]]="Production",tblDowntime[[#This Row],[Downtime Hours]],"")</f>
        <v/>
      </c>
      <c r="O1255">
        <f>IF(tblDowntime[[#This Row],[Production Downtime Hours]]="","",tblDowntime[[#This Row],[Equipment ID]])</f>
        <v/>
      </c>
      <c r="P1255" s="10" t="n"/>
    </row>
    <row r="1256">
      <c r="B1256">
        <f t="array" ref="B1256">_xlfn.XLOOKUP(C1256,INDIRECT("tblEquipment[Equipment ID]"),INDIRECT("tblEquipment[Production Department]"),"")</f>
        <v/>
      </c>
      <c r="D1256">
        <f t="array" ref="D1256">_xlfn.XLOOKUP(C1256,INDIRECT("tblEquipment[Equipment ID]"),INDIRECT("tblEquipment[Equipment Name]"),"")</f>
        <v/>
      </c>
      <c r="F1256" s="16" t="n"/>
      <c r="G1256" s="16" t="n"/>
      <c r="H1256" s="1">
        <f>IF(OR(F1256=0,G1256=0),"",(G1256-F1256)*24)</f>
        <v/>
      </c>
      <c r="I1256" s="10" t="n"/>
      <c r="J1256" s="1">
        <f>IF(OR(tblDowntime[[#This Row],[Failure Type]]="Sawshop",tblDowntime[[#This Row],[Failure Type]]="Electrical",tblDowntime[[#This Row],[Failure Type]]="Mechanical"),tblDowntime[[#This Row],[Downtime Hours]],"")</f>
        <v/>
      </c>
      <c r="K1256" s="10" t="n"/>
      <c r="L1256" s="10" t="n"/>
      <c r="M1256">
        <f>IF(tblDowntime[[#This Row],[Maintenance Downtime Hours]]="","",tblDowntime[[#This Row],[Equipment ID]])</f>
        <v/>
      </c>
      <c r="N1256" s="1">
        <f>IF(tblDowntime[[#This Row],[Failure Type]]="Production",tblDowntime[[#This Row],[Downtime Hours]],"")</f>
        <v/>
      </c>
      <c r="O1256">
        <f>IF(tblDowntime[[#This Row],[Production Downtime Hours]]="","",tblDowntime[[#This Row],[Equipment ID]])</f>
        <v/>
      </c>
      <c r="P1256" s="10" t="n"/>
    </row>
    <row r="1257">
      <c r="B1257">
        <f t="array" ref="B1257">_xlfn.XLOOKUP(C1257,INDIRECT("tblEquipment[Equipment ID]"),INDIRECT("tblEquipment[Production Department]"),"")</f>
        <v/>
      </c>
      <c r="D1257">
        <f t="array" ref="D1257">_xlfn.XLOOKUP(C1257,INDIRECT("tblEquipment[Equipment ID]"),INDIRECT("tblEquipment[Equipment Name]"),"")</f>
        <v/>
      </c>
      <c r="F1257" s="16" t="n"/>
      <c r="G1257" s="16" t="n"/>
      <c r="H1257" s="1">
        <f>IF(OR(F1257=0,G1257=0),"",(G1257-F1257)*24)</f>
        <v/>
      </c>
      <c r="I1257" s="10" t="n"/>
      <c r="J1257" s="1">
        <f>IF(OR(tblDowntime[[#This Row],[Failure Type]]="Sawshop",tblDowntime[[#This Row],[Failure Type]]="Electrical",tblDowntime[[#This Row],[Failure Type]]="Mechanical"),tblDowntime[[#This Row],[Downtime Hours]],"")</f>
        <v/>
      </c>
      <c r="K1257" s="10" t="n"/>
      <c r="L1257" s="10" t="n"/>
      <c r="M1257">
        <f>IF(tblDowntime[[#This Row],[Maintenance Downtime Hours]]="","",tblDowntime[[#This Row],[Equipment ID]])</f>
        <v/>
      </c>
      <c r="N1257" s="1">
        <f>IF(tblDowntime[[#This Row],[Failure Type]]="Production",tblDowntime[[#This Row],[Downtime Hours]],"")</f>
        <v/>
      </c>
      <c r="O1257">
        <f>IF(tblDowntime[[#This Row],[Production Downtime Hours]]="","",tblDowntime[[#This Row],[Equipment ID]])</f>
        <v/>
      </c>
      <c r="P1257" s="10" t="n"/>
    </row>
    <row r="1258">
      <c r="B1258">
        <f t="array" ref="B1258">_xlfn.XLOOKUP(C1258,INDIRECT("tblEquipment[Equipment ID]"),INDIRECT("tblEquipment[Production Department]"),"")</f>
        <v/>
      </c>
      <c r="D1258">
        <f t="array" ref="D1258">_xlfn.XLOOKUP(C1258,INDIRECT("tblEquipment[Equipment ID]"),INDIRECT("tblEquipment[Equipment Name]"),"")</f>
        <v/>
      </c>
      <c r="F1258" s="16" t="n"/>
      <c r="G1258" s="16" t="n"/>
      <c r="H1258" s="1">
        <f>IF(OR(F1258=0,G1258=0),"",(G1258-F1258)*24)</f>
        <v/>
      </c>
      <c r="I1258" s="10" t="n"/>
      <c r="J1258" s="1">
        <f>IF(OR(tblDowntime[[#This Row],[Failure Type]]="Sawshop",tblDowntime[[#This Row],[Failure Type]]="Electrical",tblDowntime[[#This Row],[Failure Type]]="Mechanical"),tblDowntime[[#This Row],[Downtime Hours]],"")</f>
        <v/>
      </c>
      <c r="K1258" s="10" t="n"/>
      <c r="L1258" s="10" t="n"/>
      <c r="M1258">
        <f>IF(tblDowntime[[#This Row],[Maintenance Downtime Hours]]="","",tblDowntime[[#This Row],[Equipment ID]])</f>
        <v/>
      </c>
      <c r="N1258" s="1">
        <f>IF(tblDowntime[[#This Row],[Failure Type]]="Production",tblDowntime[[#This Row],[Downtime Hours]],"")</f>
        <v/>
      </c>
      <c r="O1258">
        <f>IF(tblDowntime[[#This Row],[Production Downtime Hours]]="","",tblDowntime[[#This Row],[Equipment ID]])</f>
        <v/>
      </c>
      <c r="P1258" s="10" t="n"/>
    </row>
    <row r="1259">
      <c r="B1259">
        <f t="array" ref="B1259">_xlfn.XLOOKUP(C1259,INDIRECT("tblEquipment[Equipment ID]"),INDIRECT("tblEquipment[Production Department]"),"")</f>
        <v/>
      </c>
      <c r="D1259">
        <f t="array" ref="D1259">_xlfn.XLOOKUP(C1259,INDIRECT("tblEquipment[Equipment ID]"),INDIRECT("tblEquipment[Equipment Name]"),"")</f>
        <v/>
      </c>
      <c r="F1259" s="16" t="n"/>
      <c r="G1259" s="16" t="n"/>
      <c r="H1259" s="1">
        <f>IF(OR(F1259=0,G1259=0),"",(G1259-F1259)*24)</f>
        <v/>
      </c>
      <c r="I1259" s="10" t="n"/>
      <c r="J1259" s="1">
        <f>IF(OR(tblDowntime[[#This Row],[Failure Type]]="Sawshop",tblDowntime[[#This Row],[Failure Type]]="Electrical",tblDowntime[[#This Row],[Failure Type]]="Mechanical"),tblDowntime[[#This Row],[Downtime Hours]],"")</f>
        <v/>
      </c>
      <c r="K1259" s="10" t="n"/>
      <c r="L1259" s="10" t="n"/>
      <c r="M1259">
        <f>IF(tblDowntime[[#This Row],[Maintenance Downtime Hours]]="","",tblDowntime[[#This Row],[Equipment ID]])</f>
        <v/>
      </c>
      <c r="N1259" s="1">
        <f>IF(tblDowntime[[#This Row],[Failure Type]]="Production",tblDowntime[[#This Row],[Downtime Hours]],"")</f>
        <v/>
      </c>
      <c r="O1259">
        <f>IF(tblDowntime[[#This Row],[Production Downtime Hours]]="","",tblDowntime[[#This Row],[Equipment ID]])</f>
        <v/>
      </c>
      <c r="P1259" s="10" t="n"/>
    </row>
    <row r="1260">
      <c r="B1260">
        <f t="array" ref="B1260">_xlfn.XLOOKUP(C1260,INDIRECT("tblEquipment[Equipment ID]"),INDIRECT("tblEquipment[Production Department]"),"")</f>
        <v/>
      </c>
      <c r="D1260">
        <f t="array" ref="D1260">_xlfn.XLOOKUP(C1260,INDIRECT("tblEquipment[Equipment ID]"),INDIRECT("tblEquipment[Equipment Name]"),"")</f>
        <v/>
      </c>
      <c r="F1260" s="16" t="n"/>
      <c r="G1260" s="16" t="n"/>
      <c r="H1260" s="1">
        <f>IF(OR(F1260=0,G1260=0),"",(G1260-F1260)*24)</f>
        <v/>
      </c>
      <c r="I1260" s="10" t="n"/>
      <c r="J1260" s="1">
        <f>IF(OR(tblDowntime[[#This Row],[Failure Type]]="Sawshop",tblDowntime[[#This Row],[Failure Type]]="Electrical",tblDowntime[[#This Row],[Failure Type]]="Mechanical"),tblDowntime[[#This Row],[Downtime Hours]],"")</f>
        <v/>
      </c>
      <c r="K1260" s="10" t="n"/>
      <c r="L1260" s="10" t="n"/>
      <c r="M1260">
        <f>IF(tblDowntime[[#This Row],[Maintenance Downtime Hours]]="","",tblDowntime[[#This Row],[Equipment ID]])</f>
        <v/>
      </c>
      <c r="N1260" s="1">
        <f>IF(tblDowntime[[#This Row],[Failure Type]]="Production",tblDowntime[[#This Row],[Downtime Hours]],"")</f>
        <v/>
      </c>
      <c r="O1260">
        <f>IF(tblDowntime[[#This Row],[Production Downtime Hours]]="","",tblDowntime[[#This Row],[Equipment ID]])</f>
        <v/>
      </c>
      <c r="P1260" s="10" t="n"/>
    </row>
    <row r="1261">
      <c r="B1261">
        <f t="array" ref="B1261">_xlfn.XLOOKUP(C1261,INDIRECT("tblEquipment[Equipment ID]"),INDIRECT("tblEquipment[Production Department]"),"")</f>
        <v/>
      </c>
      <c r="D1261">
        <f t="array" ref="D1261">_xlfn.XLOOKUP(C1261,INDIRECT("tblEquipment[Equipment ID]"),INDIRECT("tblEquipment[Equipment Name]"),"")</f>
        <v/>
      </c>
      <c r="F1261" s="16" t="n"/>
      <c r="G1261" s="16" t="n"/>
      <c r="H1261" s="1">
        <f>IF(OR(F1261=0,G1261=0),"",(G1261-F1261)*24)</f>
        <v/>
      </c>
      <c r="I1261" s="10" t="n"/>
      <c r="J1261" s="1">
        <f>IF(OR(tblDowntime[[#This Row],[Failure Type]]="Sawshop",tblDowntime[[#This Row],[Failure Type]]="Electrical",tblDowntime[[#This Row],[Failure Type]]="Mechanical"),tblDowntime[[#This Row],[Downtime Hours]],"")</f>
        <v/>
      </c>
      <c r="K1261" s="10" t="n"/>
      <c r="L1261" s="10" t="n"/>
      <c r="M1261">
        <f>IF(tblDowntime[[#This Row],[Maintenance Downtime Hours]]="","",tblDowntime[[#This Row],[Equipment ID]])</f>
        <v/>
      </c>
      <c r="N1261" s="1">
        <f>IF(tblDowntime[[#This Row],[Failure Type]]="Production",tblDowntime[[#This Row],[Downtime Hours]],"")</f>
        <v/>
      </c>
      <c r="O1261">
        <f>IF(tblDowntime[[#This Row],[Production Downtime Hours]]="","",tblDowntime[[#This Row],[Equipment ID]])</f>
        <v/>
      </c>
      <c r="P1261" s="10" t="n"/>
    </row>
    <row r="1262">
      <c r="B1262">
        <f t="array" ref="B1262">_xlfn.XLOOKUP(C1262,INDIRECT("tblEquipment[Equipment ID]"),INDIRECT("tblEquipment[Production Department]"),"")</f>
        <v/>
      </c>
      <c r="D1262">
        <f t="array" ref="D1262">_xlfn.XLOOKUP(C1262,INDIRECT("tblEquipment[Equipment ID]"),INDIRECT("tblEquipment[Equipment Name]"),"")</f>
        <v/>
      </c>
      <c r="F1262" s="16" t="n"/>
      <c r="G1262" s="16" t="n"/>
      <c r="H1262" s="1">
        <f>IF(OR(F1262=0,G1262=0),"",(G1262-F1262)*24)</f>
        <v/>
      </c>
      <c r="I1262" s="10" t="n"/>
      <c r="J1262" s="1">
        <f>IF(OR(tblDowntime[[#This Row],[Failure Type]]="Sawshop",tblDowntime[[#This Row],[Failure Type]]="Electrical",tblDowntime[[#This Row],[Failure Type]]="Mechanical"),tblDowntime[[#This Row],[Downtime Hours]],"")</f>
        <v/>
      </c>
      <c r="K1262" s="10" t="n"/>
      <c r="L1262" s="10" t="n"/>
      <c r="M1262">
        <f>IF(tblDowntime[[#This Row],[Maintenance Downtime Hours]]="","",tblDowntime[[#This Row],[Equipment ID]])</f>
        <v/>
      </c>
      <c r="N1262" s="1">
        <f>IF(tblDowntime[[#This Row],[Failure Type]]="Production",tblDowntime[[#This Row],[Downtime Hours]],"")</f>
        <v/>
      </c>
      <c r="O1262">
        <f>IF(tblDowntime[[#This Row],[Production Downtime Hours]]="","",tblDowntime[[#This Row],[Equipment ID]])</f>
        <v/>
      </c>
      <c r="P1262" s="10" t="n"/>
    </row>
    <row r="1263">
      <c r="B1263">
        <f t="array" ref="B1263">_xlfn.XLOOKUP(C1263,INDIRECT("tblEquipment[Equipment ID]"),INDIRECT("tblEquipment[Production Department]"),"")</f>
        <v/>
      </c>
      <c r="D1263">
        <f t="array" ref="D1263">_xlfn.XLOOKUP(C1263,INDIRECT("tblEquipment[Equipment ID]"),INDIRECT("tblEquipment[Equipment Name]"),"")</f>
        <v/>
      </c>
      <c r="F1263" s="16" t="n"/>
      <c r="G1263" s="16" t="n"/>
      <c r="H1263" s="1">
        <f>IF(OR(F1263=0,G1263=0),"",(G1263-F1263)*24)</f>
        <v/>
      </c>
      <c r="I1263" s="10" t="n"/>
      <c r="J1263" s="1">
        <f>IF(OR(tblDowntime[[#This Row],[Failure Type]]="Sawshop",tblDowntime[[#This Row],[Failure Type]]="Electrical",tblDowntime[[#This Row],[Failure Type]]="Mechanical"),tblDowntime[[#This Row],[Downtime Hours]],"")</f>
        <v/>
      </c>
      <c r="K1263" s="10" t="n"/>
      <c r="L1263" s="10" t="n"/>
      <c r="M1263">
        <f>IF(tblDowntime[[#This Row],[Maintenance Downtime Hours]]="","",tblDowntime[[#This Row],[Equipment ID]])</f>
        <v/>
      </c>
      <c r="N1263" s="1">
        <f>IF(tblDowntime[[#This Row],[Failure Type]]="Production",tblDowntime[[#This Row],[Downtime Hours]],"")</f>
        <v/>
      </c>
      <c r="O1263">
        <f>IF(tblDowntime[[#This Row],[Production Downtime Hours]]="","",tblDowntime[[#This Row],[Equipment ID]])</f>
        <v/>
      </c>
      <c r="P1263" s="10" t="n"/>
    </row>
    <row r="1264">
      <c r="B1264">
        <f t="array" ref="B1264">_xlfn.XLOOKUP(C1264,INDIRECT("tblEquipment[Equipment ID]"),INDIRECT("tblEquipment[Production Department]"),"")</f>
        <v/>
      </c>
      <c r="D1264">
        <f t="array" ref="D1264">_xlfn.XLOOKUP(C1264,INDIRECT("tblEquipment[Equipment ID]"),INDIRECT("tblEquipment[Equipment Name]"),"")</f>
        <v/>
      </c>
      <c r="F1264" s="16" t="n"/>
      <c r="G1264" s="16" t="n"/>
      <c r="H1264" s="1">
        <f>IF(OR(F1264=0,G1264=0),"",(G1264-F1264)*24)</f>
        <v/>
      </c>
      <c r="I1264" s="10" t="n"/>
      <c r="J1264" s="1">
        <f>IF(OR(tblDowntime[[#This Row],[Failure Type]]="Sawshop",tblDowntime[[#This Row],[Failure Type]]="Electrical",tblDowntime[[#This Row],[Failure Type]]="Mechanical"),tblDowntime[[#This Row],[Downtime Hours]],"")</f>
        <v/>
      </c>
      <c r="K1264" s="10" t="n"/>
      <c r="L1264" s="10" t="n"/>
      <c r="M1264">
        <f>IF(tblDowntime[[#This Row],[Maintenance Downtime Hours]]="","",tblDowntime[[#This Row],[Equipment ID]])</f>
        <v/>
      </c>
      <c r="N1264" s="1">
        <f>IF(tblDowntime[[#This Row],[Failure Type]]="Production",tblDowntime[[#This Row],[Downtime Hours]],"")</f>
        <v/>
      </c>
      <c r="O1264">
        <f>IF(tblDowntime[[#This Row],[Production Downtime Hours]]="","",tblDowntime[[#This Row],[Equipment ID]])</f>
        <v/>
      </c>
      <c r="P1264" s="10" t="n"/>
    </row>
    <row r="1265">
      <c r="B1265">
        <f t="array" ref="B1265">_xlfn.XLOOKUP(C1265,INDIRECT("tblEquipment[Equipment ID]"),INDIRECT("tblEquipment[Production Department]"),"")</f>
        <v/>
      </c>
      <c r="D1265">
        <f t="array" ref="D1265">_xlfn.XLOOKUP(C1265,INDIRECT("tblEquipment[Equipment ID]"),INDIRECT("tblEquipment[Equipment Name]"),"")</f>
        <v/>
      </c>
      <c r="F1265" s="16" t="n"/>
      <c r="G1265" s="16" t="n"/>
      <c r="H1265" s="1">
        <f>IF(OR(F1265=0,G1265=0),"",(G1265-F1265)*24)</f>
        <v/>
      </c>
      <c r="I1265" s="10" t="n"/>
      <c r="J1265" s="1">
        <f>IF(OR(tblDowntime[[#This Row],[Failure Type]]="Sawshop",tblDowntime[[#This Row],[Failure Type]]="Electrical",tblDowntime[[#This Row],[Failure Type]]="Mechanical"),tblDowntime[[#This Row],[Downtime Hours]],"")</f>
        <v/>
      </c>
      <c r="K1265" s="10" t="n"/>
      <c r="L1265" s="10" t="n"/>
      <c r="M1265">
        <f>IF(tblDowntime[[#This Row],[Maintenance Downtime Hours]]="","",tblDowntime[[#This Row],[Equipment ID]])</f>
        <v/>
      </c>
      <c r="N1265" s="1">
        <f>IF(tblDowntime[[#This Row],[Failure Type]]="Production",tblDowntime[[#This Row],[Downtime Hours]],"")</f>
        <v/>
      </c>
      <c r="O1265">
        <f>IF(tblDowntime[[#This Row],[Production Downtime Hours]]="","",tblDowntime[[#This Row],[Equipment ID]])</f>
        <v/>
      </c>
      <c r="P1265" s="10" t="n"/>
    </row>
    <row r="1266">
      <c r="B1266">
        <f t="array" ref="B1266">_xlfn.XLOOKUP(C1266,INDIRECT("tblEquipment[Equipment ID]"),INDIRECT("tblEquipment[Production Department]"),"")</f>
        <v/>
      </c>
      <c r="D1266">
        <f t="array" ref="D1266">_xlfn.XLOOKUP(C1266,INDIRECT("tblEquipment[Equipment ID]"),INDIRECT("tblEquipment[Equipment Name]"),"")</f>
        <v/>
      </c>
      <c r="F1266" s="16" t="n"/>
      <c r="G1266" s="16" t="n"/>
      <c r="H1266" s="1">
        <f>IF(OR(F1266=0,G1266=0),"",(G1266-F1266)*24)</f>
        <v/>
      </c>
      <c r="I1266" s="10" t="n"/>
      <c r="J1266" s="1">
        <f>IF(OR(tblDowntime[[#This Row],[Failure Type]]="Sawshop",tblDowntime[[#This Row],[Failure Type]]="Electrical",tblDowntime[[#This Row],[Failure Type]]="Mechanical"),tblDowntime[[#This Row],[Downtime Hours]],"")</f>
        <v/>
      </c>
      <c r="K1266" s="10" t="n"/>
      <c r="L1266" s="10" t="n"/>
      <c r="M1266">
        <f>IF(tblDowntime[[#This Row],[Maintenance Downtime Hours]]="","",tblDowntime[[#This Row],[Equipment ID]])</f>
        <v/>
      </c>
      <c r="N1266" s="1">
        <f>IF(tblDowntime[[#This Row],[Failure Type]]="Production",tblDowntime[[#This Row],[Downtime Hours]],"")</f>
        <v/>
      </c>
      <c r="O1266">
        <f>IF(tblDowntime[[#This Row],[Production Downtime Hours]]="","",tblDowntime[[#This Row],[Equipment ID]])</f>
        <v/>
      </c>
      <c r="P1266" s="10" t="n"/>
    </row>
    <row r="1267">
      <c r="B1267">
        <f t="array" ref="B1267">_xlfn.XLOOKUP(C1267,INDIRECT("tblEquipment[Equipment ID]"),INDIRECT("tblEquipment[Production Department]"),"")</f>
        <v/>
      </c>
      <c r="D1267">
        <f t="array" ref="D1267">_xlfn.XLOOKUP(C1267,INDIRECT("tblEquipment[Equipment ID]"),INDIRECT("tblEquipment[Equipment Name]"),"")</f>
        <v/>
      </c>
      <c r="F1267" s="16" t="n"/>
      <c r="G1267" s="16" t="n"/>
      <c r="H1267" s="1">
        <f>IF(OR(F1267=0,G1267=0),"",(G1267-F1267)*24)</f>
        <v/>
      </c>
      <c r="I1267" s="10" t="n"/>
      <c r="J1267" s="1">
        <f>IF(OR(tblDowntime[[#This Row],[Failure Type]]="Sawshop",tblDowntime[[#This Row],[Failure Type]]="Electrical",tblDowntime[[#This Row],[Failure Type]]="Mechanical"),tblDowntime[[#This Row],[Downtime Hours]],"")</f>
        <v/>
      </c>
      <c r="K1267" s="10" t="n"/>
      <c r="L1267" s="10" t="n"/>
      <c r="M1267">
        <f>IF(tblDowntime[[#This Row],[Maintenance Downtime Hours]]="","",tblDowntime[[#This Row],[Equipment ID]])</f>
        <v/>
      </c>
      <c r="N1267" s="1">
        <f>IF(tblDowntime[[#This Row],[Failure Type]]="Production",tblDowntime[[#This Row],[Downtime Hours]],"")</f>
        <v/>
      </c>
      <c r="O1267">
        <f>IF(tblDowntime[[#This Row],[Production Downtime Hours]]="","",tblDowntime[[#This Row],[Equipment ID]])</f>
        <v/>
      </c>
      <c r="P1267" s="10" t="n"/>
    </row>
    <row r="1268">
      <c r="B1268">
        <f t="array" ref="B1268">_xlfn.XLOOKUP(C1268,INDIRECT("tblEquipment[Equipment ID]"),INDIRECT("tblEquipment[Production Department]"),"")</f>
        <v/>
      </c>
      <c r="D1268">
        <f t="array" ref="D1268">_xlfn.XLOOKUP(C1268,INDIRECT("tblEquipment[Equipment ID]"),INDIRECT("tblEquipment[Equipment Name]"),"")</f>
        <v/>
      </c>
      <c r="F1268" s="16" t="n"/>
      <c r="G1268" s="16" t="n"/>
      <c r="H1268" s="1">
        <f>IF(OR(F1268=0,G1268=0),"",(G1268-F1268)*24)</f>
        <v/>
      </c>
      <c r="I1268" s="10" t="n"/>
      <c r="J1268" s="1">
        <f>IF(OR(tblDowntime[[#This Row],[Failure Type]]="Sawshop",tblDowntime[[#This Row],[Failure Type]]="Electrical",tblDowntime[[#This Row],[Failure Type]]="Mechanical"),tblDowntime[[#This Row],[Downtime Hours]],"")</f>
        <v/>
      </c>
      <c r="K1268" s="10" t="n"/>
      <c r="L1268" s="10" t="n"/>
      <c r="M1268">
        <f>IF(tblDowntime[[#This Row],[Maintenance Downtime Hours]]="","",tblDowntime[[#This Row],[Equipment ID]])</f>
        <v/>
      </c>
      <c r="N1268" s="1">
        <f>IF(tblDowntime[[#This Row],[Failure Type]]="Production",tblDowntime[[#This Row],[Downtime Hours]],"")</f>
        <v/>
      </c>
      <c r="O1268">
        <f>IF(tblDowntime[[#This Row],[Production Downtime Hours]]="","",tblDowntime[[#This Row],[Equipment ID]])</f>
        <v/>
      </c>
      <c r="P1268" s="10" t="n"/>
    </row>
    <row r="1269">
      <c r="B1269">
        <f t="array" ref="B1269">_xlfn.XLOOKUP(C1269,INDIRECT("tblEquipment[Equipment ID]"),INDIRECT("tblEquipment[Production Department]"),"")</f>
        <v/>
      </c>
      <c r="D1269">
        <f t="array" ref="D1269">_xlfn.XLOOKUP(C1269,INDIRECT("tblEquipment[Equipment ID]"),INDIRECT("tblEquipment[Equipment Name]"),"")</f>
        <v/>
      </c>
      <c r="F1269" s="16" t="n"/>
      <c r="G1269" s="16" t="n"/>
      <c r="H1269" s="1">
        <f>IF(OR(F1269=0,G1269=0),"",(G1269-F1269)*24)</f>
        <v/>
      </c>
      <c r="I1269" s="10" t="n"/>
      <c r="J1269" s="1">
        <f>IF(OR(tblDowntime[[#This Row],[Failure Type]]="Sawshop",tblDowntime[[#This Row],[Failure Type]]="Electrical",tblDowntime[[#This Row],[Failure Type]]="Mechanical"),tblDowntime[[#This Row],[Downtime Hours]],"")</f>
        <v/>
      </c>
      <c r="K1269" s="10" t="n"/>
      <c r="L1269" s="10" t="n"/>
      <c r="M1269">
        <f>IF(tblDowntime[[#This Row],[Maintenance Downtime Hours]]="","",tblDowntime[[#This Row],[Equipment ID]])</f>
        <v/>
      </c>
      <c r="N1269" s="1">
        <f>IF(tblDowntime[[#This Row],[Failure Type]]="Production",tblDowntime[[#This Row],[Downtime Hours]],"")</f>
        <v/>
      </c>
      <c r="O1269">
        <f>IF(tblDowntime[[#This Row],[Production Downtime Hours]]="","",tblDowntime[[#This Row],[Equipment ID]])</f>
        <v/>
      </c>
      <c r="P1269" s="10" t="n"/>
    </row>
    <row r="1270">
      <c r="B1270">
        <f t="array" ref="B1270">_xlfn.XLOOKUP(C1270,INDIRECT("tblEquipment[Equipment ID]"),INDIRECT("tblEquipment[Production Department]"),"")</f>
        <v/>
      </c>
      <c r="D1270">
        <f t="array" ref="D1270">_xlfn.XLOOKUP(C1270,INDIRECT("tblEquipment[Equipment ID]"),INDIRECT("tblEquipment[Equipment Name]"),"")</f>
        <v/>
      </c>
      <c r="F1270" s="16" t="n"/>
      <c r="G1270" s="16" t="n"/>
      <c r="H1270" s="1">
        <f>IF(OR(F1270=0,G1270=0),"",(G1270-F1270)*24)</f>
        <v/>
      </c>
      <c r="I1270" s="10" t="n"/>
      <c r="J1270" s="1">
        <f>IF(OR(tblDowntime[[#This Row],[Failure Type]]="Sawshop",tblDowntime[[#This Row],[Failure Type]]="Electrical",tblDowntime[[#This Row],[Failure Type]]="Mechanical"),tblDowntime[[#This Row],[Downtime Hours]],"")</f>
        <v/>
      </c>
      <c r="K1270" s="10" t="n"/>
      <c r="L1270" s="10" t="n"/>
      <c r="M1270">
        <f>IF(tblDowntime[[#This Row],[Maintenance Downtime Hours]]="","",tblDowntime[[#This Row],[Equipment ID]])</f>
        <v/>
      </c>
      <c r="N1270" s="1">
        <f>IF(tblDowntime[[#This Row],[Failure Type]]="Production",tblDowntime[[#This Row],[Downtime Hours]],"")</f>
        <v/>
      </c>
      <c r="O1270">
        <f>IF(tblDowntime[[#This Row],[Production Downtime Hours]]="","",tblDowntime[[#This Row],[Equipment ID]])</f>
        <v/>
      </c>
      <c r="P1270" s="10" t="n"/>
    </row>
    <row r="1271">
      <c r="B1271">
        <f t="array" ref="B1271">_xlfn.XLOOKUP(C1271,INDIRECT("tblEquipment[Equipment ID]"),INDIRECT("tblEquipment[Production Department]"),"")</f>
        <v/>
      </c>
      <c r="D1271">
        <f t="array" ref="D1271">_xlfn.XLOOKUP(C1271,INDIRECT("tblEquipment[Equipment ID]"),INDIRECT("tblEquipment[Equipment Name]"),"")</f>
        <v/>
      </c>
      <c r="F1271" s="16" t="n"/>
      <c r="G1271" s="16" t="n"/>
      <c r="H1271" s="1">
        <f>IF(OR(F1271=0,G1271=0),"",(G1271-F1271)*24)</f>
        <v/>
      </c>
      <c r="I1271" s="10" t="n"/>
      <c r="J1271" s="1">
        <f>IF(OR(tblDowntime[[#This Row],[Failure Type]]="Sawshop",tblDowntime[[#This Row],[Failure Type]]="Electrical",tblDowntime[[#This Row],[Failure Type]]="Mechanical"),tblDowntime[[#This Row],[Downtime Hours]],"")</f>
        <v/>
      </c>
      <c r="K1271" s="10" t="n"/>
      <c r="L1271" s="10" t="n"/>
      <c r="M1271">
        <f>IF(tblDowntime[[#This Row],[Maintenance Downtime Hours]]="","",tblDowntime[[#This Row],[Equipment ID]])</f>
        <v/>
      </c>
      <c r="N1271" s="1">
        <f>IF(tblDowntime[[#This Row],[Failure Type]]="Production",tblDowntime[[#This Row],[Downtime Hours]],"")</f>
        <v/>
      </c>
      <c r="O1271">
        <f>IF(tblDowntime[[#This Row],[Production Downtime Hours]]="","",tblDowntime[[#This Row],[Equipment ID]])</f>
        <v/>
      </c>
      <c r="P1271" s="10" t="n"/>
    </row>
    <row r="1272">
      <c r="B1272">
        <f t="array" ref="B1272">_xlfn.XLOOKUP(C1272,INDIRECT("tblEquipment[Equipment ID]"),INDIRECT("tblEquipment[Production Department]"),"")</f>
        <v/>
      </c>
      <c r="D1272">
        <f t="array" ref="D1272">_xlfn.XLOOKUP(C1272,INDIRECT("tblEquipment[Equipment ID]"),INDIRECT("tblEquipment[Equipment Name]"),"")</f>
        <v/>
      </c>
      <c r="F1272" s="16" t="n"/>
      <c r="G1272" s="16" t="n"/>
      <c r="H1272" s="1">
        <f>IF(OR(F1272=0,G1272=0),"",(G1272-F1272)*24)</f>
        <v/>
      </c>
      <c r="I1272" s="10" t="n"/>
      <c r="J1272" s="1">
        <f>IF(OR(tblDowntime[[#This Row],[Failure Type]]="Sawshop",tblDowntime[[#This Row],[Failure Type]]="Electrical",tblDowntime[[#This Row],[Failure Type]]="Mechanical"),tblDowntime[[#This Row],[Downtime Hours]],"")</f>
        <v/>
      </c>
      <c r="K1272" s="10" t="n"/>
      <c r="L1272" s="10" t="n"/>
      <c r="M1272">
        <f>IF(tblDowntime[[#This Row],[Maintenance Downtime Hours]]="","",tblDowntime[[#This Row],[Equipment ID]])</f>
        <v/>
      </c>
      <c r="N1272" s="1">
        <f>IF(tblDowntime[[#This Row],[Failure Type]]="Production",tblDowntime[[#This Row],[Downtime Hours]],"")</f>
        <v/>
      </c>
      <c r="O1272">
        <f>IF(tblDowntime[[#This Row],[Production Downtime Hours]]="","",tblDowntime[[#This Row],[Equipment ID]])</f>
        <v/>
      </c>
      <c r="P1272" s="10" t="n"/>
    </row>
    <row r="1273">
      <c r="B1273">
        <f t="array" ref="B1273">_xlfn.XLOOKUP(C1273,INDIRECT("tblEquipment[Equipment ID]"),INDIRECT("tblEquipment[Production Department]"),"")</f>
        <v/>
      </c>
      <c r="D1273">
        <f t="array" ref="D1273">_xlfn.XLOOKUP(C1273,INDIRECT("tblEquipment[Equipment ID]"),INDIRECT("tblEquipment[Equipment Name]"),"")</f>
        <v/>
      </c>
      <c r="F1273" s="16" t="n"/>
      <c r="G1273" s="16" t="n"/>
      <c r="H1273" s="1">
        <f>IF(OR(F1273=0,G1273=0),"",(G1273-F1273)*24)</f>
        <v/>
      </c>
      <c r="I1273" s="10" t="n"/>
      <c r="J1273" s="1">
        <f>IF(OR(tblDowntime[[#This Row],[Failure Type]]="Sawshop",tblDowntime[[#This Row],[Failure Type]]="Electrical",tblDowntime[[#This Row],[Failure Type]]="Mechanical"),tblDowntime[[#This Row],[Downtime Hours]],"")</f>
        <v/>
      </c>
      <c r="K1273" s="10" t="n"/>
      <c r="L1273" s="10" t="n"/>
      <c r="M1273">
        <f>IF(tblDowntime[[#This Row],[Maintenance Downtime Hours]]="","",tblDowntime[[#This Row],[Equipment ID]])</f>
        <v/>
      </c>
      <c r="N1273" s="1">
        <f>IF(tblDowntime[[#This Row],[Failure Type]]="Production",tblDowntime[[#This Row],[Downtime Hours]],"")</f>
        <v/>
      </c>
      <c r="O1273">
        <f>IF(tblDowntime[[#This Row],[Production Downtime Hours]]="","",tblDowntime[[#This Row],[Equipment ID]])</f>
        <v/>
      </c>
      <c r="P1273" s="10" t="n"/>
    </row>
    <row r="1274">
      <c r="B1274">
        <f t="array" ref="B1274">_xlfn.XLOOKUP(C1274,INDIRECT("tblEquipment[Equipment ID]"),INDIRECT("tblEquipment[Production Department]"),"")</f>
        <v/>
      </c>
      <c r="D1274">
        <f t="array" ref="D1274">_xlfn.XLOOKUP(C1274,INDIRECT("tblEquipment[Equipment ID]"),INDIRECT("tblEquipment[Equipment Name]"),"")</f>
        <v/>
      </c>
      <c r="F1274" s="16" t="n"/>
      <c r="G1274" s="16" t="n"/>
      <c r="H1274" s="1">
        <f>IF(OR(F1274=0,G1274=0),"",(G1274-F1274)*24)</f>
        <v/>
      </c>
      <c r="I1274" s="10" t="n"/>
      <c r="J1274" s="1">
        <f>IF(OR(tblDowntime[[#This Row],[Failure Type]]="Sawshop",tblDowntime[[#This Row],[Failure Type]]="Electrical",tblDowntime[[#This Row],[Failure Type]]="Mechanical"),tblDowntime[[#This Row],[Downtime Hours]],"")</f>
        <v/>
      </c>
      <c r="K1274" s="10" t="n"/>
      <c r="L1274" s="10" t="n"/>
      <c r="M1274">
        <f>IF(tblDowntime[[#This Row],[Maintenance Downtime Hours]]="","",tblDowntime[[#This Row],[Equipment ID]])</f>
        <v/>
      </c>
      <c r="N1274" s="1">
        <f>IF(tblDowntime[[#This Row],[Failure Type]]="Production",tblDowntime[[#This Row],[Downtime Hours]],"")</f>
        <v/>
      </c>
      <c r="O1274">
        <f>IF(tblDowntime[[#This Row],[Production Downtime Hours]]="","",tblDowntime[[#This Row],[Equipment ID]])</f>
        <v/>
      </c>
      <c r="P1274" s="10" t="n"/>
    </row>
    <row r="1275">
      <c r="B1275">
        <f t="array" ref="B1275">_xlfn.XLOOKUP(C1275,INDIRECT("tblEquipment[Equipment ID]"),INDIRECT("tblEquipment[Production Department]"),"")</f>
        <v/>
      </c>
      <c r="D1275">
        <f t="array" ref="D1275">_xlfn.XLOOKUP(C1275,INDIRECT("tblEquipment[Equipment ID]"),INDIRECT("tblEquipment[Equipment Name]"),"")</f>
        <v/>
      </c>
      <c r="F1275" s="16" t="n"/>
      <c r="G1275" s="16" t="n"/>
      <c r="H1275" s="1">
        <f>IF(OR(F1275=0,G1275=0),"",(G1275-F1275)*24)</f>
        <v/>
      </c>
      <c r="I1275" s="10" t="n"/>
      <c r="J1275" s="1">
        <f>IF(OR(tblDowntime[[#This Row],[Failure Type]]="Sawshop",tblDowntime[[#This Row],[Failure Type]]="Electrical",tblDowntime[[#This Row],[Failure Type]]="Mechanical"),tblDowntime[[#This Row],[Downtime Hours]],"")</f>
        <v/>
      </c>
      <c r="K1275" s="10" t="n"/>
      <c r="L1275" s="10" t="n"/>
      <c r="M1275">
        <f>IF(tblDowntime[[#This Row],[Maintenance Downtime Hours]]="","",tblDowntime[[#This Row],[Equipment ID]])</f>
        <v/>
      </c>
      <c r="N1275" s="1">
        <f>IF(tblDowntime[[#This Row],[Failure Type]]="Production",tblDowntime[[#This Row],[Downtime Hours]],"")</f>
        <v/>
      </c>
      <c r="O1275">
        <f>IF(tblDowntime[[#This Row],[Production Downtime Hours]]="","",tblDowntime[[#This Row],[Equipment ID]])</f>
        <v/>
      </c>
      <c r="P1275" s="10" t="n"/>
    </row>
    <row r="1276">
      <c r="B1276">
        <f t="array" ref="B1276">_xlfn.XLOOKUP(C1276,INDIRECT("tblEquipment[Equipment ID]"),INDIRECT("tblEquipment[Production Department]"),"")</f>
        <v/>
      </c>
      <c r="D1276">
        <f t="array" ref="D1276">_xlfn.XLOOKUP(C1276,INDIRECT("tblEquipment[Equipment ID]"),INDIRECT("tblEquipment[Equipment Name]"),"")</f>
        <v/>
      </c>
      <c r="F1276" s="16" t="n"/>
      <c r="G1276" s="16" t="n"/>
      <c r="H1276" s="1">
        <f>IF(OR(F1276=0,G1276=0),"",(G1276-F1276)*24)</f>
        <v/>
      </c>
      <c r="I1276" s="10" t="n"/>
      <c r="J1276" s="1">
        <f>IF(OR(tblDowntime[[#This Row],[Failure Type]]="Sawshop",tblDowntime[[#This Row],[Failure Type]]="Electrical",tblDowntime[[#This Row],[Failure Type]]="Mechanical"),tblDowntime[[#This Row],[Downtime Hours]],"")</f>
        <v/>
      </c>
      <c r="K1276" s="10" t="n"/>
      <c r="L1276" s="10" t="n"/>
      <c r="M1276">
        <f>IF(tblDowntime[[#This Row],[Maintenance Downtime Hours]]="","",tblDowntime[[#This Row],[Equipment ID]])</f>
        <v/>
      </c>
      <c r="N1276" s="1">
        <f>IF(tblDowntime[[#This Row],[Failure Type]]="Production",tblDowntime[[#This Row],[Downtime Hours]],"")</f>
        <v/>
      </c>
      <c r="O1276">
        <f>IF(tblDowntime[[#This Row],[Production Downtime Hours]]="","",tblDowntime[[#This Row],[Equipment ID]])</f>
        <v/>
      </c>
      <c r="P1276" s="10" t="n"/>
    </row>
    <row r="1277">
      <c r="B1277">
        <f t="array" ref="B1277">_xlfn.XLOOKUP(C1277,INDIRECT("tblEquipment[Equipment ID]"),INDIRECT("tblEquipment[Production Department]"),"")</f>
        <v/>
      </c>
      <c r="D1277">
        <f t="array" ref="D1277">_xlfn.XLOOKUP(C1277,INDIRECT("tblEquipment[Equipment ID]"),INDIRECT("tblEquipment[Equipment Name]"),"")</f>
        <v/>
      </c>
      <c r="F1277" s="16" t="n"/>
      <c r="G1277" s="16" t="n"/>
      <c r="H1277" s="1">
        <f>IF(OR(F1277=0,G1277=0),"",(G1277-F1277)*24)</f>
        <v/>
      </c>
      <c r="I1277" s="10" t="n"/>
      <c r="J1277" s="1">
        <f>IF(OR(tblDowntime[[#This Row],[Failure Type]]="Sawshop",tblDowntime[[#This Row],[Failure Type]]="Electrical",tblDowntime[[#This Row],[Failure Type]]="Mechanical"),tblDowntime[[#This Row],[Downtime Hours]],"")</f>
        <v/>
      </c>
      <c r="K1277" s="10" t="n"/>
      <c r="L1277" s="10" t="n"/>
      <c r="M1277">
        <f>IF(tblDowntime[[#This Row],[Maintenance Downtime Hours]]="","",tblDowntime[[#This Row],[Equipment ID]])</f>
        <v/>
      </c>
      <c r="N1277" s="1">
        <f>IF(tblDowntime[[#This Row],[Failure Type]]="Production",tblDowntime[[#This Row],[Downtime Hours]],"")</f>
        <v/>
      </c>
      <c r="O1277">
        <f>IF(tblDowntime[[#This Row],[Production Downtime Hours]]="","",tblDowntime[[#This Row],[Equipment ID]])</f>
        <v/>
      </c>
      <c r="P1277" s="10" t="n"/>
    </row>
    <row r="1278">
      <c r="B1278">
        <f t="array" ref="B1278">_xlfn.XLOOKUP(C1278,INDIRECT("tblEquipment[Equipment ID]"),INDIRECT("tblEquipment[Production Department]"),"")</f>
        <v/>
      </c>
      <c r="D1278">
        <f t="array" ref="D1278">_xlfn.XLOOKUP(C1278,INDIRECT("tblEquipment[Equipment ID]"),INDIRECT("tblEquipment[Equipment Name]"),"")</f>
        <v/>
      </c>
      <c r="F1278" s="16" t="n"/>
      <c r="G1278" s="16" t="n"/>
      <c r="H1278" s="1">
        <f>IF(OR(F1278=0,G1278=0),"",(G1278-F1278)*24)</f>
        <v/>
      </c>
      <c r="I1278" s="10" t="n"/>
      <c r="J1278" s="1">
        <f>IF(OR(tblDowntime[[#This Row],[Failure Type]]="Sawshop",tblDowntime[[#This Row],[Failure Type]]="Electrical",tblDowntime[[#This Row],[Failure Type]]="Mechanical"),tblDowntime[[#This Row],[Downtime Hours]],"")</f>
        <v/>
      </c>
      <c r="K1278" s="10" t="n"/>
      <c r="L1278" s="10" t="n"/>
      <c r="M1278">
        <f>IF(tblDowntime[[#This Row],[Maintenance Downtime Hours]]="","",tblDowntime[[#This Row],[Equipment ID]])</f>
        <v/>
      </c>
      <c r="N1278" s="1">
        <f>IF(tblDowntime[[#This Row],[Failure Type]]="Production",tblDowntime[[#This Row],[Downtime Hours]],"")</f>
        <v/>
      </c>
      <c r="O1278">
        <f>IF(tblDowntime[[#This Row],[Production Downtime Hours]]="","",tblDowntime[[#This Row],[Equipment ID]])</f>
        <v/>
      </c>
      <c r="P1278" s="10" t="n"/>
    </row>
    <row r="1279">
      <c r="B1279">
        <f t="array" ref="B1279">_xlfn.XLOOKUP(C1279,INDIRECT("tblEquipment[Equipment ID]"),INDIRECT("tblEquipment[Production Department]"),"")</f>
        <v/>
      </c>
      <c r="D1279">
        <f t="array" ref="D1279">_xlfn.XLOOKUP(C1279,INDIRECT("tblEquipment[Equipment ID]"),INDIRECT("tblEquipment[Equipment Name]"),"")</f>
        <v/>
      </c>
      <c r="F1279" s="16" t="n"/>
      <c r="G1279" s="16" t="n"/>
      <c r="H1279" s="1">
        <f>IF(OR(F1279=0,G1279=0),"",(G1279-F1279)*24)</f>
        <v/>
      </c>
      <c r="I1279" s="10" t="n"/>
      <c r="J1279" s="1">
        <f>IF(OR(tblDowntime[[#This Row],[Failure Type]]="Sawshop",tblDowntime[[#This Row],[Failure Type]]="Electrical",tblDowntime[[#This Row],[Failure Type]]="Mechanical"),tblDowntime[[#This Row],[Downtime Hours]],"")</f>
        <v/>
      </c>
      <c r="K1279" s="10" t="n"/>
      <c r="L1279" s="10" t="n"/>
      <c r="M1279">
        <f>IF(tblDowntime[[#This Row],[Maintenance Downtime Hours]]="","",tblDowntime[[#This Row],[Equipment ID]])</f>
        <v/>
      </c>
      <c r="N1279" s="1">
        <f>IF(tblDowntime[[#This Row],[Failure Type]]="Production",tblDowntime[[#This Row],[Downtime Hours]],"")</f>
        <v/>
      </c>
      <c r="O1279">
        <f>IF(tblDowntime[[#This Row],[Production Downtime Hours]]="","",tblDowntime[[#This Row],[Equipment ID]])</f>
        <v/>
      </c>
      <c r="P1279" s="10" t="n"/>
    </row>
    <row r="1280">
      <c r="B1280">
        <f t="array" ref="B1280">_xlfn.XLOOKUP(C1280,INDIRECT("tblEquipment[Equipment ID]"),INDIRECT("tblEquipment[Production Department]"),"")</f>
        <v/>
      </c>
      <c r="D1280">
        <f t="array" ref="D1280">_xlfn.XLOOKUP(C1280,INDIRECT("tblEquipment[Equipment ID]"),INDIRECT("tblEquipment[Equipment Name]"),"")</f>
        <v/>
      </c>
      <c r="F1280" s="16" t="n"/>
      <c r="G1280" s="16" t="n"/>
      <c r="H1280" s="1">
        <f>IF(OR(F1280=0,G1280=0),"",(G1280-F1280)*24)</f>
        <v/>
      </c>
      <c r="I1280" s="10" t="n"/>
      <c r="J1280" s="1">
        <f>IF(OR(tblDowntime[[#This Row],[Failure Type]]="Sawshop",tblDowntime[[#This Row],[Failure Type]]="Electrical",tblDowntime[[#This Row],[Failure Type]]="Mechanical"),tblDowntime[[#This Row],[Downtime Hours]],"")</f>
        <v/>
      </c>
      <c r="K1280" s="10" t="n"/>
      <c r="L1280" s="10" t="n"/>
      <c r="M1280">
        <f>IF(tblDowntime[[#This Row],[Maintenance Downtime Hours]]="","",tblDowntime[[#This Row],[Equipment ID]])</f>
        <v/>
      </c>
      <c r="N1280" s="1">
        <f>IF(tblDowntime[[#This Row],[Failure Type]]="Production",tblDowntime[[#This Row],[Downtime Hours]],"")</f>
        <v/>
      </c>
      <c r="O1280">
        <f>IF(tblDowntime[[#This Row],[Production Downtime Hours]]="","",tblDowntime[[#This Row],[Equipment ID]])</f>
        <v/>
      </c>
      <c r="P1280" s="10" t="n"/>
    </row>
    <row r="1281">
      <c r="B1281">
        <f t="array" ref="B1281">_xlfn.XLOOKUP(C1281,INDIRECT("tblEquipment[Equipment ID]"),INDIRECT("tblEquipment[Production Department]"),"")</f>
        <v/>
      </c>
      <c r="D1281">
        <f t="array" ref="D1281">_xlfn.XLOOKUP(C1281,INDIRECT("tblEquipment[Equipment ID]"),INDIRECT("tblEquipment[Equipment Name]"),"")</f>
        <v/>
      </c>
      <c r="F1281" s="16" t="n"/>
      <c r="G1281" s="16" t="n"/>
      <c r="H1281" s="1">
        <f>IF(OR(F1281=0,G1281=0),"",(G1281-F1281)*24)</f>
        <v/>
      </c>
      <c r="I1281" s="10" t="n"/>
      <c r="J1281" s="1">
        <f>IF(OR(tblDowntime[[#This Row],[Failure Type]]="Sawshop",tblDowntime[[#This Row],[Failure Type]]="Electrical",tblDowntime[[#This Row],[Failure Type]]="Mechanical"),tblDowntime[[#This Row],[Downtime Hours]],"")</f>
        <v/>
      </c>
      <c r="K1281" s="10" t="n"/>
      <c r="L1281" s="10" t="n"/>
      <c r="M1281">
        <f>IF(tblDowntime[[#This Row],[Maintenance Downtime Hours]]="","",tblDowntime[[#This Row],[Equipment ID]])</f>
        <v/>
      </c>
      <c r="N1281" s="1">
        <f>IF(tblDowntime[[#This Row],[Failure Type]]="Production",tblDowntime[[#This Row],[Downtime Hours]],"")</f>
        <v/>
      </c>
      <c r="O1281">
        <f>IF(tblDowntime[[#This Row],[Production Downtime Hours]]="","",tblDowntime[[#This Row],[Equipment ID]])</f>
        <v/>
      </c>
      <c r="P1281" s="10" t="n"/>
    </row>
    <row r="1282">
      <c r="B1282">
        <f t="array" ref="B1282">_xlfn.XLOOKUP(C1282,INDIRECT("tblEquipment[Equipment ID]"),INDIRECT("tblEquipment[Production Department]"),"")</f>
        <v/>
      </c>
      <c r="D1282">
        <f t="array" ref="D1282">_xlfn.XLOOKUP(C1282,INDIRECT("tblEquipment[Equipment ID]"),INDIRECT("tblEquipment[Equipment Name]"),"")</f>
        <v/>
      </c>
      <c r="F1282" s="16" t="n"/>
      <c r="G1282" s="16" t="n"/>
      <c r="H1282" s="1">
        <f>IF(OR(F1282=0,G1282=0),"",(G1282-F1282)*24)</f>
        <v/>
      </c>
      <c r="I1282" s="10" t="n"/>
      <c r="J1282" s="1">
        <f>IF(OR(tblDowntime[[#This Row],[Failure Type]]="Sawshop",tblDowntime[[#This Row],[Failure Type]]="Electrical",tblDowntime[[#This Row],[Failure Type]]="Mechanical"),tblDowntime[[#This Row],[Downtime Hours]],"")</f>
        <v/>
      </c>
      <c r="K1282" s="10" t="n"/>
      <c r="L1282" s="10" t="n"/>
      <c r="M1282">
        <f>IF(tblDowntime[[#This Row],[Maintenance Downtime Hours]]="","",tblDowntime[[#This Row],[Equipment ID]])</f>
        <v/>
      </c>
      <c r="N1282" s="1">
        <f>IF(tblDowntime[[#This Row],[Failure Type]]="Production",tblDowntime[[#This Row],[Downtime Hours]],"")</f>
        <v/>
      </c>
      <c r="O1282">
        <f>IF(tblDowntime[[#This Row],[Production Downtime Hours]]="","",tblDowntime[[#This Row],[Equipment ID]])</f>
        <v/>
      </c>
      <c r="P1282" s="10" t="n"/>
    </row>
    <row r="1283">
      <c r="B1283">
        <f t="array" ref="B1283">_xlfn.XLOOKUP(C1283,INDIRECT("tblEquipment[Equipment ID]"),INDIRECT("tblEquipment[Production Department]"),"")</f>
        <v/>
      </c>
      <c r="D1283">
        <f t="array" ref="D1283">_xlfn.XLOOKUP(C1283,INDIRECT("tblEquipment[Equipment ID]"),INDIRECT("tblEquipment[Equipment Name]"),"")</f>
        <v/>
      </c>
      <c r="F1283" s="16" t="n"/>
      <c r="G1283" s="16" t="n"/>
      <c r="H1283" s="1">
        <f>IF(OR(F1283=0,G1283=0),"",(G1283-F1283)*24)</f>
        <v/>
      </c>
      <c r="I1283" s="10" t="n"/>
      <c r="J1283" s="1">
        <f>IF(OR(tblDowntime[[#This Row],[Failure Type]]="Sawshop",tblDowntime[[#This Row],[Failure Type]]="Electrical",tblDowntime[[#This Row],[Failure Type]]="Mechanical"),tblDowntime[[#This Row],[Downtime Hours]],"")</f>
        <v/>
      </c>
      <c r="K1283" s="10" t="n"/>
      <c r="L1283" s="10" t="n"/>
      <c r="M1283">
        <f>IF(tblDowntime[[#This Row],[Maintenance Downtime Hours]]="","",tblDowntime[[#This Row],[Equipment ID]])</f>
        <v/>
      </c>
      <c r="N1283" s="1">
        <f>IF(tblDowntime[[#This Row],[Failure Type]]="Production",tblDowntime[[#This Row],[Downtime Hours]],"")</f>
        <v/>
      </c>
      <c r="O1283">
        <f>IF(tblDowntime[[#This Row],[Production Downtime Hours]]="","",tblDowntime[[#This Row],[Equipment ID]])</f>
        <v/>
      </c>
      <c r="P1283" s="10" t="n"/>
    </row>
    <row r="1284">
      <c r="B1284">
        <f t="array" ref="B1284">_xlfn.XLOOKUP(C1284,INDIRECT("tblEquipment[Equipment ID]"),INDIRECT("tblEquipment[Production Department]"),"")</f>
        <v/>
      </c>
      <c r="D1284">
        <f t="array" ref="D1284">_xlfn.XLOOKUP(C1284,INDIRECT("tblEquipment[Equipment ID]"),INDIRECT("tblEquipment[Equipment Name]"),"")</f>
        <v/>
      </c>
      <c r="F1284" s="16" t="n"/>
      <c r="G1284" s="16" t="n"/>
      <c r="H1284" s="1">
        <f>IF(OR(F1284=0,G1284=0),"",(G1284-F1284)*24)</f>
        <v/>
      </c>
      <c r="I1284" s="10" t="n"/>
      <c r="J1284" s="1">
        <f>IF(OR(tblDowntime[[#This Row],[Failure Type]]="Sawshop",tblDowntime[[#This Row],[Failure Type]]="Electrical",tblDowntime[[#This Row],[Failure Type]]="Mechanical"),tblDowntime[[#This Row],[Downtime Hours]],"")</f>
        <v/>
      </c>
      <c r="K1284" s="10" t="n"/>
      <c r="L1284" s="10" t="n"/>
      <c r="M1284">
        <f>IF(tblDowntime[[#This Row],[Maintenance Downtime Hours]]="","",tblDowntime[[#This Row],[Equipment ID]])</f>
        <v/>
      </c>
      <c r="N1284" s="1">
        <f>IF(tblDowntime[[#This Row],[Failure Type]]="Production",tblDowntime[[#This Row],[Downtime Hours]],"")</f>
        <v/>
      </c>
      <c r="O1284">
        <f>IF(tblDowntime[[#This Row],[Production Downtime Hours]]="","",tblDowntime[[#This Row],[Equipment ID]])</f>
        <v/>
      </c>
      <c r="P1284" s="10" t="n"/>
    </row>
    <row r="1285">
      <c r="B1285">
        <f t="array" ref="B1285">_xlfn.XLOOKUP(C1285,INDIRECT("tblEquipment[Equipment ID]"),INDIRECT("tblEquipment[Production Department]"),"")</f>
        <v/>
      </c>
      <c r="D1285">
        <f t="array" ref="D1285">_xlfn.XLOOKUP(C1285,INDIRECT("tblEquipment[Equipment ID]"),INDIRECT("tblEquipment[Equipment Name]"),"")</f>
        <v/>
      </c>
      <c r="F1285" s="16" t="n"/>
      <c r="G1285" s="16" t="n"/>
      <c r="H1285" s="1">
        <f>IF(OR(F1285=0,G1285=0),"",(G1285-F1285)*24)</f>
        <v/>
      </c>
      <c r="I1285" s="10" t="n"/>
      <c r="J1285" s="1">
        <f>IF(OR(tblDowntime[[#This Row],[Failure Type]]="Sawshop",tblDowntime[[#This Row],[Failure Type]]="Electrical",tblDowntime[[#This Row],[Failure Type]]="Mechanical"),tblDowntime[[#This Row],[Downtime Hours]],"")</f>
        <v/>
      </c>
      <c r="K1285" s="10" t="n"/>
      <c r="L1285" s="10" t="n"/>
      <c r="M1285">
        <f>IF(tblDowntime[[#This Row],[Maintenance Downtime Hours]]="","",tblDowntime[[#This Row],[Equipment ID]])</f>
        <v/>
      </c>
      <c r="N1285" s="1">
        <f>IF(tblDowntime[[#This Row],[Failure Type]]="Production",tblDowntime[[#This Row],[Downtime Hours]],"")</f>
        <v/>
      </c>
      <c r="O1285">
        <f>IF(tblDowntime[[#This Row],[Production Downtime Hours]]="","",tblDowntime[[#This Row],[Equipment ID]])</f>
        <v/>
      </c>
      <c r="P1285" s="10" t="n"/>
    </row>
    <row r="1286">
      <c r="B1286">
        <f t="array" ref="B1286">_xlfn.XLOOKUP(C1286,INDIRECT("tblEquipment[Equipment ID]"),INDIRECT("tblEquipment[Production Department]"),"")</f>
        <v/>
      </c>
      <c r="D1286">
        <f t="array" ref="D1286">_xlfn.XLOOKUP(C1286,INDIRECT("tblEquipment[Equipment ID]"),INDIRECT("tblEquipment[Equipment Name]"),"")</f>
        <v/>
      </c>
      <c r="F1286" s="16" t="n"/>
      <c r="G1286" s="16" t="n"/>
      <c r="H1286" s="1">
        <f>IF(OR(F1286=0,G1286=0),"",(G1286-F1286)*24)</f>
        <v/>
      </c>
      <c r="I1286" s="10" t="n"/>
      <c r="J1286" s="1">
        <f>IF(OR(tblDowntime[[#This Row],[Failure Type]]="Sawshop",tblDowntime[[#This Row],[Failure Type]]="Electrical",tblDowntime[[#This Row],[Failure Type]]="Mechanical"),tblDowntime[[#This Row],[Downtime Hours]],"")</f>
        <v/>
      </c>
      <c r="K1286" s="10" t="n"/>
      <c r="L1286" s="10" t="n"/>
      <c r="M1286">
        <f>IF(tblDowntime[[#This Row],[Maintenance Downtime Hours]]="","",tblDowntime[[#This Row],[Equipment ID]])</f>
        <v/>
      </c>
      <c r="N1286" s="1">
        <f>IF(tblDowntime[[#This Row],[Failure Type]]="Production",tblDowntime[[#This Row],[Downtime Hours]],"")</f>
        <v/>
      </c>
      <c r="O1286">
        <f>IF(tblDowntime[[#This Row],[Production Downtime Hours]]="","",tblDowntime[[#This Row],[Equipment ID]])</f>
        <v/>
      </c>
      <c r="P1286" s="10" t="n"/>
    </row>
    <row r="1287">
      <c r="B1287">
        <f t="array" ref="B1287">_xlfn.XLOOKUP(C1287,INDIRECT("tblEquipment[Equipment ID]"),INDIRECT("tblEquipment[Production Department]"),"")</f>
        <v/>
      </c>
      <c r="D1287">
        <f t="array" ref="D1287">_xlfn.XLOOKUP(C1287,INDIRECT("tblEquipment[Equipment ID]"),INDIRECT("tblEquipment[Equipment Name]"),"")</f>
        <v/>
      </c>
      <c r="F1287" s="16" t="n"/>
      <c r="G1287" s="16" t="n"/>
      <c r="H1287" s="1">
        <f>IF(OR(F1287=0,G1287=0),"",(G1287-F1287)*24)</f>
        <v/>
      </c>
      <c r="I1287" s="10" t="n"/>
      <c r="J1287" s="1">
        <f>IF(OR(tblDowntime[[#This Row],[Failure Type]]="Sawshop",tblDowntime[[#This Row],[Failure Type]]="Electrical",tblDowntime[[#This Row],[Failure Type]]="Mechanical"),tblDowntime[[#This Row],[Downtime Hours]],"")</f>
        <v/>
      </c>
      <c r="K1287" s="10" t="n"/>
      <c r="L1287" s="10" t="n"/>
      <c r="M1287">
        <f>IF(tblDowntime[[#This Row],[Maintenance Downtime Hours]]="","",tblDowntime[[#This Row],[Equipment ID]])</f>
        <v/>
      </c>
      <c r="N1287" s="1">
        <f>IF(tblDowntime[[#This Row],[Failure Type]]="Production",tblDowntime[[#This Row],[Downtime Hours]],"")</f>
        <v/>
      </c>
      <c r="O1287">
        <f>IF(tblDowntime[[#This Row],[Production Downtime Hours]]="","",tblDowntime[[#This Row],[Equipment ID]])</f>
        <v/>
      </c>
      <c r="P1287" s="10" t="n"/>
    </row>
    <row r="1288">
      <c r="B1288">
        <f t="array" ref="B1288">_xlfn.XLOOKUP(C1288,INDIRECT("tblEquipment[Equipment ID]"),INDIRECT("tblEquipment[Production Department]"),"")</f>
        <v/>
      </c>
      <c r="D1288">
        <f t="array" ref="D1288">_xlfn.XLOOKUP(C1288,INDIRECT("tblEquipment[Equipment ID]"),INDIRECT("tblEquipment[Equipment Name]"),"")</f>
        <v/>
      </c>
      <c r="F1288" s="16" t="n"/>
      <c r="G1288" s="16" t="n"/>
      <c r="H1288" s="1">
        <f>IF(OR(F1288=0,G1288=0),"",(G1288-F1288)*24)</f>
        <v/>
      </c>
      <c r="I1288" s="10" t="n"/>
      <c r="J1288" s="1">
        <f>IF(OR(tblDowntime[[#This Row],[Failure Type]]="Sawshop",tblDowntime[[#This Row],[Failure Type]]="Electrical",tblDowntime[[#This Row],[Failure Type]]="Mechanical"),tblDowntime[[#This Row],[Downtime Hours]],"")</f>
        <v/>
      </c>
      <c r="K1288" s="10" t="n"/>
      <c r="L1288" s="10" t="n"/>
      <c r="M1288">
        <f>IF(tblDowntime[[#This Row],[Maintenance Downtime Hours]]="","",tblDowntime[[#This Row],[Equipment ID]])</f>
        <v/>
      </c>
      <c r="N1288" s="1">
        <f>IF(tblDowntime[[#This Row],[Failure Type]]="Production",tblDowntime[[#This Row],[Downtime Hours]],"")</f>
        <v/>
      </c>
      <c r="O1288">
        <f>IF(tblDowntime[[#This Row],[Production Downtime Hours]]="","",tblDowntime[[#This Row],[Equipment ID]])</f>
        <v/>
      </c>
      <c r="P1288" s="10" t="n"/>
    </row>
    <row r="1289">
      <c r="B1289">
        <f t="array" ref="B1289">_xlfn.XLOOKUP(C1289,INDIRECT("tblEquipment[Equipment ID]"),INDIRECT("tblEquipment[Production Department]"),"")</f>
        <v/>
      </c>
      <c r="D1289">
        <f t="array" ref="D1289">_xlfn.XLOOKUP(C1289,INDIRECT("tblEquipment[Equipment ID]"),INDIRECT("tblEquipment[Equipment Name]"),"")</f>
        <v/>
      </c>
      <c r="F1289" s="16" t="n"/>
      <c r="G1289" s="16" t="n"/>
      <c r="H1289" s="1">
        <f>IF(OR(F1289=0,G1289=0),"",(G1289-F1289)*24)</f>
        <v/>
      </c>
      <c r="I1289" s="10" t="n"/>
      <c r="J1289" s="1">
        <f>IF(OR(tblDowntime[[#This Row],[Failure Type]]="Sawshop",tblDowntime[[#This Row],[Failure Type]]="Electrical",tblDowntime[[#This Row],[Failure Type]]="Mechanical"),tblDowntime[[#This Row],[Downtime Hours]],"")</f>
        <v/>
      </c>
      <c r="K1289" s="10" t="n"/>
      <c r="L1289" s="10" t="n"/>
      <c r="M1289">
        <f>IF(tblDowntime[[#This Row],[Maintenance Downtime Hours]]="","",tblDowntime[[#This Row],[Equipment ID]])</f>
        <v/>
      </c>
      <c r="N1289" s="1">
        <f>IF(tblDowntime[[#This Row],[Failure Type]]="Production",tblDowntime[[#This Row],[Downtime Hours]],"")</f>
        <v/>
      </c>
      <c r="O1289">
        <f>IF(tblDowntime[[#This Row],[Production Downtime Hours]]="","",tblDowntime[[#This Row],[Equipment ID]])</f>
        <v/>
      </c>
      <c r="P1289" s="10" t="n"/>
    </row>
    <row r="1290">
      <c r="B1290">
        <f t="array" ref="B1290">_xlfn.XLOOKUP(C1290,INDIRECT("tblEquipment[Equipment ID]"),INDIRECT("tblEquipment[Production Department]"),"")</f>
        <v/>
      </c>
      <c r="D1290">
        <f t="array" ref="D1290">_xlfn.XLOOKUP(C1290,INDIRECT("tblEquipment[Equipment ID]"),INDIRECT("tblEquipment[Equipment Name]"),"")</f>
        <v/>
      </c>
      <c r="F1290" s="16" t="n"/>
      <c r="G1290" s="16" t="n"/>
      <c r="H1290" s="1">
        <f>IF(OR(F1290=0,G1290=0),"",(G1290-F1290)*24)</f>
        <v/>
      </c>
      <c r="I1290" s="10" t="n"/>
      <c r="J1290" s="1">
        <f>IF(OR(tblDowntime[[#This Row],[Failure Type]]="Sawshop",tblDowntime[[#This Row],[Failure Type]]="Electrical",tblDowntime[[#This Row],[Failure Type]]="Mechanical"),tblDowntime[[#This Row],[Downtime Hours]],"")</f>
        <v/>
      </c>
      <c r="K1290" s="10" t="n"/>
      <c r="L1290" s="10" t="n"/>
      <c r="M1290">
        <f>IF(tblDowntime[[#This Row],[Maintenance Downtime Hours]]="","",tblDowntime[[#This Row],[Equipment ID]])</f>
        <v/>
      </c>
      <c r="N1290" s="1">
        <f>IF(tblDowntime[[#This Row],[Failure Type]]="Production",tblDowntime[[#This Row],[Downtime Hours]],"")</f>
        <v/>
      </c>
      <c r="O1290">
        <f>IF(tblDowntime[[#This Row],[Production Downtime Hours]]="","",tblDowntime[[#This Row],[Equipment ID]])</f>
        <v/>
      </c>
      <c r="P1290" s="10" t="n"/>
    </row>
    <row r="1291">
      <c r="B1291">
        <f t="array" ref="B1291">_xlfn.XLOOKUP(C1291,INDIRECT("tblEquipment[Equipment ID]"),INDIRECT("tblEquipment[Production Department]"),"")</f>
        <v/>
      </c>
      <c r="D1291">
        <f t="array" ref="D1291">_xlfn.XLOOKUP(C1291,INDIRECT("tblEquipment[Equipment ID]"),INDIRECT("tblEquipment[Equipment Name]"),"")</f>
        <v/>
      </c>
      <c r="F1291" s="16" t="n"/>
      <c r="G1291" s="16" t="n"/>
      <c r="H1291" s="1">
        <f>IF(OR(F1291=0,G1291=0),"",(G1291-F1291)*24)</f>
        <v/>
      </c>
      <c r="I1291" s="10" t="n"/>
      <c r="J1291" s="1">
        <f>IF(OR(tblDowntime[[#This Row],[Failure Type]]="Sawshop",tblDowntime[[#This Row],[Failure Type]]="Electrical",tblDowntime[[#This Row],[Failure Type]]="Mechanical"),tblDowntime[[#This Row],[Downtime Hours]],"")</f>
        <v/>
      </c>
      <c r="K1291" s="10" t="n"/>
      <c r="L1291" s="10" t="n"/>
      <c r="M1291">
        <f>IF(tblDowntime[[#This Row],[Maintenance Downtime Hours]]="","",tblDowntime[[#This Row],[Equipment ID]])</f>
        <v/>
      </c>
      <c r="N1291" s="1">
        <f>IF(tblDowntime[[#This Row],[Failure Type]]="Production",tblDowntime[[#This Row],[Downtime Hours]],"")</f>
        <v/>
      </c>
      <c r="O1291">
        <f>IF(tblDowntime[[#This Row],[Production Downtime Hours]]="","",tblDowntime[[#This Row],[Equipment ID]])</f>
        <v/>
      </c>
      <c r="P1291" s="10" t="n"/>
    </row>
    <row r="1292">
      <c r="B1292">
        <f t="array" ref="B1292">_xlfn.XLOOKUP(C1292,INDIRECT("tblEquipment[Equipment ID]"),INDIRECT("tblEquipment[Production Department]"),"")</f>
        <v/>
      </c>
      <c r="D1292">
        <f t="array" ref="D1292">_xlfn.XLOOKUP(C1292,INDIRECT("tblEquipment[Equipment ID]"),INDIRECT("tblEquipment[Equipment Name]"),"")</f>
        <v/>
      </c>
      <c r="F1292" s="16" t="n"/>
      <c r="G1292" s="16" t="n"/>
      <c r="H1292" s="1">
        <f>IF(OR(F1292=0,G1292=0),"",(G1292-F1292)*24)</f>
        <v/>
      </c>
      <c r="I1292" s="10" t="n"/>
      <c r="J1292" s="1">
        <f>IF(OR(tblDowntime[[#This Row],[Failure Type]]="Sawshop",tblDowntime[[#This Row],[Failure Type]]="Electrical",tblDowntime[[#This Row],[Failure Type]]="Mechanical"),tblDowntime[[#This Row],[Downtime Hours]],"")</f>
        <v/>
      </c>
      <c r="K1292" s="10" t="n"/>
      <c r="L1292" s="10" t="n"/>
      <c r="M1292">
        <f>IF(tblDowntime[[#This Row],[Maintenance Downtime Hours]]="","",tblDowntime[[#This Row],[Equipment ID]])</f>
        <v/>
      </c>
      <c r="N1292" s="1">
        <f>IF(tblDowntime[[#This Row],[Failure Type]]="Production",tblDowntime[[#This Row],[Downtime Hours]],"")</f>
        <v/>
      </c>
      <c r="O1292">
        <f>IF(tblDowntime[[#This Row],[Production Downtime Hours]]="","",tblDowntime[[#This Row],[Equipment ID]])</f>
        <v/>
      </c>
      <c r="P1292" s="10" t="n"/>
    </row>
    <row r="1293">
      <c r="B1293">
        <f t="array" ref="B1293">_xlfn.XLOOKUP(C1293,INDIRECT("tblEquipment[Equipment ID]"),INDIRECT("tblEquipment[Production Department]"),"")</f>
        <v/>
      </c>
      <c r="D1293">
        <f t="array" ref="D1293">_xlfn.XLOOKUP(C1293,INDIRECT("tblEquipment[Equipment ID]"),INDIRECT("tblEquipment[Equipment Name]"),"")</f>
        <v/>
      </c>
      <c r="F1293" s="16" t="n"/>
      <c r="G1293" s="16" t="n"/>
      <c r="H1293" s="1">
        <f>IF(OR(F1293=0,G1293=0),"",(G1293-F1293)*24)</f>
        <v/>
      </c>
      <c r="I1293" s="10" t="n"/>
      <c r="J1293" s="1">
        <f>IF(OR(tblDowntime[[#This Row],[Failure Type]]="Sawshop",tblDowntime[[#This Row],[Failure Type]]="Electrical",tblDowntime[[#This Row],[Failure Type]]="Mechanical"),tblDowntime[[#This Row],[Downtime Hours]],"")</f>
        <v/>
      </c>
      <c r="K1293" s="10" t="n"/>
      <c r="L1293" s="10" t="n"/>
      <c r="M1293">
        <f>IF(tblDowntime[[#This Row],[Maintenance Downtime Hours]]="","",tblDowntime[[#This Row],[Equipment ID]])</f>
        <v/>
      </c>
      <c r="N1293" s="1">
        <f>IF(tblDowntime[[#This Row],[Failure Type]]="Production",tblDowntime[[#This Row],[Downtime Hours]],"")</f>
        <v/>
      </c>
      <c r="O1293">
        <f>IF(tblDowntime[[#This Row],[Production Downtime Hours]]="","",tblDowntime[[#This Row],[Equipment ID]])</f>
        <v/>
      </c>
      <c r="P1293" s="10" t="n"/>
    </row>
    <row r="1294">
      <c r="B1294">
        <f t="array" ref="B1294">_xlfn.XLOOKUP(C1294,INDIRECT("tblEquipment[Equipment ID]"),INDIRECT("tblEquipment[Production Department]"),"")</f>
        <v/>
      </c>
      <c r="D1294">
        <f t="array" ref="D1294">_xlfn.XLOOKUP(C1294,INDIRECT("tblEquipment[Equipment ID]"),INDIRECT("tblEquipment[Equipment Name]"),"")</f>
        <v/>
      </c>
      <c r="F1294" s="16" t="n"/>
      <c r="G1294" s="16" t="n"/>
      <c r="H1294" s="1">
        <f>IF(OR(F1294=0,G1294=0),"",(G1294-F1294)*24)</f>
        <v/>
      </c>
      <c r="I1294" s="10" t="n"/>
      <c r="J1294" s="1">
        <f>IF(OR(tblDowntime[[#This Row],[Failure Type]]="Sawshop",tblDowntime[[#This Row],[Failure Type]]="Electrical",tblDowntime[[#This Row],[Failure Type]]="Mechanical"),tblDowntime[[#This Row],[Downtime Hours]],"")</f>
        <v/>
      </c>
      <c r="K1294" s="10" t="n"/>
      <c r="L1294" s="10" t="n"/>
      <c r="M1294">
        <f>IF(tblDowntime[[#This Row],[Maintenance Downtime Hours]]="","",tblDowntime[[#This Row],[Equipment ID]])</f>
        <v/>
      </c>
      <c r="N1294" s="1">
        <f>IF(tblDowntime[[#This Row],[Failure Type]]="Production",tblDowntime[[#This Row],[Downtime Hours]],"")</f>
        <v/>
      </c>
      <c r="O1294">
        <f>IF(tblDowntime[[#This Row],[Production Downtime Hours]]="","",tblDowntime[[#This Row],[Equipment ID]])</f>
        <v/>
      </c>
      <c r="P1294" s="10" t="n"/>
    </row>
    <row r="1295">
      <c r="B1295">
        <f t="array" ref="B1295">_xlfn.XLOOKUP(C1295,INDIRECT("tblEquipment[Equipment ID]"),INDIRECT("tblEquipment[Production Department]"),"")</f>
        <v/>
      </c>
      <c r="D1295">
        <f t="array" ref="D1295">_xlfn.XLOOKUP(C1295,INDIRECT("tblEquipment[Equipment ID]"),INDIRECT("tblEquipment[Equipment Name]"),"")</f>
        <v/>
      </c>
      <c r="F1295" s="16" t="n"/>
      <c r="G1295" s="16" t="n"/>
      <c r="H1295" s="1">
        <f>IF(OR(F1295=0,G1295=0),"",(G1295-F1295)*24)</f>
        <v/>
      </c>
      <c r="I1295" s="10" t="n"/>
      <c r="J1295" s="1">
        <f>IF(OR(tblDowntime[[#This Row],[Failure Type]]="Sawshop",tblDowntime[[#This Row],[Failure Type]]="Electrical",tblDowntime[[#This Row],[Failure Type]]="Mechanical"),tblDowntime[[#This Row],[Downtime Hours]],"")</f>
        <v/>
      </c>
      <c r="K1295" s="10" t="n"/>
      <c r="L1295" s="10" t="n"/>
      <c r="M1295">
        <f>IF(tblDowntime[[#This Row],[Maintenance Downtime Hours]]="","",tblDowntime[[#This Row],[Equipment ID]])</f>
        <v/>
      </c>
      <c r="N1295" s="1">
        <f>IF(tblDowntime[[#This Row],[Failure Type]]="Production",tblDowntime[[#This Row],[Downtime Hours]],"")</f>
        <v/>
      </c>
      <c r="O1295">
        <f>IF(tblDowntime[[#This Row],[Production Downtime Hours]]="","",tblDowntime[[#This Row],[Equipment ID]])</f>
        <v/>
      </c>
      <c r="P1295" s="10" t="n"/>
    </row>
    <row r="1296">
      <c r="B1296">
        <f t="array" ref="B1296">_xlfn.XLOOKUP(C1296,INDIRECT("tblEquipment[Equipment ID]"),INDIRECT("tblEquipment[Production Department]"),"")</f>
        <v/>
      </c>
      <c r="D1296">
        <f t="array" ref="D1296">_xlfn.XLOOKUP(C1296,INDIRECT("tblEquipment[Equipment ID]"),INDIRECT("tblEquipment[Equipment Name]"),"")</f>
        <v/>
      </c>
      <c r="F1296" s="16" t="n"/>
      <c r="G1296" s="16" t="n"/>
      <c r="H1296" s="1">
        <f>IF(OR(F1296=0,G1296=0),"",(G1296-F1296)*24)</f>
        <v/>
      </c>
      <c r="I1296" s="10" t="n"/>
      <c r="J1296" s="1">
        <f>IF(OR(tblDowntime[[#This Row],[Failure Type]]="Sawshop",tblDowntime[[#This Row],[Failure Type]]="Electrical",tblDowntime[[#This Row],[Failure Type]]="Mechanical"),tblDowntime[[#This Row],[Downtime Hours]],"")</f>
        <v/>
      </c>
      <c r="K1296" s="10" t="n"/>
      <c r="L1296" s="10" t="n"/>
      <c r="M1296">
        <f>IF(tblDowntime[[#This Row],[Maintenance Downtime Hours]]="","",tblDowntime[[#This Row],[Equipment ID]])</f>
        <v/>
      </c>
      <c r="N1296" s="1">
        <f>IF(tblDowntime[[#This Row],[Failure Type]]="Production",tblDowntime[[#This Row],[Downtime Hours]],"")</f>
        <v/>
      </c>
      <c r="O1296">
        <f>IF(tblDowntime[[#This Row],[Production Downtime Hours]]="","",tblDowntime[[#This Row],[Equipment ID]])</f>
        <v/>
      </c>
      <c r="P1296" s="10" t="n"/>
    </row>
    <row r="1297">
      <c r="B1297">
        <f t="array" ref="B1297">_xlfn.XLOOKUP(C1297,INDIRECT("tblEquipment[Equipment ID]"),INDIRECT("tblEquipment[Production Department]"),"")</f>
        <v/>
      </c>
      <c r="D1297">
        <f t="array" ref="D1297">_xlfn.XLOOKUP(C1297,INDIRECT("tblEquipment[Equipment ID]"),INDIRECT("tblEquipment[Equipment Name]"),"")</f>
        <v/>
      </c>
      <c r="F1297" s="16" t="n"/>
      <c r="G1297" s="16" t="n"/>
      <c r="H1297" s="1">
        <f>IF(OR(F1297=0,G1297=0),"",(G1297-F1297)*24)</f>
        <v/>
      </c>
      <c r="I1297" s="10" t="n"/>
      <c r="J1297" s="1">
        <f>IF(OR(tblDowntime[[#This Row],[Failure Type]]="Sawshop",tblDowntime[[#This Row],[Failure Type]]="Electrical",tblDowntime[[#This Row],[Failure Type]]="Mechanical"),tblDowntime[[#This Row],[Downtime Hours]],"")</f>
        <v/>
      </c>
      <c r="K1297" s="10" t="n"/>
      <c r="L1297" s="10" t="n"/>
      <c r="M1297">
        <f>IF(tblDowntime[[#This Row],[Maintenance Downtime Hours]]="","",tblDowntime[[#This Row],[Equipment ID]])</f>
        <v/>
      </c>
      <c r="N1297" s="1">
        <f>IF(tblDowntime[[#This Row],[Failure Type]]="Production",tblDowntime[[#This Row],[Downtime Hours]],"")</f>
        <v/>
      </c>
      <c r="O1297">
        <f>IF(tblDowntime[[#This Row],[Production Downtime Hours]]="","",tblDowntime[[#This Row],[Equipment ID]])</f>
        <v/>
      </c>
      <c r="P1297" s="10" t="n"/>
    </row>
    <row r="1298">
      <c r="B1298">
        <f t="array" ref="B1298">_xlfn.XLOOKUP(C1298,INDIRECT("tblEquipment[Equipment ID]"),INDIRECT("tblEquipment[Production Department]"),"")</f>
        <v/>
      </c>
      <c r="D1298">
        <f t="array" ref="D1298">_xlfn.XLOOKUP(C1298,INDIRECT("tblEquipment[Equipment ID]"),INDIRECT("tblEquipment[Equipment Name]"),"")</f>
        <v/>
      </c>
      <c r="F1298" s="16" t="n"/>
      <c r="G1298" s="16" t="n"/>
      <c r="H1298" s="1">
        <f>IF(OR(F1298=0,G1298=0),"",(G1298-F1298)*24)</f>
        <v/>
      </c>
      <c r="I1298" s="10" t="n"/>
      <c r="J1298" s="1">
        <f>IF(OR(tblDowntime[[#This Row],[Failure Type]]="Sawshop",tblDowntime[[#This Row],[Failure Type]]="Electrical",tblDowntime[[#This Row],[Failure Type]]="Mechanical"),tblDowntime[[#This Row],[Downtime Hours]],"")</f>
        <v/>
      </c>
      <c r="K1298" s="10" t="n"/>
      <c r="L1298" s="10" t="n"/>
      <c r="M1298">
        <f>IF(tblDowntime[[#This Row],[Maintenance Downtime Hours]]="","",tblDowntime[[#This Row],[Equipment ID]])</f>
        <v/>
      </c>
      <c r="N1298" s="1">
        <f>IF(tblDowntime[[#This Row],[Failure Type]]="Production",tblDowntime[[#This Row],[Downtime Hours]],"")</f>
        <v/>
      </c>
      <c r="O1298">
        <f>IF(tblDowntime[[#This Row],[Production Downtime Hours]]="","",tblDowntime[[#This Row],[Equipment ID]])</f>
        <v/>
      </c>
      <c r="P1298" s="10" t="n"/>
    </row>
    <row r="1299">
      <c r="B1299">
        <f t="array" ref="B1299">_xlfn.XLOOKUP(C1299,INDIRECT("tblEquipment[Equipment ID]"),INDIRECT("tblEquipment[Production Department]"),"")</f>
        <v/>
      </c>
      <c r="D1299">
        <f t="array" ref="D1299">_xlfn.XLOOKUP(C1299,INDIRECT("tblEquipment[Equipment ID]"),INDIRECT("tblEquipment[Equipment Name]"),"")</f>
        <v/>
      </c>
      <c r="F1299" s="16" t="n"/>
      <c r="G1299" s="16" t="n"/>
      <c r="H1299" s="1">
        <f>IF(OR(F1299=0,G1299=0),"",(G1299-F1299)*24)</f>
        <v/>
      </c>
      <c r="I1299" s="10" t="n"/>
      <c r="J1299" s="1">
        <f>IF(OR(tblDowntime[[#This Row],[Failure Type]]="Sawshop",tblDowntime[[#This Row],[Failure Type]]="Electrical",tblDowntime[[#This Row],[Failure Type]]="Mechanical"),tblDowntime[[#This Row],[Downtime Hours]],"")</f>
        <v/>
      </c>
      <c r="K1299" s="10" t="n"/>
      <c r="L1299" s="10" t="n"/>
      <c r="M1299">
        <f>IF(tblDowntime[[#This Row],[Maintenance Downtime Hours]]="","",tblDowntime[[#This Row],[Equipment ID]])</f>
        <v/>
      </c>
      <c r="N1299" s="1">
        <f>IF(tblDowntime[[#This Row],[Failure Type]]="Production",tblDowntime[[#This Row],[Downtime Hours]],"")</f>
        <v/>
      </c>
      <c r="O1299">
        <f>IF(tblDowntime[[#This Row],[Production Downtime Hours]]="","",tblDowntime[[#This Row],[Equipment ID]])</f>
        <v/>
      </c>
      <c r="P1299" s="10" t="n"/>
    </row>
    <row r="1300">
      <c r="B1300">
        <f t="array" ref="B1300">_xlfn.XLOOKUP(C1300,INDIRECT("tblEquipment[Equipment ID]"),INDIRECT("tblEquipment[Production Department]"),"")</f>
        <v/>
      </c>
      <c r="D1300">
        <f t="array" ref="D1300">_xlfn.XLOOKUP(C1300,INDIRECT("tblEquipment[Equipment ID]"),INDIRECT("tblEquipment[Equipment Name]"),"")</f>
        <v/>
      </c>
      <c r="F1300" s="16" t="n"/>
      <c r="G1300" s="16" t="n"/>
      <c r="H1300" s="1">
        <f>IF(OR(F1300=0,G1300=0),"",(G1300-F1300)*24)</f>
        <v/>
      </c>
      <c r="I1300" s="10" t="n"/>
      <c r="J1300" s="1">
        <f>IF(OR(tblDowntime[[#This Row],[Failure Type]]="Sawshop",tblDowntime[[#This Row],[Failure Type]]="Electrical",tblDowntime[[#This Row],[Failure Type]]="Mechanical"),tblDowntime[[#This Row],[Downtime Hours]],"")</f>
        <v/>
      </c>
      <c r="K1300" s="10" t="n"/>
      <c r="L1300" s="10" t="n"/>
      <c r="M1300">
        <f>IF(tblDowntime[[#This Row],[Maintenance Downtime Hours]]="","",tblDowntime[[#This Row],[Equipment ID]])</f>
        <v/>
      </c>
      <c r="N1300" s="1">
        <f>IF(tblDowntime[[#This Row],[Failure Type]]="Production",tblDowntime[[#This Row],[Downtime Hours]],"")</f>
        <v/>
      </c>
      <c r="O1300">
        <f>IF(tblDowntime[[#This Row],[Production Downtime Hours]]="","",tblDowntime[[#This Row],[Equipment ID]])</f>
        <v/>
      </c>
      <c r="P1300" s="10" t="n"/>
    </row>
    <row r="1301">
      <c r="B1301">
        <f t="array" ref="B1301">_xlfn.XLOOKUP(C1301,INDIRECT("tblEquipment[Equipment ID]"),INDIRECT("tblEquipment[Production Department]"),"")</f>
        <v/>
      </c>
      <c r="D1301">
        <f t="array" ref="D1301">_xlfn.XLOOKUP(C1301,INDIRECT("tblEquipment[Equipment ID]"),INDIRECT("tblEquipment[Equipment Name]"),"")</f>
        <v/>
      </c>
      <c r="F1301" s="16" t="n"/>
      <c r="G1301" s="16" t="n"/>
      <c r="H1301" s="1">
        <f>IF(OR(F1301=0,G1301=0),"",(G1301-F1301)*24)</f>
        <v/>
      </c>
      <c r="I1301" s="10" t="n"/>
      <c r="J1301" s="1">
        <f>IF(OR(tblDowntime[[#This Row],[Failure Type]]="Sawshop",tblDowntime[[#This Row],[Failure Type]]="Electrical",tblDowntime[[#This Row],[Failure Type]]="Mechanical"),tblDowntime[[#This Row],[Downtime Hours]],"")</f>
        <v/>
      </c>
      <c r="K1301" s="10" t="n"/>
      <c r="L1301" s="10" t="n"/>
      <c r="M1301">
        <f>IF(tblDowntime[[#This Row],[Maintenance Downtime Hours]]="","",tblDowntime[[#This Row],[Equipment ID]])</f>
        <v/>
      </c>
      <c r="N1301" s="1">
        <f>IF(tblDowntime[[#This Row],[Failure Type]]="Production",tblDowntime[[#This Row],[Downtime Hours]],"")</f>
        <v/>
      </c>
      <c r="O1301">
        <f>IF(tblDowntime[[#This Row],[Production Downtime Hours]]="","",tblDowntime[[#This Row],[Equipment ID]])</f>
        <v/>
      </c>
      <c r="P1301" s="10" t="n"/>
    </row>
    <row r="1302">
      <c r="B1302">
        <f t="array" ref="B1302">_xlfn.XLOOKUP(C1302,INDIRECT("tblEquipment[Equipment ID]"),INDIRECT("tblEquipment[Production Department]"),"")</f>
        <v/>
      </c>
      <c r="D1302">
        <f t="array" ref="D1302">_xlfn.XLOOKUP(C1302,INDIRECT("tblEquipment[Equipment ID]"),INDIRECT("tblEquipment[Equipment Name]"),"")</f>
        <v/>
      </c>
      <c r="F1302" s="16" t="n"/>
      <c r="G1302" s="16" t="n"/>
      <c r="H1302" s="1">
        <f>IF(OR(F1302=0,G1302=0),"",(G1302-F1302)*24)</f>
        <v/>
      </c>
      <c r="I1302" s="10" t="n"/>
      <c r="J1302" s="1">
        <f>IF(OR(tblDowntime[[#This Row],[Failure Type]]="Sawshop",tblDowntime[[#This Row],[Failure Type]]="Electrical",tblDowntime[[#This Row],[Failure Type]]="Mechanical"),tblDowntime[[#This Row],[Downtime Hours]],"")</f>
        <v/>
      </c>
      <c r="K1302" s="10" t="n"/>
      <c r="L1302" s="10" t="n"/>
      <c r="M1302">
        <f>IF(tblDowntime[[#This Row],[Maintenance Downtime Hours]]="","",tblDowntime[[#This Row],[Equipment ID]])</f>
        <v/>
      </c>
      <c r="N1302" s="1">
        <f>IF(tblDowntime[[#This Row],[Failure Type]]="Production",tblDowntime[[#This Row],[Downtime Hours]],"")</f>
        <v/>
      </c>
      <c r="O1302">
        <f>IF(tblDowntime[[#This Row],[Production Downtime Hours]]="","",tblDowntime[[#This Row],[Equipment ID]])</f>
        <v/>
      </c>
      <c r="P1302" s="10" t="n"/>
    </row>
    <row r="1303">
      <c r="B1303">
        <f t="array" ref="B1303">_xlfn.XLOOKUP(C1303,INDIRECT("tblEquipment[Equipment ID]"),INDIRECT("tblEquipment[Production Department]"),"")</f>
        <v/>
      </c>
      <c r="D1303">
        <f t="array" ref="D1303">_xlfn.XLOOKUP(C1303,INDIRECT("tblEquipment[Equipment ID]"),INDIRECT("tblEquipment[Equipment Name]"),"")</f>
        <v/>
      </c>
      <c r="F1303" s="16" t="n"/>
      <c r="G1303" s="16" t="n"/>
      <c r="H1303" s="1">
        <f>IF(OR(F1303=0,G1303=0),"",(G1303-F1303)*24)</f>
        <v/>
      </c>
      <c r="I1303" s="10" t="n"/>
      <c r="J1303" s="1">
        <f>IF(OR(tblDowntime[[#This Row],[Failure Type]]="Sawshop",tblDowntime[[#This Row],[Failure Type]]="Electrical",tblDowntime[[#This Row],[Failure Type]]="Mechanical"),tblDowntime[[#This Row],[Downtime Hours]],"")</f>
        <v/>
      </c>
      <c r="K1303" s="10" t="n"/>
      <c r="L1303" s="10" t="n"/>
      <c r="M1303">
        <f>IF(tblDowntime[[#This Row],[Maintenance Downtime Hours]]="","",tblDowntime[[#This Row],[Equipment ID]])</f>
        <v/>
      </c>
      <c r="N1303" s="1">
        <f>IF(tblDowntime[[#This Row],[Failure Type]]="Production",tblDowntime[[#This Row],[Downtime Hours]],"")</f>
        <v/>
      </c>
      <c r="O1303">
        <f>IF(tblDowntime[[#This Row],[Production Downtime Hours]]="","",tblDowntime[[#This Row],[Equipment ID]])</f>
        <v/>
      </c>
      <c r="P1303" s="10" t="n"/>
    </row>
    <row r="1304">
      <c r="B1304">
        <f t="array" ref="B1304">_xlfn.XLOOKUP(C1304,INDIRECT("tblEquipment[Equipment ID]"),INDIRECT("tblEquipment[Production Department]"),"")</f>
        <v/>
      </c>
      <c r="D1304">
        <f t="array" ref="D1304">_xlfn.XLOOKUP(C1304,INDIRECT("tblEquipment[Equipment ID]"),INDIRECT("tblEquipment[Equipment Name]"),"")</f>
        <v/>
      </c>
      <c r="F1304" s="16" t="n"/>
      <c r="G1304" s="16" t="n"/>
      <c r="H1304" s="1">
        <f>IF(OR(F1304=0,G1304=0),"",(G1304-F1304)*24)</f>
        <v/>
      </c>
      <c r="I1304" s="10" t="n"/>
      <c r="J1304" s="1">
        <f>IF(OR(tblDowntime[[#This Row],[Failure Type]]="Sawshop",tblDowntime[[#This Row],[Failure Type]]="Electrical",tblDowntime[[#This Row],[Failure Type]]="Mechanical"),tblDowntime[[#This Row],[Downtime Hours]],"")</f>
        <v/>
      </c>
      <c r="K1304" s="10" t="n"/>
      <c r="L1304" s="10" t="n"/>
      <c r="M1304">
        <f>IF(tblDowntime[[#This Row],[Maintenance Downtime Hours]]="","",tblDowntime[[#This Row],[Equipment ID]])</f>
        <v/>
      </c>
      <c r="N1304" s="1">
        <f>IF(tblDowntime[[#This Row],[Failure Type]]="Production",tblDowntime[[#This Row],[Downtime Hours]],"")</f>
        <v/>
      </c>
      <c r="O1304">
        <f>IF(tblDowntime[[#This Row],[Production Downtime Hours]]="","",tblDowntime[[#This Row],[Equipment ID]])</f>
        <v/>
      </c>
      <c r="P1304" s="10" t="n"/>
    </row>
    <row r="1305">
      <c r="B1305">
        <f t="array" ref="B1305">_xlfn.XLOOKUP(C1305,INDIRECT("tblEquipment[Equipment ID]"),INDIRECT("tblEquipment[Production Department]"),"")</f>
        <v/>
      </c>
      <c r="D1305">
        <f t="array" ref="D1305">_xlfn.XLOOKUP(C1305,INDIRECT("tblEquipment[Equipment ID]"),INDIRECT("tblEquipment[Equipment Name]"),"")</f>
        <v/>
      </c>
      <c r="F1305" s="16" t="n"/>
      <c r="G1305" s="16" t="n"/>
      <c r="H1305" s="1">
        <f>IF(OR(F1305=0,G1305=0),"",(G1305-F1305)*24)</f>
        <v/>
      </c>
      <c r="I1305" s="10" t="n"/>
      <c r="J1305" s="1">
        <f>IF(OR(tblDowntime[[#This Row],[Failure Type]]="Sawshop",tblDowntime[[#This Row],[Failure Type]]="Electrical",tblDowntime[[#This Row],[Failure Type]]="Mechanical"),tblDowntime[[#This Row],[Downtime Hours]],"")</f>
        <v/>
      </c>
      <c r="K1305" s="10" t="n"/>
      <c r="L1305" s="10" t="n"/>
      <c r="M1305">
        <f>IF(tblDowntime[[#This Row],[Maintenance Downtime Hours]]="","",tblDowntime[[#This Row],[Equipment ID]])</f>
        <v/>
      </c>
      <c r="N1305" s="1">
        <f>IF(tblDowntime[[#This Row],[Failure Type]]="Production",tblDowntime[[#This Row],[Downtime Hours]],"")</f>
        <v/>
      </c>
      <c r="O1305">
        <f>IF(tblDowntime[[#This Row],[Production Downtime Hours]]="","",tblDowntime[[#This Row],[Equipment ID]])</f>
        <v/>
      </c>
      <c r="P1305" s="10" t="n"/>
    </row>
    <row r="1306">
      <c r="B1306">
        <f t="array" ref="B1306">_xlfn.XLOOKUP(C1306,INDIRECT("tblEquipment[Equipment ID]"),INDIRECT("tblEquipment[Production Department]"),"")</f>
        <v/>
      </c>
      <c r="D1306">
        <f t="array" ref="D1306">_xlfn.XLOOKUP(C1306,INDIRECT("tblEquipment[Equipment ID]"),INDIRECT("tblEquipment[Equipment Name]"),"")</f>
        <v/>
      </c>
      <c r="F1306" s="16" t="n"/>
      <c r="G1306" s="16" t="n"/>
      <c r="H1306" s="1">
        <f>IF(OR(F1306=0,G1306=0),"",(G1306-F1306)*24)</f>
        <v/>
      </c>
      <c r="I1306" s="10" t="n"/>
      <c r="J1306" s="1">
        <f>IF(OR(tblDowntime[[#This Row],[Failure Type]]="Sawshop",tblDowntime[[#This Row],[Failure Type]]="Electrical",tblDowntime[[#This Row],[Failure Type]]="Mechanical"),tblDowntime[[#This Row],[Downtime Hours]],"")</f>
        <v/>
      </c>
      <c r="K1306" s="10" t="n"/>
      <c r="L1306" s="10" t="n"/>
      <c r="M1306">
        <f>IF(tblDowntime[[#This Row],[Maintenance Downtime Hours]]="","",tblDowntime[[#This Row],[Equipment ID]])</f>
        <v/>
      </c>
      <c r="N1306" s="1">
        <f>IF(tblDowntime[[#This Row],[Failure Type]]="Production",tblDowntime[[#This Row],[Downtime Hours]],"")</f>
        <v/>
      </c>
      <c r="O1306">
        <f>IF(tblDowntime[[#This Row],[Production Downtime Hours]]="","",tblDowntime[[#This Row],[Equipment ID]])</f>
        <v/>
      </c>
      <c r="P1306" s="10" t="n"/>
    </row>
    <row r="1307">
      <c r="B1307">
        <f t="array" ref="B1307">_xlfn.XLOOKUP(C1307,INDIRECT("tblEquipment[Equipment ID]"),INDIRECT("tblEquipment[Production Department]"),"")</f>
        <v/>
      </c>
      <c r="D1307">
        <f t="array" ref="D1307">_xlfn.XLOOKUP(C1307,INDIRECT("tblEquipment[Equipment ID]"),INDIRECT("tblEquipment[Equipment Name]"),"")</f>
        <v/>
      </c>
      <c r="F1307" s="16" t="n"/>
      <c r="G1307" s="16" t="n"/>
      <c r="H1307" s="1">
        <f>IF(OR(F1307=0,G1307=0),"",(G1307-F1307)*24)</f>
        <v/>
      </c>
      <c r="I1307" s="10" t="n"/>
      <c r="J1307" s="1">
        <f>IF(OR(tblDowntime[[#This Row],[Failure Type]]="Sawshop",tblDowntime[[#This Row],[Failure Type]]="Electrical",tblDowntime[[#This Row],[Failure Type]]="Mechanical"),tblDowntime[[#This Row],[Downtime Hours]],"")</f>
        <v/>
      </c>
      <c r="K1307" s="10" t="n"/>
      <c r="L1307" s="10" t="n"/>
      <c r="M1307">
        <f>IF(tblDowntime[[#This Row],[Maintenance Downtime Hours]]="","",tblDowntime[[#This Row],[Equipment ID]])</f>
        <v/>
      </c>
      <c r="N1307" s="1">
        <f>IF(tblDowntime[[#This Row],[Failure Type]]="Production",tblDowntime[[#This Row],[Downtime Hours]],"")</f>
        <v/>
      </c>
      <c r="O1307">
        <f>IF(tblDowntime[[#This Row],[Production Downtime Hours]]="","",tblDowntime[[#This Row],[Equipment ID]])</f>
        <v/>
      </c>
      <c r="P1307" s="10" t="n"/>
    </row>
    <row r="1308">
      <c r="B1308">
        <f t="array" ref="B1308">_xlfn.XLOOKUP(C1308,INDIRECT("tblEquipment[Equipment ID]"),INDIRECT("tblEquipment[Production Department]"),"")</f>
        <v/>
      </c>
      <c r="D1308">
        <f t="array" ref="D1308">_xlfn.XLOOKUP(C1308,INDIRECT("tblEquipment[Equipment ID]"),INDIRECT("tblEquipment[Equipment Name]"),"")</f>
        <v/>
      </c>
      <c r="F1308" s="16" t="n"/>
      <c r="G1308" s="16" t="n"/>
      <c r="H1308" s="1">
        <f>IF(OR(F1308=0,G1308=0),"",(G1308-F1308)*24)</f>
        <v/>
      </c>
      <c r="I1308" s="10" t="n"/>
      <c r="J1308" s="1">
        <f>IF(OR(tblDowntime[[#This Row],[Failure Type]]="Sawshop",tblDowntime[[#This Row],[Failure Type]]="Electrical",tblDowntime[[#This Row],[Failure Type]]="Mechanical"),tblDowntime[[#This Row],[Downtime Hours]],"")</f>
        <v/>
      </c>
      <c r="K1308" s="10" t="n"/>
      <c r="L1308" s="10" t="n"/>
      <c r="M1308">
        <f>IF(tblDowntime[[#This Row],[Maintenance Downtime Hours]]="","",tblDowntime[[#This Row],[Equipment ID]])</f>
        <v/>
      </c>
      <c r="N1308" s="1">
        <f>IF(tblDowntime[[#This Row],[Failure Type]]="Production",tblDowntime[[#This Row],[Downtime Hours]],"")</f>
        <v/>
      </c>
      <c r="O1308">
        <f>IF(tblDowntime[[#This Row],[Production Downtime Hours]]="","",tblDowntime[[#This Row],[Equipment ID]])</f>
        <v/>
      </c>
      <c r="P1308" s="10" t="n"/>
    </row>
    <row r="1309">
      <c r="B1309">
        <f t="array" ref="B1309">_xlfn.XLOOKUP(C1309,INDIRECT("tblEquipment[Equipment ID]"),INDIRECT("tblEquipment[Production Department]"),"")</f>
        <v/>
      </c>
      <c r="D1309">
        <f t="array" ref="D1309">_xlfn.XLOOKUP(C1309,INDIRECT("tblEquipment[Equipment ID]"),INDIRECT("tblEquipment[Equipment Name]"),"")</f>
        <v/>
      </c>
      <c r="F1309" s="16" t="n"/>
      <c r="G1309" s="16" t="n"/>
      <c r="H1309" s="1">
        <f>IF(OR(F1309=0,G1309=0),"",(G1309-F1309)*24)</f>
        <v/>
      </c>
      <c r="I1309" s="10" t="n"/>
      <c r="J1309" s="1">
        <f>IF(OR(tblDowntime[[#This Row],[Failure Type]]="Sawshop",tblDowntime[[#This Row],[Failure Type]]="Electrical",tblDowntime[[#This Row],[Failure Type]]="Mechanical"),tblDowntime[[#This Row],[Downtime Hours]],"")</f>
        <v/>
      </c>
      <c r="K1309" s="10" t="n"/>
      <c r="L1309" s="10" t="n"/>
      <c r="M1309">
        <f>IF(tblDowntime[[#This Row],[Maintenance Downtime Hours]]="","",tblDowntime[[#This Row],[Equipment ID]])</f>
        <v/>
      </c>
      <c r="N1309" s="1">
        <f>IF(tblDowntime[[#This Row],[Failure Type]]="Production",tblDowntime[[#This Row],[Downtime Hours]],"")</f>
        <v/>
      </c>
      <c r="O1309">
        <f>IF(tblDowntime[[#This Row],[Production Downtime Hours]]="","",tblDowntime[[#This Row],[Equipment ID]])</f>
        <v/>
      </c>
      <c r="P1309" s="10" t="n"/>
    </row>
    <row r="1310">
      <c r="B1310">
        <f t="array" ref="B1310">_xlfn.XLOOKUP(C1310,INDIRECT("tblEquipment[Equipment ID]"),INDIRECT("tblEquipment[Production Department]"),"")</f>
        <v/>
      </c>
      <c r="D1310">
        <f t="array" ref="D1310">_xlfn.XLOOKUP(C1310,INDIRECT("tblEquipment[Equipment ID]"),INDIRECT("tblEquipment[Equipment Name]"),"")</f>
        <v/>
      </c>
      <c r="F1310" s="16" t="n"/>
      <c r="G1310" s="16" t="n"/>
      <c r="H1310" s="1">
        <f>IF(OR(F1310=0,G1310=0),"",(G1310-F1310)*24)</f>
        <v/>
      </c>
      <c r="I1310" s="10" t="n"/>
      <c r="J1310" s="1">
        <f>IF(OR(tblDowntime[[#This Row],[Failure Type]]="Sawshop",tblDowntime[[#This Row],[Failure Type]]="Electrical",tblDowntime[[#This Row],[Failure Type]]="Mechanical"),tblDowntime[[#This Row],[Downtime Hours]],"")</f>
        <v/>
      </c>
      <c r="K1310" s="10" t="n"/>
      <c r="L1310" s="10" t="n"/>
      <c r="M1310">
        <f>IF(tblDowntime[[#This Row],[Maintenance Downtime Hours]]="","",tblDowntime[[#This Row],[Equipment ID]])</f>
        <v/>
      </c>
      <c r="N1310" s="1">
        <f>IF(tblDowntime[[#This Row],[Failure Type]]="Production",tblDowntime[[#This Row],[Downtime Hours]],"")</f>
        <v/>
      </c>
      <c r="O1310">
        <f>IF(tblDowntime[[#This Row],[Production Downtime Hours]]="","",tblDowntime[[#This Row],[Equipment ID]])</f>
        <v/>
      </c>
      <c r="P1310" s="10" t="n"/>
    </row>
    <row r="1311">
      <c r="B1311">
        <f t="array" ref="B1311">_xlfn.XLOOKUP(C1311,INDIRECT("tblEquipment[Equipment ID]"),INDIRECT("tblEquipment[Production Department]"),"")</f>
        <v/>
      </c>
      <c r="D1311">
        <f t="array" ref="D1311">_xlfn.XLOOKUP(C1311,INDIRECT("tblEquipment[Equipment ID]"),INDIRECT("tblEquipment[Equipment Name]"),"")</f>
        <v/>
      </c>
      <c r="F1311" s="16" t="n"/>
      <c r="G1311" s="16" t="n"/>
      <c r="H1311" s="1">
        <f>IF(OR(F1311=0,G1311=0),"",(G1311-F1311)*24)</f>
        <v/>
      </c>
      <c r="I1311" s="10" t="n"/>
      <c r="J1311" s="1">
        <f>IF(OR(tblDowntime[[#This Row],[Failure Type]]="Sawshop",tblDowntime[[#This Row],[Failure Type]]="Electrical",tblDowntime[[#This Row],[Failure Type]]="Mechanical"),tblDowntime[[#This Row],[Downtime Hours]],"")</f>
        <v/>
      </c>
      <c r="K1311" s="10" t="n"/>
      <c r="L1311" s="10" t="n"/>
      <c r="M1311">
        <f>IF(tblDowntime[[#This Row],[Maintenance Downtime Hours]]="","",tblDowntime[[#This Row],[Equipment ID]])</f>
        <v/>
      </c>
      <c r="N1311" s="1">
        <f>IF(tblDowntime[[#This Row],[Failure Type]]="Production",tblDowntime[[#This Row],[Downtime Hours]],"")</f>
        <v/>
      </c>
      <c r="O1311">
        <f>IF(tblDowntime[[#This Row],[Production Downtime Hours]]="","",tblDowntime[[#This Row],[Equipment ID]])</f>
        <v/>
      </c>
      <c r="P1311" s="10" t="n"/>
    </row>
    <row r="1312">
      <c r="B1312">
        <f t="array" ref="B1312">_xlfn.XLOOKUP(C1312,INDIRECT("tblEquipment[Equipment ID]"),INDIRECT("tblEquipment[Production Department]"),"")</f>
        <v/>
      </c>
      <c r="D1312">
        <f t="array" ref="D1312">_xlfn.XLOOKUP(C1312,INDIRECT("tblEquipment[Equipment ID]"),INDIRECT("tblEquipment[Equipment Name]"),"")</f>
        <v/>
      </c>
      <c r="F1312" s="16" t="n"/>
      <c r="G1312" s="16" t="n"/>
      <c r="H1312" s="1">
        <f>IF(OR(F1312=0,G1312=0),"",(G1312-F1312)*24)</f>
        <v/>
      </c>
      <c r="I1312" s="10" t="n"/>
      <c r="J1312" s="1">
        <f>IF(OR(tblDowntime[[#This Row],[Failure Type]]="Sawshop",tblDowntime[[#This Row],[Failure Type]]="Electrical",tblDowntime[[#This Row],[Failure Type]]="Mechanical"),tblDowntime[[#This Row],[Downtime Hours]],"")</f>
        <v/>
      </c>
      <c r="K1312" s="10" t="n"/>
      <c r="L1312" s="10" t="n"/>
      <c r="M1312">
        <f>IF(tblDowntime[[#This Row],[Maintenance Downtime Hours]]="","",tblDowntime[[#This Row],[Equipment ID]])</f>
        <v/>
      </c>
      <c r="N1312" s="1">
        <f>IF(tblDowntime[[#This Row],[Failure Type]]="Production",tblDowntime[[#This Row],[Downtime Hours]],"")</f>
        <v/>
      </c>
      <c r="O1312">
        <f>IF(tblDowntime[[#This Row],[Production Downtime Hours]]="","",tblDowntime[[#This Row],[Equipment ID]])</f>
        <v/>
      </c>
      <c r="P1312" s="10" t="n"/>
    </row>
    <row r="1313">
      <c r="B1313">
        <f t="array" ref="B1313">_xlfn.XLOOKUP(C1313,INDIRECT("tblEquipment[Equipment ID]"),INDIRECT("tblEquipment[Production Department]"),"")</f>
        <v/>
      </c>
      <c r="D1313">
        <f t="array" ref="D1313">_xlfn.XLOOKUP(C1313,INDIRECT("tblEquipment[Equipment ID]"),INDIRECT("tblEquipment[Equipment Name]"),"")</f>
        <v/>
      </c>
      <c r="F1313" s="16" t="n"/>
      <c r="G1313" s="16" t="n"/>
      <c r="H1313" s="1">
        <f>IF(OR(F1313=0,G1313=0),"",(G1313-F1313)*24)</f>
        <v/>
      </c>
      <c r="I1313" s="10" t="n"/>
      <c r="J1313" s="1">
        <f>IF(OR(tblDowntime[[#This Row],[Failure Type]]="Sawshop",tblDowntime[[#This Row],[Failure Type]]="Electrical",tblDowntime[[#This Row],[Failure Type]]="Mechanical"),tblDowntime[[#This Row],[Downtime Hours]],"")</f>
        <v/>
      </c>
      <c r="K1313" s="10" t="n"/>
      <c r="L1313" s="10" t="n"/>
      <c r="M1313">
        <f>IF(tblDowntime[[#This Row],[Maintenance Downtime Hours]]="","",tblDowntime[[#This Row],[Equipment ID]])</f>
        <v/>
      </c>
      <c r="N1313" s="1">
        <f>IF(tblDowntime[[#This Row],[Failure Type]]="Production",tblDowntime[[#This Row],[Downtime Hours]],"")</f>
        <v/>
      </c>
      <c r="O1313">
        <f>IF(tblDowntime[[#This Row],[Production Downtime Hours]]="","",tblDowntime[[#This Row],[Equipment ID]])</f>
        <v/>
      </c>
      <c r="P1313" s="10" t="n"/>
    </row>
    <row r="1314">
      <c r="B1314">
        <f t="array" ref="B1314">_xlfn.XLOOKUP(C1314,INDIRECT("tblEquipment[Equipment ID]"),INDIRECT("tblEquipment[Production Department]"),"")</f>
        <v/>
      </c>
      <c r="D1314">
        <f t="array" ref="D1314">_xlfn.XLOOKUP(C1314,INDIRECT("tblEquipment[Equipment ID]"),INDIRECT("tblEquipment[Equipment Name]"),"")</f>
        <v/>
      </c>
      <c r="F1314" s="16" t="n"/>
      <c r="G1314" s="16" t="n"/>
      <c r="H1314" s="1">
        <f>IF(OR(F1314=0,G1314=0),"",(G1314-F1314)*24)</f>
        <v/>
      </c>
      <c r="I1314" s="10" t="n"/>
      <c r="J1314" s="1">
        <f>IF(OR(tblDowntime[[#This Row],[Failure Type]]="Sawshop",tblDowntime[[#This Row],[Failure Type]]="Electrical",tblDowntime[[#This Row],[Failure Type]]="Mechanical"),tblDowntime[[#This Row],[Downtime Hours]],"")</f>
        <v/>
      </c>
      <c r="K1314" s="10" t="n"/>
      <c r="L1314" s="10" t="n"/>
      <c r="M1314">
        <f>IF(tblDowntime[[#This Row],[Maintenance Downtime Hours]]="","",tblDowntime[[#This Row],[Equipment ID]])</f>
        <v/>
      </c>
      <c r="N1314" s="1">
        <f>IF(tblDowntime[[#This Row],[Failure Type]]="Production",tblDowntime[[#This Row],[Downtime Hours]],"")</f>
        <v/>
      </c>
      <c r="O1314">
        <f>IF(tblDowntime[[#This Row],[Production Downtime Hours]]="","",tblDowntime[[#This Row],[Equipment ID]])</f>
        <v/>
      </c>
      <c r="P1314" s="10" t="n"/>
    </row>
    <row r="1315">
      <c r="B1315">
        <f t="array" ref="B1315">_xlfn.XLOOKUP(C1315,INDIRECT("tblEquipment[Equipment ID]"),INDIRECT("tblEquipment[Production Department]"),"")</f>
        <v/>
      </c>
      <c r="D1315">
        <f t="array" ref="D1315">_xlfn.XLOOKUP(C1315,INDIRECT("tblEquipment[Equipment ID]"),INDIRECT("tblEquipment[Equipment Name]"),"")</f>
        <v/>
      </c>
      <c r="F1315" s="16" t="n"/>
      <c r="G1315" s="16" t="n"/>
      <c r="H1315" s="1">
        <f>IF(OR(F1315=0,G1315=0),"",(G1315-F1315)*24)</f>
        <v/>
      </c>
      <c r="I1315" s="10" t="n"/>
      <c r="J1315" s="1">
        <f>IF(OR(tblDowntime[[#This Row],[Failure Type]]="Sawshop",tblDowntime[[#This Row],[Failure Type]]="Electrical",tblDowntime[[#This Row],[Failure Type]]="Mechanical"),tblDowntime[[#This Row],[Downtime Hours]],"")</f>
        <v/>
      </c>
      <c r="K1315" s="10" t="n"/>
      <c r="L1315" s="10" t="n"/>
      <c r="M1315">
        <f>IF(tblDowntime[[#This Row],[Maintenance Downtime Hours]]="","",tblDowntime[[#This Row],[Equipment ID]])</f>
        <v/>
      </c>
      <c r="N1315" s="1">
        <f>IF(tblDowntime[[#This Row],[Failure Type]]="Production",tblDowntime[[#This Row],[Downtime Hours]],"")</f>
        <v/>
      </c>
      <c r="O1315">
        <f>IF(tblDowntime[[#This Row],[Production Downtime Hours]]="","",tblDowntime[[#This Row],[Equipment ID]])</f>
        <v/>
      </c>
      <c r="P1315" s="10" t="n"/>
    </row>
    <row r="1316">
      <c r="B1316">
        <f t="array" ref="B1316">_xlfn.XLOOKUP(C1316,INDIRECT("tblEquipment[Equipment ID]"),INDIRECT("tblEquipment[Production Department]"),"")</f>
        <v/>
      </c>
      <c r="D1316">
        <f t="array" ref="D1316">_xlfn.XLOOKUP(C1316,INDIRECT("tblEquipment[Equipment ID]"),INDIRECT("tblEquipment[Equipment Name]"),"")</f>
        <v/>
      </c>
      <c r="F1316" s="16" t="n"/>
      <c r="G1316" s="16" t="n"/>
      <c r="H1316" s="1">
        <f>IF(OR(F1316=0,G1316=0),"",(G1316-F1316)*24)</f>
        <v/>
      </c>
      <c r="I1316" s="10" t="n"/>
      <c r="J1316" s="1">
        <f>IF(OR(tblDowntime[[#This Row],[Failure Type]]="Sawshop",tblDowntime[[#This Row],[Failure Type]]="Electrical",tblDowntime[[#This Row],[Failure Type]]="Mechanical"),tblDowntime[[#This Row],[Downtime Hours]],"")</f>
        <v/>
      </c>
      <c r="K1316" s="10" t="n"/>
      <c r="L1316" s="10" t="n"/>
      <c r="M1316">
        <f>IF(tblDowntime[[#This Row],[Maintenance Downtime Hours]]="","",tblDowntime[[#This Row],[Equipment ID]])</f>
        <v/>
      </c>
      <c r="N1316" s="1">
        <f>IF(tblDowntime[[#This Row],[Failure Type]]="Production",tblDowntime[[#This Row],[Downtime Hours]],"")</f>
        <v/>
      </c>
      <c r="O1316">
        <f>IF(tblDowntime[[#This Row],[Production Downtime Hours]]="","",tblDowntime[[#This Row],[Equipment ID]])</f>
        <v/>
      </c>
      <c r="P1316" s="10" t="n"/>
    </row>
    <row r="1317">
      <c r="B1317">
        <f t="array" ref="B1317">_xlfn.XLOOKUP(C1317,INDIRECT("tblEquipment[Equipment ID]"),INDIRECT("tblEquipment[Production Department]"),"")</f>
        <v/>
      </c>
      <c r="D1317">
        <f t="array" ref="D1317">_xlfn.XLOOKUP(C1317,INDIRECT("tblEquipment[Equipment ID]"),INDIRECT("tblEquipment[Equipment Name]"),"")</f>
        <v/>
      </c>
      <c r="F1317" s="16" t="n"/>
      <c r="G1317" s="16" t="n"/>
      <c r="H1317" s="1">
        <f>IF(OR(F1317=0,G1317=0),"",(G1317-F1317)*24)</f>
        <v/>
      </c>
      <c r="I1317" s="10" t="n"/>
      <c r="J1317" s="1">
        <f>IF(OR(tblDowntime[[#This Row],[Failure Type]]="Sawshop",tblDowntime[[#This Row],[Failure Type]]="Electrical",tblDowntime[[#This Row],[Failure Type]]="Mechanical"),tblDowntime[[#This Row],[Downtime Hours]],"")</f>
        <v/>
      </c>
      <c r="K1317" s="10" t="n"/>
      <c r="L1317" s="10" t="n"/>
      <c r="M1317">
        <f>IF(tblDowntime[[#This Row],[Maintenance Downtime Hours]]="","",tblDowntime[[#This Row],[Equipment ID]])</f>
        <v/>
      </c>
      <c r="N1317" s="1">
        <f>IF(tblDowntime[[#This Row],[Failure Type]]="Production",tblDowntime[[#This Row],[Downtime Hours]],"")</f>
        <v/>
      </c>
      <c r="O1317">
        <f>IF(tblDowntime[[#This Row],[Production Downtime Hours]]="","",tblDowntime[[#This Row],[Equipment ID]])</f>
        <v/>
      </c>
      <c r="P1317" s="10" t="n"/>
    </row>
    <row r="1318">
      <c r="B1318">
        <f t="array" ref="B1318">_xlfn.XLOOKUP(C1318,INDIRECT("tblEquipment[Equipment ID]"),INDIRECT("tblEquipment[Production Department]"),"")</f>
        <v/>
      </c>
      <c r="D1318">
        <f t="array" ref="D1318">_xlfn.XLOOKUP(C1318,INDIRECT("tblEquipment[Equipment ID]"),INDIRECT("tblEquipment[Equipment Name]"),"")</f>
        <v/>
      </c>
      <c r="F1318" s="16" t="n"/>
      <c r="G1318" s="16" t="n"/>
      <c r="H1318" s="1">
        <f>IF(OR(F1318=0,G1318=0),"",(G1318-F1318)*24)</f>
        <v/>
      </c>
      <c r="I1318" s="10" t="n"/>
      <c r="J1318" s="1">
        <f>IF(OR(tblDowntime[[#This Row],[Failure Type]]="Sawshop",tblDowntime[[#This Row],[Failure Type]]="Electrical",tblDowntime[[#This Row],[Failure Type]]="Mechanical"),tblDowntime[[#This Row],[Downtime Hours]],"")</f>
        <v/>
      </c>
      <c r="K1318" s="10" t="n"/>
      <c r="L1318" s="10" t="n"/>
      <c r="M1318">
        <f>IF(tblDowntime[[#This Row],[Maintenance Downtime Hours]]="","",tblDowntime[[#This Row],[Equipment ID]])</f>
        <v/>
      </c>
      <c r="N1318" s="1">
        <f>IF(tblDowntime[[#This Row],[Failure Type]]="Production",tblDowntime[[#This Row],[Downtime Hours]],"")</f>
        <v/>
      </c>
      <c r="O1318">
        <f>IF(tblDowntime[[#This Row],[Production Downtime Hours]]="","",tblDowntime[[#This Row],[Equipment ID]])</f>
        <v/>
      </c>
      <c r="P1318" s="10" t="n"/>
    </row>
    <row r="1319">
      <c r="B1319">
        <f t="array" ref="B1319">_xlfn.XLOOKUP(C1319,INDIRECT("tblEquipment[Equipment ID]"),INDIRECT("tblEquipment[Production Department]"),"")</f>
        <v/>
      </c>
      <c r="D1319">
        <f t="array" ref="D1319">_xlfn.XLOOKUP(C1319,INDIRECT("tblEquipment[Equipment ID]"),INDIRECT("tblEquipment[Equipment Name]"),"")</f>
        <v/>
      </c>
      <c r="F1319" s="16" t="n"/>
      <c r="G1319" s="16" t="n"/>
      <c r="H1319" s="1">
        <f>IF(OR(F1319=0,G1319=0),"",(G1319-F1319)*24)</f>
        <v/>
      </c>
      <c r="I1319" s="10" t="n"/>
      <c r="J1319" s="1">
        <f>IF(OR(tblDowntime[[#This Row],[Failure Type]]="Sawshop",tblDowntime[[#This Row],[Failure Type]]="Electrical",tblDowntime[[#This Row],[Failure Type]]="Mechanical"),tblDowntime[[#This Row],[Downtime Hours]],"")</f>
        <v/>
      </c>
      <c r="K1319" s="10" t="n"/>
      <c r="L1319" s="10" t="n"/>
      <c r="M1319">
        <f>IF(tblDowntime[[#This Row],[Maintenance Downtime Hours]]="","",tblDowntime[[#This Row],[Equipment ID]])</f>
        <v/>
      </c>
      <c r="N1319" s="1">
        <f>IF(tblDowntime[[#This Row],[Failure Type]]="Production",tblDowntime[[#This Row],[Downtime Hours]],"")</f>
        <v/>
      </c>
      <c r="O1319">
        <f>IF(tblDowntime[[#This Row],[Production Downtime Hours]]="","",tblDowntime[[#This Row],[Equipment ID]])</f>
        <v/>
      </c>
      <c r="P1319" s="10" t="n"/>
    </row>
    <row r="1320">
      <c r="B1320">
        <f t="array" ref="B1320">_xlfn.XLOOKUP(C1320,INDIRECT("tblEquipment[Equipment ID]"),INDIRECT("tblEquipment[Production Department]"),"")</f>
        <v/>
      </c>
      <c r="D1320">
        <f t="array" ref="D1320">_xlfn.XLOOKUP(C1320,INDIRECT("tblEquipment[Equipment ID]"),INDIRECT("tblEquipment[Equipment Name]"),"")</f>
        <v/>
      </c>
      <c r="F1320" s="16" t="n"/>
      <c r="G1320" s="16" t="n"/>
      <c r="H1320" s="1">
        <f>IF(OR(F1320=0,G1320=0),"",(G1320-F1320)*24)</f>
        <v/>
      </c>
      <c r="I1320" s="10" t="n"/>
      <c r="J1320" s="1">
        <f>IF(OR(tblDowntime[[#This Row],[Failure Type]]="Sawshop",tblDowntime[[#This Row],[Failure Type]]="Electrical",tblDowntime[[#This Row],[Failure Type]]="Mechanical"),tblDowntime[[#This Row],[Downtime Hours]],"")</f>
        <v/>
      </c>
      <c r="K1320" s="10" t="n"/>
      <c r="L1320" s="10" t="n"/>
      <c r="M1320">
        <f>IF(tblDowntime[[#This Row],[Maintenance Downtime Hours]]="","",tblDowntime[[#This Row],[Equipment ID]])</f>
        <v/>
      </c>
      <c r="N1320" s="1">
        <f>IF(tblDowntime[[#This Row],[Failure Type]]="Production",tblDowntime[[#This Row],[Downtime Hours]],"")</f>
        <v/>
      </c>
      <c r="O1320">
        <f>IF(tblDowntime[[#This Row],[Production Downtime Hours]]="","",tblDowntime[[#This Row],[Equipment ID]])</f>
        <v/>
      </c>
      <c r="P1320" s="10" t="n"/>
    </row>
    <row r="1321">
      <c r="B1321">
        <f t="array" ref="B1321">_xlfn.XLOOKUP(C1321,INDIRECT("tblEquipment[Equipment ID]"),INDIRECT("tblEquipment[Production Department]"),"")</f>
        <v/>
      </c>
      <c r="D1321">
        <f t="array" ref="D1321">_xlfn.XLOOKUP(C1321,INDIRECT("tblEquipment[Equipment ID]"),INDIRECT("tblEquipment[Equipment Name]"),"")</f>
        <v/>
      </c>
      <c r="F1321" s="16" t="n"/>
      <c r="G1321" s="16" t="n"/>
      <c r="H1321" s="1">
        <f>IF(OR(F1321=0,G1321=0),"",(G1321-F1321)*24)</f>
        <v/>
      </c>
      <c r="I1321" s="10" t="n"/>
      <c r="J1321" s="1">
        <f>IF(OR(tblDowntime[[#This Row],[Failure Type]]="Sawshop",tblDowntime[[#This Row],[Failure Type]]="Electrical",tblDowntime[[#This Row],[Failure Type]]="Mechanical"),tblDowntime[[#This Row],[Downtime Hours]],"")</f>
        <v/>
      </c>
      <c r="K1321" s="10" t="n"/>
      <c r="L1321" s="10" t="n"/>
      <c r="M1321">
        <f>IF(tblDowntime[[#This Row],[Maintenance Downtime Hours]]="","",tblDowntime[[#This Row],[Equipment ID]])</f>
        <v/>
      </c>
      <c r="N1321" s="1">
        <f>IF(tblDowntime[[#This Row],[Failure Type]]="Production",tblDowntime[[#This Row],[Downtime Hours]],"")</f>
        <v/>
      </c>
      <c r="O1321">
        <f>IF(tblDowntime[[#This Row],[Production Downtime Hours]]="","",tblDowntime[[#This Row],[Equipment ID]])</f>
        <v/>
      </c>
      <c r="P1321" s="10" t="n"/>
    </row>
    <row r="1322">
      <c r="B1322">
        <f t="array" ref="B1322">_xlfn.XLOOKUP(C1322,INDIRECT("tblEquipment[Equipment ID]"),INDIRECT("tblEquipment[Production Department]"),"")</f>
        <v/>
      </c>
      <c r="D1322">
        <f t="array" ref="D1322">_xlfn.XLOOKUP(C1322,INDIRECT("tblEquipment[Equipment ID]"),INDIRECT("tblEquipment[Equipment Name]"),"")</f>
        <v/>
      </c>
      <c r="F1322" s="16" t="n"/>
      <c r="G1322" s="16" t="n"/>
      <c r="H1322" s="1">
        <f>IF(OR(F1322=0,G1322=0),"",(G1322-F1322)*24)</f>
        <v/>
      </c>
      <c r="I1322" s="10" t="n"/>
      <c r="J1322" s="1">
        <f>IF(OR(tblDowntime[[#This Row],[Failure Type]]="Sawshop",tblDowntime[[#This Row],[Failure Type]]="Electrical",tblDowntime[[#This Row],[Failure Type]]="Mechanical"),tblDowntime[[#This Row],[Downtime Hours]],"")</f>
        <v/>
      </c>
      <c r="K1322" s="10" t="n"/>
      <c r="L1322" s="10" t="n"/>
      <c r="M1322">
        <f>IF(tblDowntime[[#This Row],[Maintenance Downtime Hours]]="","",tblDowntime[[#This Row],[Equipment ID]])</f>
        <v/>
      </c>
      <c r="N1322" s="1">
        <f>IF(tblDowntime[[#This Row],[Failure Type]]="Production",tblDowntime[[#This Row],[Downtime Hours]],"")</f>
        <v/>
      </c>
      <c r="O1322">
        <f>IF(tblDowntime[[#This Row],[Production Downtime Hours]]="","",tblDowntime[[#This Row],[Equipment ID]])</f>
        <v/>
      </c>
      <c r="P1322" s="10" t="n"/>
    </row>
    <row r="1323">
      <c r="B1323">
        <f t="array" ref="B1323">_xlfn.XLOOKUP(C1323,INDIRECT("tblEquipment[Equipment ID]"),INDIRECT("tblEquipment[Production Department]"),"")</f>
        <v/>
      </c>
      <c r="D1323">
        <f t="array" ref="D1323">_xlfn.XLOOKUP(C1323,INDIRECT("tblEquipment[Equipment ID]"),INDIRECT("tblEquipment[Equipment Name]"),"")</f>
        <v/>
      </c>
      <c r="F1323" s="16" t="n"/>
      <c r="G1323" s="16" t="n"/>
      <c r="H1323" s="1">
        <f>IF(OR(F1323=0,G1323=0),"",(G1323-F1323)*24)</f>
        <v/>
      </c>
      <c r="I1323" s="10" t="n"/>
      <c r="J1323" s="1">
        <f>IF(OR(tblDowntime[[#This Row],[Failure Type]]="Sawshop",tblDowntime[[#This Row],[Failure Type]]="Electrical",tblDowntime[[#This Row],[Failure Type]]="Mechanical"),tblDowntime[[#This Row],[Downtime Hours]],"")</f>
        <v/>
      </c>
      <c r="K1323" s="10" t="n"/>
      <c r="L1323" s="10" t="n"/>
      <c r="M1323">
        <f>IF(tblDowntime[[#This Row],[Maintenance Downtime Hours]]="","",tblDowntime[[#This Row],[Equipment ID]])</f>
        <v/>
      </c>
      <c r="N1323" s="1">
        <f>IF(tblDowntime[[#This Row],[Failure Type]]="Production",tblDowntime[[#This Row],[Downtime Hours]],"")</f>
        <v/>
      </c>
      <c r="O1323">
        <f>IF(tblDowntime[[#This Row],[Production Downtime Hours]]="","",tblDowntime[[#This Row],[Equipment ID]])</f>
        <v/>
      </c>
      <c r="P1323" s="10" t="n"/>
    </row>
    <row r="1324">
      <c r="B1324">
        <f t="array" ref="B1324">_xlfn.XLOOKUP(C1324,INDIRECT("tblEquipment[Equipment ID]"),INDIRECT("tblEquipment[Production Department]"),"")</f>
        <v/>
      </c>
      <c r="D1324">
        <f t="array" ref="D1324">_xlfn.XLOOKUP(C1324,INDIRECT("tblEquipment[Equipment ID]"),INDIRECT("tblEquipment[Equipment Name]"),"")</f>
        <v/>
      </c>
      <c r="F1324" s="16" t="n"/>
      <c r="G1324" s="16" t="n"/>
      <c r="H1324" s="1">
        <f>IF(OR(F1324=0,G1324=0),"",(G1324-F1324)*24)</f>
        <v/>
      </c>
      <c r="I1324" s="10" t="n"/>
      <c r="J1324" s="1">
        <f>IF(OR(tblDowntime[[#This Row],[Failure Type]]="Sawshop",tblDowntime[[#This Row],[Failure Type]]="Electrical",tblDowntime[[#This Row],[Failure Type]]="Mechanical"),tblDowntime[[#This Row],[Downtime Hours]],"")</f>
        <v/>
      </c>
      <c r="K1324" s="10" t="n"/>
      <c r="L1324" s="10" t="n"/>
      <c r="M1324">
        <f>IF(tblDowntime[[#This Row],[Maintenance Downtime Hours]]="","",tblDowntime[[#This Row],[Equipment ID]])</f>
        <v/>
      </c>
      <c r="N1324" s="1">
        <f>IF(tblDowntime[[#This Row],[Failure Type]]="Production",tblDowntime[[#This Row],[Downtime Hours]],"")</f>
        <v/>
      </c>
      <c r="O1324">
        <f>IF(tblDowntime[[#This Row],[Production Downtime Hours]]="","",tblDowntime[[#This Row],[Equipment ID]])</f>
        <v/>
      </c>
      <c r="P1324" s="10" t="n"/>
    </row>
    <row r="1325">
      <c r="B1325">
        <f t="array" ref="B1325">_xlfn.XLOOKUP(C1325,INDIRECT("tblEquipment[Equipment ID]"),INDIRECT("tblEquipment[Production Department]"),"")</f>
        <v/>
      </c>
      <c r="D1325">
        <f t="array" ref="D1325">_xlfn.XLOOKUP(C1325,INDIRECT("tblEquipment[Equipment ID]"),INDIRECT("tblEquipment[Equipment Name]"),"")</f>
        <v/>
      </c>
      <c r="F1325" s="16" t="n"/>
      <c r="G1325" s="16" t="n"/>
      <c r="H1325" s="1">
        <f>IF(OR(F1325=0,G1325=0),"",(G1325-F1325)*24)</f>
        <v/>
      </c>
      <c r="I1325" s="10" t="n"/>
      <c r="J1325" s="1">
        <f>IF(OR(tblDowntime[[#This Row],[Failure Type]]="Sawshop",tblDowntime[[#This Row],[Failure Type]]="Electrical",tblDowntime[[#This Row],[Failure Type]]="Mechanical"),tblDowntime[[#This Row],[Downtime Hours]],"")</f>
        <v/>
      </c>
      <c r="K1325" s="10" t="n"/>
      <c r="L1325" s="10" t="n"/>
      <c r="M1325">
        <f>IF(tblDowntime[[#This Row],[Maintenance Downtime Hours]]="","",tblDowntime[[#This Row],[Equipment ID]])</f>
        <v/>
      </c>
      <c r="N1325" s="1">
        <f>IF(tblDowntime[[#This Row],[Failure Type]]="Production",tblDowntime[[#This Row],[Downtime Hours]],"")</f>
        <v/>
      </c>
      <c r="O1325">
        <f>IF(tblDowntime[[#This Row],[Production Downtime Hours]]="","",tblDowntime[[#This Row],[Equipment ID]])</f>
        <v/>
      </c>
      <c r="P1325" s="10" t="n"/>
    </row>
    <row r="1326">
      <c r="B1326">
        <f t="array" ref="B1326">_xlfn.XLOOKUP(C1326,INDIRECT("tblEquipment[Equipment ID]"),INDIRECT("tblEquipment[Production Department]"),"")</f>
        <v/>
      </c>
      <c r="D1326">
        <f t="array" ref="D1326">_xlfn.XLOOKUP(C1326,INDIRECT("tblEquipment[Equipment ID]"),INDIRECT("tblEquipment[Equipment Name]"),"")</f>
        <v/>
      </c>
      <c r="F1326" s="16" t="n"/>
      <c r="G1326" s="16" t="n"/>
      <c r="H1326" s="1">
        <f>IF(OR(F1326=0,G1326=0),"",(G1326-F1326)*24)</f>
        <v/>
      </c>
      <c r="I1326" s="10" t="n"/>
      <c r="J1326" s="1">
        <f>IF(OR(tblDowntime[[#This Row],[Failure Type]]="Sawshop",tblDowntime[[#This Row],[Failure Type]]="Electrical",tblDowntime[[#This Row],[Failure Type]]="Mechanical"),tblDowntime[[#This Row],[Downtime Hours]],"")</f>
        <v/>
      </c>
      <c r="K1326" s="10" t="n"/>
      <c r="L1326" s="10" t="n"/>
      <c r="M1326">
        <f>IF(tblDowntime[[#This Row],[Maintenance Downtime Hours]]="","",tblDowntime[[#This Row],[Equipment ID]])</f>
        <v/>
      </c>
      <c r="N1326" s="1">
        <f>IF(tblDowntime[[#This Row],[Failure Type]]="Production",tblDowntime[[#This Row],[Downtime Hours]],"")</f>
        <v/>
      </c>
      <c r="O1326">
        <f>IF(tblDowntime[[#This Row],[Production Downtime Hours]]="","",tblDowntime[[#This Row],[Equipment ID]])</f>
        <v/>
      </c>
      <c r="P1326" s="10" t="n"/>
    </row>
    <row r="1327">
      <c r="B1327">
        <f t="array" ref="B1327">_xlfn.XLOOKUP(C1327,INDIRECT("tblEquipment[Equipment ID]"),INDIRECT("tblEquipment[Production Department]"),"")</f>
        <v/>
      </c>
      <c r="D1327">
        <f t="array" ref="D1327">_xlfn.XLOOKUP(C1327,INDIRECT("tblEquipment[Equipment ID]"),INDIRECT("tblEquipment[Equipment Name]"),"")</f>
        <v/>
      </c>
      <c r="F1327" s="16" t="n"/>
      <c r="G1327" s="16" t="n"/>
      <c r="H1327" s="1">
        <f>IF(OR(F1327=0,G1327=0),"",(G1327-F1327)*24)</f>
        <v/>
      </c>
      <c r="I1327" s="10" t="n"/>
      <c r="J1327" s="1">
        <f>IF(OR(tblDowntime[[#This Row],[Failure Type]]="Sawshop",tblDowntime[[#This Row],[Failure Type]]="Electrical",tblDowntime[[#This Row],[Failure Type]]="Mechanical"),tblDowntime[[#This Row],[Downtime Hours]],"")</f>
        <v/>
      </c>
      <c r="K1327" s="10" t="n"/>
      <c r="L1327" s="10" t="n"/>
      <c r="M1327">
        <f>IF(tblDowntime[[#This Row],[Maintenance Downtime Hours]]="","",tblDowntime[[#This Row],[Equipment ID]])</f>
        <v/>
      </c>
      <c r="N1327" s="1">
        <f>IF(tblDowntime[[#This Row],[Failure Type]]="Production",tblDowntime[[#This Row],[Downtime Hours]],"")</f>
        <v/>
      </c>
      <c r="O1327">
        <f>IF(tblDowntime[[#This Row],[Production Downtime Hours]]="","",tblDowntime[[#This Row],[Equipment ID]])</f>
        <v/>
      </c>
      <c r="P1327" s="10" t="n"/>
    </row>
    <row r="1328">
      <c r="B1328">
        <f t="array" ref="B1328">_xlfn.XLOOKUP(C1328,INDIRECT("tblEquipment[Equipment ID]"),INDIRECT("tblEquipment[Production Department]"),"")</f>
        <v/>
      </c>
      <c r="D1328">
        <f t="array" ref="D1328">_xlfn.XLOOKUP(C1328,INDIRECT("tblEquipment[Equipment ID]"),INDIRECT("tblEquipment[Equipment Name]"),"")</f>
        <v/>
      </c>
      <c r="F1328" s="16" t="n"/>
      <c r="G1328" s="16" t="n"/>
      <c r="H1328" s="1">
        <f>IF(OR(F1328=0,G1328=0),"",(G1328-F1328)*24)</f>
        <v/>
      </c>
      <c r="I1328" s="10" t="n"/>
      <c r="J1328" s="1">
        <f>IF(OR(tblDowntime[[#This Row],[Failure Type]]="Sawshop",tblDowntime[[#This Row],[Failure Type]]="Electrical",tblDowntime[[#This Row],[Failure Type]]="Mechanical"),tblDowntime[[#This Row],[Downtime Hours]],"")</f>
        <v/>
      </c>
      <c r="K1328" s="10" t="n"/>
      <c r="L1328" s="10" t="n"/>
      <c r="M1328">
        <f>IF(tblDowntime[[#This Row],[Maintenance Downtime Hours]]="","",tblDowntime[[#This Row],[Equipment ID]])</f>
        <v/>
      </c>
      <c r="N1328" s="1">
        <f>IF(tblDowntime[[#This Row],[Failure Type]]="Production",tblDowntime[[#This Row],[Downtime Hours]],"")</f>
        <v/>
      </c>
      <c r="O1328">
        <f>IF(tblDowntime[[#This Row],[Production Downtime Hours]]="","",tblDowntime[[#This Row],[Equipment ID]])</f>
        <v/>
      </c>
      <c r="P1328" s="10" t="n"/>
    </row>
    <row r="1329">
      <c r="B1329">
        <f t="array" ref="B1329">_xlfn.XLOOKUP(C1329,INDIRECT("tblEquipment[Equipment ID]"),INDIRECT("tblEquipment[Production Department]"),"")</f>
        <v/>
      </c>
      <c r="D1329">
        <f t="array" ref="D1329">_xlfn.XLOOKUP(C1329,INDIRECT("tblEquipment[Equipment ID]"),INDIRECT("tblEquipment[Equipment Name]"),"")</f>
        <v/>
      </c>
      <c r="F1329" s="16" t="n"/>
      <c r="G1329" s="16" t="n"/>
      <c r="H1329" s="1">
        <f>IF(OR(F1329=0,G1329=0),"",(G1329-F1329)*24)</f>
        <v/>
      </c>
      <c r="I1329" s="10" t="n"/>
      <c r="J1329" s="1">
        <f>IF(OR(tblDowntime[[#This Row],[Failure Type]]="Sawshop",tblDowntime[[#This Row],[Failure Type]]="Electrical",tblDowntime[[#This Row],[Failure Type]]="Mechanical"),tblDowntime[[#This Row],[Downtime Hours]],"")</f>
        <v/>
      </c>
      <c r="K1329" s="10" t="n"/>
      <c r="L1329" s="10" t="n"/>
      <c r="M1329">
        <f>IF(tblDowntime[[#This Row],[Maintenance Downtime Hours]]="","",tblDowntime[[#This Row],[Equipment ID]])</f>
        <v/>
      </c>
      <c r="N1329" s="1">
        <f>IF(tblDowntime[[#This Row],[Failure Type]]="Production",tblDowntime[[#This Row],[Downtime Hours]],"")</f>
        <v/>
      </c>
      <c r="O1329">
        <f>IF(tblDowntime[[#This Row],[Production Downtime Hours]]="","",tblDowntime[[#This Row],[Equipment ID]])</f>
        <v/>
      </c>
      <c r="P1329" s="10" t="n"/>
    </row>
    <row r="1330">
      <c r="B1330">
        <f t="array" ref="B1330">_xlfn.XLOOKUP(C1330,INDIRECT("tblEquipment[Equipment ID]"),INDIRECT("tblEquipment[Production Department]"),"")</f>
        <v/>
      </c>
      <c r="D1330">
        <f t="array" ref="D1330">_xlfn.XLOOKUP(C1330,INDIRECT("tblEquipment[Equipment ID]"),INDIRECT("tblEquipment[Equipment Name]"),"")</f>
        <v/>
      </c>
      <c r="F1330" s="16" t="n"/>
      <c r="G1330" s="16" t="n"/>
      <c r="H1330" s="1">
        <f>IF(OR(F1330=0,G1330=0),"",(G1330-F1330)*24)</f>
        <v/>
      </c>
      <c r="I1330" s="10" t="n"/>
      <c r="J1330" s="1">
        <f>IF(OR(tblDowntime[[#This Row],[Failure Type]]="Sawshop",tblDowntime[[#This Row],[Failure Type]]="Electrical",tblDowntime[[#This Row],[Failure Type]]="Mechanical"),tblDowntime[[#This Row],[Downtime Hours]],"")</f>
        <v/>
      </c>
      <c r="K1330" s="10" t="n"/>
      <c r="L1330" s="10" t="n"/>
      <c r="M1330">
        <f>IF(tblDowntime[[#This Row],[Maintenance Downtime Hours]]="","",tblDowntime[[#This Row],[Equipment ID]])</f>
        <v/>
      </c>
      <c r="N1330" s="1">
        <f>IF(tblDowntime[[#This Row],[Failure Type]]="Production",tblDowntime[[#This Row],[Downtime Hours]],"")</f>
        <v/>
      </c>
      <c r="O1330">
        <f>IF(tblDowntime[[#This Row],[Production Downtime Hours]]="","",tblDowntime[[#This Row],[Equipment ID]])</f>
        <v/>
      </c>
      <c r="P1330" s="10" t="n"/>
    </row>
    <row r="1331">
      <c r="B1331">
        <f t="array" ref="B1331">_xlfn.XLOOKUP(C1331,INDIRECT("tblEquipment[Equipment ID]"),INDIRECT("tblEquipment[Production Department]"),"")</f>
        <v/>
      </c>
      <c r="D1331">
        <f t="array" ref="D1331">_xlfn.XLOOKUP(C1331,INDIRECT("tblEquipment[Equipment ID]"),INDIRECT("tblEquipment[Equipment Name]"),"")</f>
        <v/>
      </c>
      <c r="F1331" s="16" t="n"/>
      <c r="G1331" s="16" t="n"/>
      <c r="H1331" s="1">
        <f>IF(OR(F1331=0,G1331=0),"",(G1331-F1331)*24)</f>
        <v/>
      </c>
      <c r="I1331" s="10" t="n"/>
      <c r="J1331" s="1">
        <f>IF(OR(tblDowntime[[#This Row],[Failure Type]]="Sawshop",tblDowntime[[#This Row],[Failure Type]]="Electrical",tblDowntime[[#This Row],[Failure Type]]="Mechanical"),tblDowntime[[#This Row],[Downtime Hours]],"")</f>
        <v/>
      </c>
      <c r="K1331" s="10" t="n"/>
      <c r="L1331" s="10" t="n"/>
      <c r="M1331">
        <f>IF(tblDowntime[[#This Row],[Maintenance Downtime Hours]]="","",tblDowntime[[#This Row],[Equipment ID]])</f>
        <v/>
      </c>
      <c r="N1331" s="1">
        <f>IF(tblDowntime[[#This Row],[Failure Type]]="Production",tblDowntime[[#This Row],[Downtime Hours]],"")</f>
        <v/>
      </c>
      <c r="O1331">
        <f>IF(tblDowntime[[#This Row],[Production Downtime Hours]]="","",tblDowntime[[#This Row],[Equipment ID]])</f>
        <v/>
      </c>
      <c r="P1331" s="10" t="n"/>
    </row>
    <row r="1332">
      <c r="B1332">
        <f t="array" ref="B1332">_xlfn.XLOOKUP(C1332,INDIRECT("tblEquipment[Equipment ID]"),INDIRECT("tblEquipment[Production Department]"),"")</f>
        <v/>
      </c>
      <c r="D1332">
        <f t="array" ref="D1332">_xlfn.XLOOKUP(C1332,INDIRECT("tblEquipment[Equipment ID]"),INDIRECT("tblEquipment[Equipment Name]"),"")</f>
        <v/>
      </c>
      <c r="F1332" s="16" t="n"/>
      <c r="G1332" s="16" t="n"/>
      <c r="H1332" s="1">
        <f>IF(OR(F1332=0,G1332=0),"",(G1332-F1332)*24)</f>
        <v/>
      </c>
      <c r="I1332" s="10" t="n"/>
      <c r="J1332" s="1">
        <f>IF(OR(tblDowntime[[#This Row],[Failure Type]]="Sawshop",tblDowntime[[#This Row],[Failure Type]]="Electrical",tblDowntime[[#This Row],[Failure Type]]="Mechanical"),tblDowntime[[#This Row],[Downtime Hours]],"")</f>
        <v/>
      </c>
      <c r="K1332" s="10" t="n"/>
      <c r="L1332" s="10" t="n"/>
      <c r="M1332">
        <f>IF(tblDowntime[[#This Row],[Maintenance Downtime Hours]]="","",tblDowntime[[#This Row],[Equipment ID]])</f>
        <v/>
      </c>
      <c r="N1332" s="1">
        <f>IF(tblDowntime[[#This Row],[Failure Type]]="Production",tblDowntime[[#This Row],[Downtime Hours]],"")</f>
        <v/>
      </c>
      <c r="O1332">
        <f>IF(tblDowntime[[#This Row],[Production Downtime Hours]]="","",tblDowntime[[#This Row],[Equipment ID]])</f>
        <v/>
      </c>
      <c r="P1332" s="10" t="n"/>
    </row>
    <row r="1333">
      <c r="B1333">
        <f t="array" ref="B1333">_xlfn.XLOOKUP(C1333,INDIRECT("tblEquipment[Equipment ID]"),INDIRECT("tblEquipment[Production Department]"),"")</f>
        <v/>
      </c>
      <c r="D1333">
        <f t="array" ref="D1333">_xlfn.XLOOKUP(C1333,INDIRECT("tblEquipment[Equipment ID]"),INDIRECT("tblEquipment[Equipment Name]"),"")</f>
        <v/>
      </c>
      <c r="F1333" s="16" t="n"/>
      <c r="G1333" s="16" t="n"/>
      <c r="H1333" s="1">
        <f>IF(OR(F1333=0,G1333=0),"",(G1333-F1333)*24)</f>
        <v/>
      </c>
      <c r="I1333" s="10" t="n"/>
      <c r="J1333" s="1">
        <f>IF(OR(tblDowntime[[#This Row],[Failure Type]]="Sawshop",tblDowntime[[#This Row],[Failure Type]]="Electrical",tblDowntime[[#This Row],[Failure Type]]="Mechanical"),tblDowntime[[#This Row],[Downtime Hours]],"")</f>
        <v/>
      </c>
      <c r="K1333" s="10" t="n"/>
      <c r="L1333" s="10" t="n"/>
      <c r="M1333">
        <f>IF(tblDowntime[[#This Row],[Maintenance Downtime Hours]]="","",tblDowntime[[#This Row],[Equipment ID]])</f>
        <v/>
      </c>
      <c r="N1333" s="1">
        <f>IF(tblDowntime[[#This Row],[Failure Type]]="Production",tblDowntime[[#This Row],[Downtime Hours]],"")</f>
        <v/>
      </c>
      <c r="O1333">
        <f>IF(tblDowntime[[#This Row],[Production Downtime Hours]]="","",tblDowntime[[#This Row],[Equipment ID]])</f>
        <v/>
      </c>
      <c r="P1333" s="10" t="n"/>
    </row>
    <row r="1334">
      <c r="B1334">
        <f t="array" ref="B1334">_xlfn.XLOOKUP(C1334,INDIRECT("tblEquipment[Equipment ID]"),INDIRECT("tblEquipment[Production Department]"),"")</f>
        <v/>
      </c>
      <c r="D1334">
        <f t="array" ref="D1334">_xlfn.XLOOKUP(C1334,INDIRECT("tblEquipment[Equipment ID]"),INDIRECT("tblEquipment[Equipment Name]"),"")</f>
        <v/>
      </c>
      <c r="F1334" s="16" t="n"/>
      <c r="G1334" s="16" t="n"/>
      <c r="H1334" s="1">
        <f>IF(OR(F1334=0,G1334=0),"",(G1334-F1334)*24)</f>
        <v/>
      </c>
      <c r="I1334" s="10" t="n"/>
      <c r="J1334" s="1">
        <f>IF(OR(tblDowntime[[#This Row],[Failure Type]]="Sawshop",tblDowntime[[#This Row],[Failure Type]]="Electrical",tblDowntime[[#This Row],[Failure Type]]="Mechanical"),tblDowntime[[#This Row],[Downtime Hours]],"")</f>
        <v/>
      </c>
      <c r="K1334" s="10" t="n"/>
      <c r="L1334" s="10" t="n"/>
      <c r="M1334">
        <f>IF(tblDowntime[[#This Row],[Maintenance Downtime Hours]]="","",tblDowntime[[#This Row],[Equipment ID]])</f>
        <v/>
      </c>
      <c r="N1334" s="1">
        <f>IF(tblDowntime[[#This Row],[Failure Type]]="Production",tblDowntime[[#This Row],[Downtime Hours]],"")</f>
        <v/>
      </c>
      <c r="O1334">
        <f>IF(tblDowntime[[#This Row],[Production Downtime Hours]]="","",tblDowntime[[#This Row],[Equipment ID]])</f>
        <v/>
      </c>
      <c r="P1334" s="10" t="n"/>
    </row>
    <row r="1335">
      <c r="B1335">
        <f t="array" ref="B1335">_xlfn.XLOOKUP(C1335,INDIRECT("tblEquipment[Equipment ID]"),INDIRECT("tblEquipment[Production Department]"),"")</f>
        <v/>
      </c>
      <c r="D1335">
        <f t="array" ref="D1335">_xlfn.XLOOKUP(C1335,INDIRECT("tblEquipment[Equipment ID]"),INDIRECT("tblEquipment[Equipment Name]"),"")</f>
        <v/>
      </c>
      <c r="F1335" s="16" t="n"/>
      <c r="G1335" s="16" t="n"/>
      <c r="H1335" s="1">
        <f>IF(OR(F1335=0,G1335=0),"",(G1335-F1335)*24)</f>
        <v/>
      </c>
      <c r="I1335" s="10" t="n"/>
      <c r="J1335" s="1">
        <f>IF(OR(tblDowntime[[#This Row],[Failure Type]]="Sawshop",tblDowntime[[#This Row],[Failure Type]]="Electrical",tblDowntime[[#This Row],[Failure Type]]="Mechanical"),tblDowntime[[#This Row],[Downtime Hours]],"")</f>
        <v/>
      </c>
      <c r="K1335" s="10" t="n"/>
      <c r="L1335" s="10" t="n"/>
      <c r="M1335">
        <f>IF(tblDowntime[[#This Row],[Maintenance Downtime Hours]]="","",tblDowntime[[#This Row],[Equipment ID]])</f>
        <v/>
      </c>
      <c r="N1335" s="1">
        <f>IF(tblDowntime[[#This Row],[Failure Type]]="Production",tblDowntime[[#This Row],[Downtime Hours]],"")</f>
        <v/>
      </c>
      <c r="O1335">
        <f>IF(tblDowntime[[#This Row],[Production Downtime Hours]]="","",tblDowntime[[#This Row],[Equipment ID]])</f>
        <v/>
      </c>
      <c r="P1335" s="10" t="n"/>
    </row>
    <row r="1336">
      <c r="B1336">
        <f t="array" ref="B1336">_xlfn.XLOOKUP(C1336,INDIRECT("tblEquipment[Equipment ID]"),INDIRECT("tblEquipment[Production Department]"),"")</f>
        <v/>
      </c>
      <c r="D1336">
        <f t="array" ref="D1336">_xlfn.XLOOKUP(C1336,INDIRECT("tblEquipment[Equipment ID]"),INDIRECT("tblEquipment[Equipment Name]"),"")</f>
        <v/>
      </c>
      <c r="F1336" s="16" t="n"/>
      <c r="G1336" s="16" t="n"/>
      <c r="H1336" s="1">
        <f>IF(OR(F1336=0,G1336=0),"",(G1336-F1336)*24)</f>
        <v/>
      </c>
      <c r="I1336" s="10" t="n"/>
      <c r="J1336" s="1">
        <f>IF(OR(tblDowntime[[#This Row],[Failure Type]]="Sawshop",tblDowntime[[#This Row],[Failure Type]]="Electrical",tblDowntime[[#This Row],[Failure Type]]="Mechanical"),tblDowntime[[#This Row],[Downtime Hours]],"")</f>
        <v/>
      </c>
      <c r="K1336" s="10" t="n"/>
      <c r="L1336" s="10" t="n"/>
      <c r="M1336">
        <f>IF(tblDowntime[[#This Row],[Maintenance Downtime Hours]]="","",tblDowntime[[#This Row],[Equipment ID]])</f>
        <v/>
      </c>
      <c r="N1336" s="1">
        <f>IF(tblDowntime[[#This Row],[Failure Type]]="Production",tblDowntime[[#This Row],[Downtime Hours]],"")</f>
        <v/>
      </c>
      <c r="O1336">
        <f>IF(tblDowntime[[#This Row],[Production Downtime Hours]]="","",tblDowntime[[#This Row],[Equipment ID]])</f>
        <v/>
      </c>
      <c r="P1336" s="10" t="n"/>
    </row>
    <row r="1337">
      <c r="B1337">
        <f t="array" ref="B1337">_xlfn.XLOOKUP(C1337,INDIRECT("tblEquipment[Equipment ID]"),INDIRECT("tblEquipment[Production Department]"),"")</f>
        <v/>
      </c>
      <c r="D1337">
        <f t="array" ref="D1337">_xlfn.XLOOKUP(C1337,INDIRECT("tblEquipment[Equipment ID]"),INDIRECT("tblEquipment[Equipment Name]"),"")</f>
        <v/>
      </c>
      <c r="F1337" s="16" t="n"/>
      <c r="G1337" s="16" t="n"/>
      <c r="H1337" s="1">
        <f>IF(OR(F1337=0,G1337=0),"",(G1337-F1337)*24)</f>
        <v/>
      </c>
      <c r="I1337" s="10" t="n"/>
      <c r="J1337" s="1">
        <f>IF(OR(tblDowntime[[#This Row],[Failure Type]]="Sawshop",tblDowntime[[#This Row],[Failure Type]]="Electrical",tblDowntime[[#This Row],[Failure Type]]="Mechanical"),tblDowntime[[#This Row],[Downtime Hours]],"")</f>
        <v/>
      </c>
      <c r="K1337" s="10" t="n"/>
      <c r="L1337" s="10" t="n"/>
      <c r="M1337">
        <f>IF(tblDowntime[[#This Row],[Maintenance Downtime Hours]]="","",tblDowntime[[#This Row],[Equipment ID]])</f>
        <v/>
      </c>
      <c r="N1337" s="1">
        <f>IF(tblDowntime[[#This Row],[Failure Type]]="Production",tblDowntime[[#This Row],[Downtime Hours]],"")</f>
        <v/>
      </c>
      <c r="O1337">
        <f>IF(tblDowntime[[#This Row],[Production Downtime Hours]]="","",tblDowntime[[#This Row],[Equipment ID]])</f>
        <v/>
      </c>
      <c r="P1337" s="10" t="n"/>
    </row>
    <row r="1338">
      <c r="B1338">
        <f t="array" ref="B1338">_xlfn.XLOOKUP(C1338,INDIRECT("tblEquipment[Equipment ID]"),INDIRECT("tblEquipment[Production Department]"),"")</f>
        <v/>
      </c>
      <c r="D1338">
        <f t="array" ref="D1338">_xlfn.XLOOKUP(C1338,INDIRECT("tblEquipment[Equipment ID]"),INDIRECT("tblEquipment[Equipment Name]"),"")</f>
        <v/>
      </c>
      <c r="F1338" s="16" t="n"/>
      <c r="G1338" s="16" t="n"/>
      <c r="H1338" s="1">
        <f>IF(OR(F1338=0,G1338=0),"",(G1338-F1338)*24)</f>
        <v/>
      </c>
      <c r="I1338" s="10" t="n"/>
      <c r="J1338" s="1">
        <f>IF(OR(tblDowntime[[#This Row],[Failure Type]]="Sawshop",tblDowntime[[#This Row],[Failure Type]]="Electrical",tblDowntime[[#This Row],[Failure Type]]="Mechanical"),tblDowntime[[#This Row],[Downtime Hours]],"")</f>
        <v/>
      </c>
      <c r="K1338" s="10" t="n"/>
      <c r="L1338" s="10" t="n"/>
      <c r="M1338">
        <f>IF(tblDowntime[[#This Row],[Maintenance Downtime Hours]]="","",tblDowntime[[#This Row],[Equipment ID]])</f>
        <v/>
      </c>
      <c r="N1338" s="1">
        <f>IF(tblDowntime[[#This Row],[Failure Type]]="Production",tblDowntime[[#This Row],[Downtime Hours]],"")</f>
        <v/>
      </c>
      <c r="O1338">
        <f>IF(tblDowntime[[#This Row],[Production Downtime Hours]]="","",tblDowntime[[#This Row],[Equipment ID]])</f>
        <v/>
      </c>
      <c r="P1338" s="10" t="n"/>
    </row>
    <row r="1339">
      <c r="B1339">
        <f t="array" ref="B1339">_xlfn.XLOOKUP(C1339,INDIRECT("tblEquipment[Equipment ID]"),INDIRECT("tblEquipment[Production Department]"),"")</f>
        <v/>
      </c>
      <c r="D1339">
        <f t="array" ref="D1339">_xlfn.XLOOKUP(C1339,INDIRECT("tblEquipment[Equipment ID]"),INDIRECT("tblEquipment[Equipment Name]"),"")</f>
        <v/>
      </c>
      <c r="F1339" s="16" t="n"/>
      <c r="G1339" s="16" t="n"/>
      <c r="H1339" s="1">
        <f>IF(OR(F1339=0,G1339=0),"",(G1339-F1339)*24)</f>
        <v/>
      </c>
      <c r="I1339" s="10" t="n"/>
      <c r="J1339" s="1">
        <f>IF(OR(tblDowntime[[#This Row],[Failure Type]]="Sawshop",tblDowntime[[#This Row],[Failure Type]]="Electrical",tblDowntime[[#This Row],[Failure Type]]="Mechanical"),tblDowntime[[#This Row],[Downtime Hours]],"")</f>
        <v/>
      </c>
      <c r="K1339" s="10" t="n"/>
      <c r="L1339" s="10" t="n"/>
      <c r="M1339">
        <f>IF(tblDowntime[[#This Row],[Maintenance Downtime Hours]]="","",tblDowntime[[#This Row],[Equipment ID]])</f>
        <v/>
      </c>
      <c r="N1339" s="1">
        <f>IF(tblDowntime[[#This Row],[Failure Type]]="Production",tblDowntime[[#This Row],[Downtime Hours]],"")</f>
        <v/>
      </c>
      <c r="O1339">
        <f>IF(tblDowntime[[#This Row],[Production Downtime Hours]]="","",tblDowntime[[#This Row],[Equipment ID]])</f>
        <v/>
      </c>
      <c r="P1339" s="10" t="n"/>
    </row>
    <row r="1340">
      <c r="B1340">
        <f t="array" ref="B1340">_xlfn.XLOOKUP(C1340,INDIRECT("tblEquipment[Equipment ID]"),INDIRECT("tblEquipment[Production Department]"),"")</f>
        <v/>
      </c>
      <c r="D1340">
        <f t="array" ref="D1340">_xlfn.XLOOKUP(C1340,INDIRECT("tblEquipment[Equipment ID]"),INDIRECT("tblEquipment[Equipment Name]"),"")</f>
        <v/>
      </c>
      <c r="F1340" s="16" t="n"/>
      <c r="G1340" s="16" t="n"/>
      <c r="H1340" s="1">
        <f>IF(OR(F1340=0,G1340=0),"",(G1340-F1340)*24)</f>
        <v/>
      </c>
      <c r="I1340" s="10" t="n"/>
      <c r="J1340" s="1">
        <f>IF(OR(tblDowntime[[#This Row],[Failure Type]]="Sawshop",tblDowntime[[#This Row],[Failure Type]]="Electrical",tblDowntime[[#This Row],[Failure Type]]="Mechanical"),tblDowntime[[#This Row],[Downtime Hours]],"")</f>
        <v/>
      </c>
      <c r="K1340" s="10" t="n"/>
      <c r="L1340" s="10" t="n"/>
      <c r="M1340">
        <f>IF(tblDowntime[[#This Row],[Maintenance Downtime Hours]]="","",tblDowntime[[#This Row],[Equipment ID]])</f>
        <v/>
      </c>
      <c r="N1340" s="1">
        <f>IF(tblDowntime[[#This Row],[Failure Type]]="Production",tblDowntime[[#This Row],[Downtime Hours]],"")</f>
        <v/>
      </c>
      <c r="O1340">
        <f>IF(tblDowntime[[#This Row],[Production Downtime Hours]]="","",tblDowntime[[#This Row],[Equipment ID]])</f>
        <v/>
      </c>
      <c r="P1340" s="10" t="n"/>
    </row>
    <row r="1341">
      <c r="B1341">
        <f t="array" ref="B1341">_xlfn.XLOOKUP(C1341,INDIRECT("tblEquipment[Equipment ID]"),INDIRECT("tblEquipment[Production Department]"),"")</f>
        <v/>
      </c>
      <c r="D1341">
        <f t="array" ref="D1341">_xlfn.XLOOKUP(C1341,INDIRECT("tblEquipment[Equipment ID]"),INDIRECT("tblEquipment[Equipment Name]"),"")</f>
        <v/>
      </c>
      <c r="F1341" s="16" t="n"/>
      <c r="G1341" s="16" t="n"/>
      <c r="H1341" s="1">
        <f>IF(OR(F1341=0,G1341=0),"",(G1341-F1341)*24)</f>
        <v/>
      </c>
      <c r="I1341" s="10" t="n"/>
      <c r="J1341" s="1">
        <f>IF(OR(tblDowntime[[#This Row],[Failure Type]]="Sawshop",tblDowntime[[#This Row],[Failure Type]]="Electrical",tblDowntime[[#This Row],[Failure Type]]="Mechanical"),tblDowntime[[#This Row],[Downtime Hours]],"")</f>
        <v/>
      </c>
      <c r="K1341" s="10" t="n"/>
      <c r="L1341" s="10" t="n"/>
      <c r="M1341">
        <f>IF(tblDowntime[[#This Row],[Maintenance Downtime Hours]]="","",tblDowntime[[#This Row],[Equipment ID]])</f>
        <v/>
      </c>
      <c r="N1341" s="1">
        <f>IF(tblDowntime[[#This Row],[Failure Type]]="Production",tblDowntime[[#This Row],[Downtime Hours]],"")</f>
        <v/>
      </c>
      <c r="O1341">
        <f>IF(tblDowntime[[#This Row],[Production Downtime Hours]]="","",tblDowntime[[#This Row],[Equipment ID]])</f>
        <v/>
      </c>
      <c r="P1341" s="10" t="n"/>
    </row>
    <row r="1342">
      <c r="B1342">
        <f t="array" ref="B1342">_xlfn.XLOOKUP(C1342,INDIRECT("tblEquipment[Equipment ID]"),INDIRECT("tblEquipment[Production Department]"),"")</f>
        <v/>
      </c>
      <c r="D1342">
        <f t="array" ref="D1342">_xlfn.XLOOKUP(C1342,INDIRECT("tblEquipment[Equipment ID]"),INDIRECT("tblEquipment[Equipment Name]"),"")</f>
        <v/>
      </c>
      <c r="F1342" s="16" t="n"/>
      <c r="G1342" s="16" t="n"/>
      <c r="H1342" s="1">
        <f>IF(OR(F1342=0,G1342=0),"",(G1342-F1342)*24)</f>
        <v/>
      </c>
      <c r="I1342" s="10" t="n"/>
      <c r="J1342" s="1">
        <f>IF(OR(tblDowntime[[#This Row],[Failure Type]]="Sawshop",tblDowntime[[#This Row],[Failure Type]]="Electrical",tblDowntime[[#This Row],[Failure Type]]="Mechanical"),tblDowntime[[#This Row],[Downtime Hours]],"")</f>
        <v/>
      </c>
      <c r="K1342" s="10" t="n"/>
      <c r="L1342" s="10" t="n"/>
      <c r="M1342">
        <f>IF(tblDowntime[[#This Row],[Maintenance Downtime Hours]]="","",tblDowntime[[#This Row],[Equipment ID]])</f>
        <v/>
      </c>
      <c r="N1342" s="1">
        <f>IF(tblDowntime[[#This Row],[Failure Type]]="Production",tblDowntime[[#This Row],[Downtime Hours]],"")</f>
        <v/>
      </c>
      <c r="O1342">
        <f>IF(tblDowntime[[#This Row],[Production Downtime Hours]]="","",tblDowntime[[#This Row],[Equipment ID]])</f>
        <v/>
      </c>
      <c r="P1342" s="10" t="n"/>
    </row>
    <row r="1343">
      <c r="B1343">
        <f t="array" ref="B1343">_xlfn.XLOOKUP(C1343,INDIRECT("tblEquipment[Equipment ID]"),INDIRECT("tblEquipment[Production Department]"),"")</f>
        <v/>
      </c>
      <c r="D1343">
        <f t="array" ref="D1343">_xlfn.XLOOKUP(C1343,INDIRECT("tblEquipment[Equipment ID]"),INDIRECT("tblEquipment[Equipment Name]"),"")</f>
        <v/>
      </c>
      <c r="F1343" s="16" t="n"/>
      <c r="G1343" s="16" t="n"/>
      <c r="H1343" s="1">
        <f>IF(OR(F1343=0,G1343=0),"",(G1343-F1343)*24)</f>
        <v/>
      </c>
      <c r="I1343" s="10" t="n"/>
      <c r="J1343" s="1">
        <f>IF(OR(tblDowntime[[#This Row],[Failure Type]]="Sawshop",tblDowntime[[#This Row],[Failure Type]]="Electrical",tblDowntime[[#This Row],[Failure Type]]="Mechanical"),tblDowntime[[#This Row],[Downtime Hours]],"")</f>
        <v/>
      </c>
      <c r="K1343" s="10" t="n"/>
      <c r="L1343" s="10" t="n"/>
      <c r="M1343">
        <f>IF(tblDowntime[[#This Row],[Maintenance Downtime Hours]]="","",tblDowntime[[#This Row],[Equipment ID]])</f>
        <v/>
      </c>
      <c r="N1343" s="1">
        <f>IF(tblDowntime[[#This Row],[Failure Type]]="Production",tblDowntime[[#This Row],[Downtime Hours]],"")</f>
        <v/>
      </c>
      <c r="O1343">
        <f>IF(tblDowntime[[#This Row],[Production Downtime Hours]]="","",tblDowntime[[#This Row],[Equipment ID]])</f>
        <v/>
      </c>
      <c r="P1343" s="10" t="n"/>
    </row>
    <row r="1344">
      <c r="B1344">
        <f t="array" ref="B1344">_xlfn.XLOOKUP(C1344,INDIRECT("tblEquipment[Equipment ID]"),INDIRECT("tblEquipment[Production Department]"),"")</f>
        <v/>
      </c>
      <c r="D1344">
        <f t="array" ref="D1344">_xlfn.XLOOKUP(C1344,INDIRECT("tblEquipment[Equipment ID]"),INDIRECT("tblEquipment[Equipment Name]"),"")</f>
        <v/>
      </c>
      <c r="F1344" s="16" t="n"/>
      <c r="G1344" s="16" t="n"/>
      <c r="H1344" s="1">
        <f>IF(OR(F1344=0,G1344=0),"",(G1344-F1344)*24)</f>
        <v/>
      </c>
      <c r="I1344" s="10" t="n"/>
      <c r="J1344" s="1">
        <f>IF(OR(tblDowntime[[#This Row],[Failure Type]]="Sawshop",tblDowntime[[#This Row],[Failure Type]]="Electrical",tblDowntime[[#This Row],[Failure Type]]="Mechanical"),tblDowntime[[#This Row],[Downtime Hours]],"")</f>
        <v/>
      </c>
      <c r="K1344" s="10" t="n"/>
      <c r="L1344" s="10" t="n"/>
      <c r="M1344">
        <f>IF(tblDowntime[[#This Row],[Maintenance Downtime Hours]]="","",tblDowntime[[#This Row],[Equipment ID]])</f>
        <v/>
      </c>
      <c r="N1344" s="1">
        <f>IF(tblDowntime[[#This Row],[Failure Type]]="Production",tblDowntime[[#This Row],[Downtime Hours]],"")</f>
        <v/>
      </c>
      <c r="O1344">
        <f>IF(tblDowntime[[#This Row],[Production Downtime Hours]]="","",tblDowntime[[#This Row],[Equipment ID]])</f>
        <v/>
      </c>
      <c r="P1344" s="10" t="n"/>
    </row>
    <row r="1345">
      <c r="B1345">
        <f t="array" ref="B1345">_xlfn.XLOOKUP(C1345,INDIRECT("tblEquipment[Equipment ID]"),INDIRECT("tblEquipment[Production Department]"),"")</f>
        <v/>
      </c>
      <c r="D1345">
        <f t="array" ref="D1345">_xlfn.XLOOKUP(C1345,INDIRECT("tblEquipment[Equipment ID]"),INDIRECT("tblEquipment[Equipment Name]"),"")</f>
        <v/>
      </c>
      <c r="F1345" s="16" t="n"/>
      <c r="G1345" s="16" t="n"/>
      <c r="H1345" s="1">
        <f>IF(OR(F1345=0,G1345=0),"",(G1345-F1345)*24)</f>
        <v/>
      </c>
      <c r="I1345" s="10" t="n"/>
      <c r="J1345" s="1">
        <f>IF(OR(tblDowntime[[#This Row],[Failure Type]]="Sawshop",tblDowntime[[#This Row],[Failure Type]]="Electrical",tblDowntime[[#This Row],[Failure Type]]="Mechanical"),tblDowntime[[#This Row],[Downtime Hours]],"")</f>
        <v/>
      </c>
      <c r="K1345" s="10" t="n"/>
      <c r="L1345" s="10" t="n"/>
      <c r="M1345">
        <f>IF(tblDowntime[[#This Row],[Maintenance Downtime Hours]]="","",tblDowntime[[#This Row],[Equipment ID]])</f>
        <v/>
      </c>
      <c r="N1345" s="1">
        <f>IF(tblDowntime[[#This Row],[Failure Type]]="Production",tblDowntime[[#This Row],[Downtime Hours]],"")</f>
        <v/>
      </c>
      <c r="O1345">
        <f>IF(tblDowntime[[#This Row],[Production Downtime Hours]]="","",tblDowntime[[#This Row],[Equipment ID]])</f>
        <v/>
      </c>
      <c r="P1345" s="10" t="n"/>
    </row>
    <row r="1346">
      <c r="B1346">
        <f t="array" ref="B1346">_xlfn.XLOOKUP(C1346,INDIRECT("tblEquipment[Equipment ID]"),INDIRECT("tblEquipment[Production Department]"),"")</f>
        <v/>
      </c>
      <c r="D1346">
        <f t="array" ref="D1346">_xlfn.XLOOKUP(C1346,INDIRECT("tblEquipment[Equipment ID]"),INDIRECT("tblEquipment[Equipment Name]"),"")</f>
        <v/>
      </c>
      <c r="F1346" s="16" t="n"/>
      <c r="G1346" s="16" t="n"/>
      <c r="H1346" s="1">
        <f>IF(OR(F1346=0,G1346=0),"",(G1346-F1346)*24)</f>
        <v/>
      </c>
      <c r="I1346" s="10" t="n"/>
      <c r="J1346" s="1">
        <f>IF(OR(tblDowntime[[#This Row],[Failure Type]]="Sawshop",tblDowntime[[#This Row],[Failure Type]]="Electrical",tblDowntime[[#This Row],[Failure Type]]="Mechanical"),tblDowntime[[#This Row],[Downtime Hours]],"")</f>
        <v/>
      </c>
      <c r="K1346" s="10" t="n"/>
      <c r="L1346" s="10" t="n"/>
      <c r="M1346">
        <f>IF(tblDowntime[[#This Row],[Maintenance Downtime Hours]]="","",tblDowntime[[#This Row],[Equipment ID]])</f>
        <v/>
      </c>
      <c r="N1346" s="1">
        <f>IF(tblDowntime[[#This Row],[Failure Type]]="Production",tblDowntime[[#This Row],[Downtime Hours]],"")</f>
        <v/>
      </c>
      <c r="O1346">
        <f>IF(tblDowntime[[#This Row],[Production Downtime Hours]]="","",tblDowntime[[#This Row],[Equipment ID]])</f>
        <v/>
      </c>
      <c r="P1346" s="10" t="n"/>
    </row>
    <row r="1347">
      <c r="B1347">
        <f t="array" ref="B1347">_xlfn.XLOOKUP(C1347,INDIRECT("tblEquipment[Equipment ID]"),INDIRECT("tblEquipment[Production Department]"),"")</f>
        <v/>
      </c>
      <c r="D1347">
        <f t="array" ref="D1347">_xlfn.XLOOKUP(C1347,INDIRECT("tblEquipment[Equipment ID]"),INDIRECT("tblEquipment[Equipment Name]"),"")</f>
        <v/>
      </c>
      <c r="F1347" s="16" t="n"/>
      <c r="G1347" s="16" t="n"/>
      <c r="H1347" s="1">
        <f>IF(OR(F1347=0,G1347=0),"",(G1347-F1347)*24)</f>
        <v/>
      </c>
      <c r="I1347" s="10" t="n"/>
      <c r="J1347" s="1">
        <f>IF(OR(tblDowntime[[#This Row],[Failure Type]]="Sawshop",tblDowntime[[#This Row],[Failure Type]]="Electrical",tblDowntime[[#This Row],[Failure Type]]="Mechanical"),tblDowntime[[#This Row],[Downtime Hours]],"")</f>
        <v/>
      </c>
      <c r="K1347" s="10" t="n"/>
      <c r="L1347" s="10" t="n"/>
      <c r="M1347">
        <f>IF(tblDowntime[[#This Row],[Maintenance Downtime Hours]]="","",tblDowntime[[#This Row],[Equipment ID]])</f>
        <v/>
      </c>
      <c r="N1347" s="1">
        <f>IF(tblDowntime[[#This Row],[Failure Type]]="Production",tblDowntime[[#This Row],[Downtime Hours]],"")</f>
        <v/>
      </c>
      <c r="O1347">
        <f>IF(tblDowntime[[#This Row],[Production Downtime Hours]]="","",tblDowntime[[#This Row],[Equipment ID]])</f>
        <v/>
      </c>
      <c r="P1347" s="10" t="n"/>
    </row>
    <row r="1348">
      <c r="B1348">
        <f t="array" ref="B1348">_xlfn.XLOOKUP(C1348,INDIRECT("tblEquipment[Equipment ID]"),INDIRECT("tblEquipment[Production Department]"),"")</f>
        <v/>
      </c>
      <c r="D1348">
        <f t="array" ref="D1348">_xlfn.XLOOKUP(C1348,INDIRECT("tblEquipment[Equipment ID]"),INDIRECT("tblEquipment[Equipment Name]"),"")</f>
        <v/>
      </c>
      <c r="F1348" s="16" t="n"/>
      <c r="G1348" s="16" t="n"/>
      <c r="H1348" s="1">
        <f>IF(OR(F1348=0,G1348=0),"",(G1348-F1348)*24)</f>
        <v/>
      </c>
      <c r="I1348" s="10" t="n"/>
      <c r="J1348" s="1">
        <f>IF(OR(tblDowntime[[#This Row],[Failure Type]]="Sawshop",tblDowntime[[#This Row],[Failure Type]]="Electrical",tblDowntime[[#This Row],[Failure Type]]="Mechanical"),tblDowntime[[#This Row],[Downtime Hours]],"")</f>
        <v/>
      </c>
      <c r="K1348" s="10" t="n"/>
      <c r="L1348" s="10" t="n"/>
      <c r="M1348">
        <f>IF(tblDowntime[[#This Row],[Maintenance Downtime Hours]]="","",tblDowntime[[#This Row],[Equipment ID]])</f>
        <v/>
      </c>
      <c r="N1348" s="1">
        <f>IF(tblDowntime[[#This Row],[Failure Type]]="Production",tblDowntime[[#This Row],[Downtime Hours]],"")</f>
        <v/>
      </c>
      <c r="O1348">
        <f>IF(tblDowntime[[#This Row],[Production Downtime Hours]]="","",tblDowntime[[#This Row],[Equipment ID]])</f>
        <v/>
      </c>
      <c r="P1348" s="10" t="n"/>
    </row>
    <row r="1349">
      <c r="B1349">
        <f t="array" ref="B1349">_xlfn.XLOOKUP(C1349,INDIRECT("tblEquipment[Equipment ID]"),INDIRECT("tblEquipment[Production Department]"),"")</f>
        <v/>
      </c>
      <c r="D1349">
        <f t="array" ref="D1349">_xlfn.XLOOKUP(C1349,INDIRECT("tblEquipment[Equipment ID]"),INDIRECT("tblEquipment[Equipment Name]"),"")</f>
        <v/>
      </c>
      <c r="F1349" s="16" t="n"/>
      <c r="G1349" s="16" t="n"/>
      <c r="H1349" s="1">
        <f>IF(OR(F1349=0,G1349=0),"",(G1349-F1349)*24)</f>
        <v/>
      </c>
      <c r="I1349" s="10" t="n"/>
      <c r="J1349" s="1">
        <f>IF(OR(tblDowntime[[#This Row],[Failure Type]]="Sawshop",tblDowntime[[#This Row],[Failure Type]]="Electrical",tblDowntime[[#This Row],[Failure Type]]="Mechanical"),tblDowntime[[#This Row],[Downtime Hours]],"")</f>
        <v/>
      </c>
      <c r="K1349" s="10" t="n"/>
      <c r="L1349" s="10" t="n"/>
      <c r="M1349">
        <f>IF(tblDowntime[[#This Row],[Maintenance Downtime Hours]]="","",tblDowntime[[#This Row],[Equipment ID]])</f>
        <v/>
      </c>
      <c r="N1349" s="1">
        <f>IF(tblDowntime[[#This Row],[Failure Type]]="Production",tblDowntime[[#This Row],[Downtime Hours]],"")</f>
        <v/>
      </c>
      <c r="O1349">
        <f>IF(tblDowntime[[#This Row],[Production Downtime Hours]]="","",tblDowntime[[#This Row],[Equipment ID]])</f>
        <v/>
      </c>
      <c r="P1349" s="10" t="n"/>
    </row>
    <row r="1350">
      <c r="B1350">
        <f t="array" ref="B1350">_xlfn.XLOOKUP(C1350,INDIRECT("tblEquipment[Equipment ID]"),INDIRECT("tblEquipment[Production Department]"),"")</f>
        <v/>
      </c>
      <c r="D1350">
        <f t="array" ref="D1350">_xlfn.XLOOKUP(C1350,INDIRECT("tblEquipment[Equipment ID]"),INDIRECT("tblEquipment[Equipment Name]"),"")</f>
        <v/>
      </c>
      <c r="F1350" s="16" t="n"/>
      <c r="G1350" s="16" t="n"/>
      <c r="H1350" s="1">
        <f>IF(OR(F1350=0,G1350=0),"",(G1350-F1350)*24)</f>
        <v/>
      </c>
      <c r="I1350" s="10" t="n"/>
      <c r="J1350" s="1">
        <f>IF(OR(tblDowntime[[#This Row],[Failure Type]]="Sawshop",tblDowntime[[#This Row],[Failure Type]]="Electrical",tblDowntime[[#This Row],[Failure Type]]="Mechanical"),tblDowntime[[#This Row],[Downtime Hours]],"")</f>
        <v/>
      </c>
      <c r="K1350" s="10" t="n"/>
      <c r="L1350" s="10" t="n"/>
      <c r="M1350">
        <f>IF(tblDowntime[[#This Row],[Maintenance Downtime Hours]]="","",tblDowntime[[#This Row],[Equipment ID]])</f>
        <v/>
      </c>
      <c r="N1350" s="1">
        <f>IF(tblDowntime[[#This Row],[Failure Type]]="Production",tblDowntime[[#This Row],[Downtime Hours]],"")</f>
        <v/>
      </c>
      <c r="O1350">
        <f>IF(tblDowntime[[#This Row],[Production Downtime Hours]]="","",tblDowntime[[#This Row],[Equipment ID]])</f>
        <v/>
      </c>
      <c r="P1350" s="10" t="n"/>
    </row>
    <row r="1351">
      <c r="B1351">
        <f t="array" ref="B1351">_xlfn.XLOOKUP(C1351,INDIRECT("tblEquipment[Equipment ID]"),INDIRECT("tblEquipment[Production Department]"),"")</f>
        <v/>
      </c>
      <c r="D1351">
        <f t="array" ref="D1351">_xlfn.XLOOKUP(C1351,INDIRECT("tblEquipment[Equipment ID]"),INDIRECT("tblEquipment[Equipment Name]"),"")</f>
        <v/>
      </c>
      <c r="F1351" s="16" t="n"/>
      <c r="G1351" s="16" t="n"/>
      <c r="H1351" s="1">
        <f>IF(OR(F1351=0,G1351=0),"",(G1351-F1351)*24)</f>
        <v/>
      </c>
      <c r="I1351" s="10" t="n"/>
      <c r="J1351" s="1">
        <f>IF(OR(tblDowntime[[#This Row],[Failure Type]]="Sawshop",tblDowntime[[#This Row],[Failure Type]]="Electrical",tblDowntime[[#This Row],[Failure Type]]="Mechanical"),tblDowntime[[#This Row],[Downtime Hours]],"")</f>
        <v/>
      </c>
      <c r="K1351" s="10" t="n"/>
      <c r="L1351" s="10" t="n"/>
      <c r="M1351">
        <f>IF(tblDowntime[[#This Row],[Maintenance Downtime Hours]]="","",tblDowntime[[#This Row],[Equipment ID]])</f>
        <v/>
      </c>
      <c r="N1351" s="1">
        <f>IF(tblDowntime[[#This Row],[Failure Type]]="Production",tblDowntime[[#This Row],[Downtime Hours]],"")</f>
        <v/>
      </c>
      <c r="O1351">
        <f>IF(tblDowntime[[#This Row],[Production Downtime Hours]]="","",tblDowntime[[#This Row],[Equipment ID]])</f>
        <v/>
      </c>
      <c r="P1351" s="10" t="n"/>
    </row>
    <row r="1352">
      <c r="B1352">
        <f t="array" ref="B1352">_xlfn.XLOOKUP(C1352,INDIRECT("tblEquipment[Equipment ID]"),INDIRECT("tblEquipment[Production Department]"),"")</f>
        <v/>
      </c>
      <c r="D1352">
        <f t="array" ref="D1352">_xlfn.XLOOKUP(C1352,INDIRECT("tblEquipment[Equipment ID]"),INDIRECT("tblEquipment[Equipment Name]"),"")</f>
        <v/>
      </c>
      <c r="F1352" s="16" t="n"/>
      <c r="G1352" s="16" t="n"/>
      <c r="H1352" s="1">
        <f>IF(OR(F1352=0,G1352=0),"",(G1352-F1352)*24)</f>
        <v/>
      </c>
      <c r="I1352" s="10" t="n"/>
      <c r="J1352" s="1">
        <f>IF(OR(tblDowntime[[#This Row],[Failure Type]]="Sawshop",tblDowntime[[#This Row],[Failure Type]]="Electrical",tblDowntime[[#This Row],[Failure Type]]="Mechanical"),tblDowntime[[#This Row],[Downtime Hours]],"")</f>
        <v/>
      </c>
      <c r="K1352" s="10" t="n"/>
      <c r="L1352" s="10" t="n"/>
      <c r="M1352">
        <f>IF(tblDowntime[[#This Row],[Maintenance Downtime Hours]]="","",tblDowntime[[#This Row],[Equipment ID]])</f>
        <v/>
      </c>
      <c r="N1352" s="1">
        <f>IF(tblDowntime[[#This Row],[Failure Type]]="Production",tblDowntime[[#This Row],[Downtime Hours]],"")</f>
        <v/>
      </c>
      <c r="O1352">
        <f>IF(tblDowntime[[#This Row],[Production Downtime Hours]]="","",tblDowntime[[#This Row],[Equipment ID]])</f>
        <v/>
      </c>
      <c r="P1352" s="10" t="n"/>
    </row>
    <row r="1353">
      <c r="B1353">
        <f t="array" ref="B1353">_xlfn.XLOOKUP(C1353,INDIRECT("tblEquipment[Equipment ID]"),INDIRECT("tblEquipment[Production Department]"),"")</f>
        <v/>
      </c>
      <c r="D1353">
        <f t="array" ref="D1353">_xlfn.XLOOKUP(C1353,INDIRECT("tblEquipment[Equipment ID]"),INDIRECT("tblEquipment[Equipment Name]"),"")</f>
        <v/>
      </c>
      <c r="F1353" s="16" t="n"/>
      <c r="G1353" s="16" t="n"/>
      <c r="H1353" s="1">
        <f>IF(OR(F1353=0,G1353=0),"",(G1353-F1353)*24)</f>
        <v/>
      </c>
      <c r="I1353" s="10" t="n"/>
      <c r="J1353" s="1">
        <f>IF(OR(tblDowntime[[#This Row],[Failure Type]]="Sawshop",tblDowntime[[#This Row],[Failure Type]]="Electrical",tblDowntime[[#This Row],[Failure Type]]="Mechanical"),tblDowntime[[#This Row],[Downtime Hours]],"")</f>
        <v/>
      </c>
      <c r="K1353" s="10" t="n"/>
      <c r="L1353" s="10" t="n"/>
      <c r="M1353">
        <f>IF(tblDowntime[[#This Row],[Maintenance Downtime Hours]]="","",tblDowntime[[#This Row],[Equipment ID]])</f>
        <v/>
      </c>
      <c r="N1353" s="1">
        <f>IF(tblDowntime[[#This Row],[Failure Type]]="Production",tblDowntime[[#This Row],[Downtime Hours]],"")</f>
        <v/>
      </c>
      <c r="O1353">
        <f>IF(tblDowntime[[#This Row],[Production Downtime Hours]]="","",tblDowntime[[#This Row],[Equipment ID]])</f>
        <v/>
      </c>
      <c r="P1353" s="10" t="n"/>
    </row>
    <row r="1354">
      <c r="B1354">
        <f t="array" ref="B1354">_xlfn.XLOOKUP(C1354,INDIRECT("tblEquipment[Equipment ID]"),INDIRECT("tblEquipment[Production Department]"),"")</f>
        <v/>
      </c>
      <c r="D1354">
        <f t="array" ref="D1354">_xlfn.XLOOKUP(C1354,INDIRECT("tblEquipment[Equipment ID]"),INDIRECT("tblEquipment[Equipment Name]"),"")</f>
        <v/>
      </c>
      <c r="F1354" s="16" t="n"/>
      <c r="G1354" s="16" t="n"/>
      <c r="H1354" s="1">
        <f>IF(OR(F1354=0,G1354=0),"",(G1354-F1354)*24)</f>
        <v/>
      </c>
      <c r="I1354" s="10" t="n"/>
      <c r="J1354" s="1">
        <f>IF(OR(tblDowntime[[#This Row],[Failure Type]]="Sawshop",tblDowntime[[#This Row],[Failure Type]]="Electrical",tblDowntime[[#This Row],[Failure Type]]="Mechanical"),tblDowntime[[#This Row],[Downtime Hours]],"")</f>
        <v/>
      </c>
      <c r="K1354" s="10" t="n"/>
      <c r="L1354" s="10" t="n"/>
      <c r="M1354">
        <f>IF(tblDowntime[[#This Row],[Maintenance Downtime Hours]]="","",tblDowntime[[#This Row],[Equipment ID]])</f>
        <v/>
      </c>
      <c r="N1354" s="1">
        <f>IF(tblDowntime[[#This Row],[Failure Type]]="Production",tblDowntime[[#This Row],[Downtime Hours]],"")</f>
        <v/>
      </c>
      <c r="O1354">
        <f>IF(tblDowntime[[#This Row],[Production Downtime Hours]]="","",tblDowntime[[#This Row],[Equipment ID]])</f>
        <v/>
      </c>
      <c r="P1354" s="10" t="n"/>
    </row>
    <row r="1355">
      <c r="B1355">
        <f t="array" ref="B1355">_xlfn.XLOOKUP(C1355,INDIRECT("tblEquipment[Equipment ID]"),INDIRECT("tblEquipment[Production Department]"),"")</f>
        <v/>
      </c>
      <c r="D1355">
        <f t="array" ref="D1355">_xlfn.XLOOKUP(C1355,INDIRECT("tblEquipment[Equipment ID]"),INDIRECT("tblEquipment[Equipment Name]"),"")</f>
        <v/>
      </c>
      <c r="F1355" s="16" t="n"/>
      <c r="G1355" s="16" t="n"/>
      <c r="H1355" s="1">
        <f>IF(OR(F1355=0,G1355=0),"",(G1355-F1355)*24)</f>
        <v/>
      </c>
      <c r="I1355" s="10" t="n"/>
      <c r="J1355" s="1">
        <f>IF(OR(tblDowntime[[#This Row],[Failure Type]]="Sawshop",tblDowntime[[#This Row],[Failure Type]]="Electrical",tblDowntime[[#This Row],[Failure Type]]="Mechanical"),tblDowntime[[#This Row],[Downtime Hours]],"")</f>
        <v/>
      </c>
      <c r="K1355" s="10" t="n"/>
      <c r="L1355" s="10" t="n"/>
      <c r="M1355">
        <f>IF(tblDowntime[[#This Row],[Maintenance Downtime Hours]]="","",tblDowntime[[#This Row],[Equipment ID]])</f>
        <v/>
      </c>
      <c r="N1355" s="1">
        <f>IF(tblDowntime[[#This Row],[Failure Type]]="Production",tblDowntime[[#This Row],[Downtime Hours]],"")</f>
        <v/>
      </c>
      <c r="O1355">
        <f>IF(tblDowntime[[#This Row],[Production Downtime Hours]]="","",tblDowntime[[#This Row],[Equipment ID]])</f>
        <v/>
      </c>
      <c r="P1355" s="10" t="n"/>
    </row>
    <row r="1356">
      <c r="B1356">
        <f t="array" ref="B1356">_xlfn.XLOOKUP(C1356,INDIRECT("tblEquipment[Equipment ID]"),INDIRECT("tblEquipment[Production Department]"),"")</f>
        <v/>
      </c>
      <c r="D1356">
        <f t="array" ref="D1356">_xlfn.XLOOKUP(C1356,INDIRECT("tblEquipment[Equipment ID]"),INDIRECT("tblEquipment[Equipment Name]"),"")</f>
        <v/>
      </c>
      <c r="F1356" s="16" t="n"/>
      <c r="G1356" s="16" t="n"/>
      <c r="H1356" s="1">
        <f>IF(OR(F1356=0,G1356=0),"",(G1356-F1356)*24)</f>
        <v/>
      </c>
      <c r="I1356" s="10" t="n"/>
      <c r="J1356" s="1">
        <f>IF(OR(tblDowntime[[#This Row],[Failure Type]]="Sawshop",tblDowntime[[#This Row],[Failure Type]]="Electrical",tblDowntime[[#This Row],[Failure Type]]="Mechanical"),tblDowntime[[#This Row],[Downtime Hours]],"")</f>
        <v/>
      </c>
      <c r="K1356" s="10" t="n"/>
      <c r="L1356" s="10" t="n"/>
      <c r="M1356">
        <f>IF(tblDowntime[[#This Row],[Maintenance Downtime Hours]]="","",tblDowntime[[#This Row],[Equipment ID]])</f>
        <v/>
      </c>
      <c r="N1356" s="1">
        <f>IF(tblDowntime[[#This Row],[Failure Type]]="Production",tblDowntime[[#This Row],[Downtime Hours]],"")</f>
        <v/>
      </c>
      <c r="O1356">
        <f>IF(tblDowntime[[#This Row],[Production Downtime Hours]]="","",tblDowntime[[#This Row],[Equipment ID]])</f>
        <v/>
      </c>
      <c r="P1356" s="10" t="n"/>
    </row>
    <row r="1357">
      <c r="B1357">
        <f t="array" ref="B1357">_xlfn.XLOOKUP(C1357,INDIRECT("tblEquipment[Equipment ID]"),INDIRECT("tblEquipment[Production Department]"),"")</f>
        <v/>
      </c>
      <c r="D1357">
        <f t="array" ref="D1357">_xlfn.XLOOKUP(C1357,INDIRECT("tblEquipment[Equipment ID]"),INDIRECT("tblEquipment[Equipment Name]"),"")</f>
        <v/>
      </c>
      <c r="F1357" s="16" t="n"/>
      <c r="G1357" s="16" t="n"/>
      <c r="H1357" s="1">
        <f>IF(OR(F1357=0,G1357=0),"",(G1357-F1357)*24)</f>
        <v/>
      </c>
      <c r="I1357" s="10" t="n"/>
      <c r="J1357" s="1">
        <f>IF(OR(tblDowntime[[#This Row],[Failure Type]]="Sawshop",tblDowntime[[#This Row],[Failure Type]]="Electrical",tblDowntime[[#This Row],[Failure Type]]="Mechanical"),tblDowntime[[#This Row],[Downtime Hours]],"")</f>
        <v/>
      </c>
      <c r="K1357" s="10" t="n"/>
      <c r="L1357" s="10" t="n"/>
      <c r="M1357">
        <f>IF(tblDowntime[[#This Row],[Maintenance Downtime Hours]]="","",tblDowntime[[#This Row],[Equipment ID]])</f>
        <v/>
      </c>
      <c r="N1357" s="1">
        <f>IF(tblDowntime[[#This Row],[Failure Type]]="Production",tblDowntime[[#This Row],[Downtime Hours]],"")</f>
        <v/>
      </c>
      <c r="O1357">
        <f>IF(tblDowntime[[#This Row],[Production Downtime Hours]]="","",tblDowntime[[#This Row],[Equipment ID]])</f>
        <v/>
      </c>
      <c r="P1357" s="10" t="n"/>
    </row>
    <row r="1358">
      <c r="B1358">
        <f t="array" ref="B1358">_xlfn.XLOOKUP(C1358,INDIRECT("tblEquipment[Equipment ID]"),INDIRECT("tblEquipment[Production Department]"),"")</f>
        <v/>
      </c>
      <c r="D1358">
        <f t="array" ref="D1358">_xlfn.XLOOKUP(C1358,INDIRECT("tblEquipment[Equipment ID]"),INDIRECT("tblEquipment[Equipment Name]"),"")</f>
        <v/>
      </c>
      <c r="F1358" s="16" t="n"/>
      <c r="G1358" s="16" t="n"/>
      <c r="H1358" s="1">
        <f>IF(OR(F1358=0,G1358=0),"",(G1358-F1358)*24)</f>
        <v/>
      </c>
      <c r="I1358" s="10" t="n"/>
      <c r="J1358" s="1">
        <f>IF(OR(tblDowntime[[#This Row],[Failure Type]]="Sawshop",tblDowntime[[#This Row],[Failure Type]]="Electrical",tblDowntime[[#This Row],[Failure Type]]="Mechanical"),tblDowntime[[#This Row],[Downtime Hours]],"")</f>
        <v/>
      </c>
      <c r="K1358" s="10" t="n"/>
      <c r="L1358" s="10" t="n"/>
      <c r="M1358">
        <f>IF(tblDowntime[[#This Row],[Maintenance Downtime Hours]]="","",tblDowntime[[#This Row],[Equipment ID]])</f>
        <v/>
      </c>
      <c r="N1358" s="1">
        <f>IF(tblDowntime[[#This Row],[Failure Type]]="Production",tblDowntime[[#This Row],[Downtime Hours]],"")</f>
        <v/>
      </c>
      <c r="O1358">
        <f>IF(tblDowntime[[#This Row],[Production Downtime Hours]]="","",tblDowntime[[#This Row],[Equipment ID]])</f>
        <v/>
      </c>
      <c r="P1358" s="10" t="n"/>
    </row>
    <row r="1359">
      <c r="B1359">
        <f t="array" ref="B1359">_xlfn.XLOOKUP(C1359,INDIRECT("tblEquipment[Equipment ID]"),INDIRECT("tblEquipment[Production Department]"),"")</f>
        <v/>
      </c>
      <c r="D1359">
        <f t="array" ref="D1359">_xlfn.XLOOKUP(C1359,INDIRECT("tblEquipment[Equipment ID]"),INDIRECT("tblEquipment[Equipment Name]"),"")</f>
        <v/>
      </c>
      <c r="F1359" s="16" t="n"/>
      <c r="G1359" s="16" t="n"/>
      <c r="H1359" s="1">
        <f>IF(OR(F1359=0,G1359=0),"",(G1359-F1359)*24)</f>
        <v/>
      </c>
      <c r="I1359" s="10" t="n"/>
      <c r="J1359" s="1">
        <f>IF(OR(tblDowntime[[#This Row],[Failure Type]]="Sawshop",tblDowntime[[#This Row],[Failure Type]]="Electrical",tblDowntime[[#This Row],[Failure Type]]="Mechanical"),tblDowntime[[#This Row],[Downtime Hours]],"")</f>
        <v/>
      </c>
      <c r="K1359" s="10" t="n"/>
      <c r="L1359" s="10" t="n"/>
      <c r="M1359">
        <f>IF(tblDowntime[[#This Row],[Maintenance Downtime Hours]]="","",tblDowntime[[#This Row],[Equipment ID]])</f>
        <v/>
      </c>
      <c r="N1359" s="1">
        <f>IF(tblDowntime[[#This Row],[Failure Type]]="Production",tblDowntime[[#This Row],[Downtime Hours]],"")</f>
        <v/>
      </c>
      <c r="O1359">
        <f>IF(tblDowntime[[#This Row],[Production Downtime Hours]]="","",tblDowntime[[#This Row],[Equipment ID]])</f>
        <v/>
      </c>
      <c r="P1359" s="10" t="n"/>
    </row>
    <row r="1360">
      <c r="B1360">
        <f t="array" ref="B1360">_xlfn.XLOOKUP(C1360,INDIRECT("tblEquipment[Equipment ID]"),INDIRECT("tblEquipment[Production Department]"),"")</f>
        <v/>
      </c>
      <c r="D1360">
        <f t="array" ref="D1360">_xlfn.XLOOKUP(C1360,INDIRECT("tblEquipment[Equipment ID]"),INDIRECT("tblEquipment[Equipment Name]"),"")</f>
        <v/>
      </c>
      <c r="F1360" s="16" t="n"/>
      <c r="G1360" s="16" t="n"/>
      <c r="H1360" s="1">
        <f>IF(OR(F1360=0,G1360=0),"",(G1360-F1360)*24)</f>
        <v/>
      </c>
      <c r="I1360" s="10" t="n"/>
      <c r="J1360" s="1">
        <f>IF(OR(tblDowntime[[#This Row],[Failure Type]]="Sawshop",tblDowntime[[#This Row],[Failure Type]]="Electrical",tblDowntime[[#This Row],[Failure Type]]="Mechanical"),tblDowntime[[#This Row],[Downtime Hours]],"")</f>
        <v/>
      </c>
      <c r="K1360" s="10" t="n"/>
      <c r="L1360" s="10" t="n"/>
      <c r="M1360">
        <f>IF(tblDowntime[[#This Row],[Maintenance Downtime Hours]]="","",tblDowntime[[#This Row],[Equipment ID]])</f>
        <v/>
      </c>
      <c r="N1360" s="1">
        <f>IF(tblDowntime[[#This Row],[Failure Type]]="Production",tblDowntime[[#This Row],[Downtime Hours]],"")</f>
        <v/>
      </c>
      <c r="O1360">
        <f>IF(tblDowntime[[#This Row],[Production Downtime Hours]]="","",tblDowntime[[#This Row],[Equipment ID]])</f>
        <v/>
      </c>
      <c r="P1360" s="10" t="n"/>
    </row>
    <row r="1361">
      <c r="B1361">
        <f t="array" ref="B1361">_xlfn.XLOOKUP(C1361,INDIRECT("tblEquipment[Equipment ID]"),INDIRECT("tblEquipment[Production Department]"),"")</f>
        <v/>
      </c>
      <c r="D1361">
        <f t="array" ref="D1361">_xlfn.XLOOKUP(C1361,INDIRECT("tblEquipment[Equipment ID]"),INDIRECT("tblEquipment[Equipment Name]"),"")</f>
        <v/>
      </c>
      <c r="F1361" s="16" t="n"/>
      <c r="G1361" s="16" t="n"/>
      <c r="H1361" s="1">
        <f>IF(OR(F1361=0,G1361=0),"",(G1361-F1361)*24)</f>
        <v/>
      </c>
      <c r="I1361" s="10" t="n"/>
      <c r="J1361" s="1">
        <f>IF(OR(tblDowntime[[#This Row],[Failure Type]]="Sawshop",tblDowntime[[#This Row],[Failure Type]]="Electrical",tblDowntime[[#This Row],[Failure Type]]="Mechanical"),tblDowntime[[#This Row],[Downtime Hours]],"")</f>
        <v/>
      </c>
      <c r="K1361" s="10" t="n"/>
      <c r="L1361" s="10" t="n"/>
      <c r="M1361">
        <f>IF(tblDowntime[[#This Row],[Maintenance Downtime Hours]]="","",tblDowntime[[#This Row],[Equipment ID]])</f>
        <v/>
      </c>
      <c r="N1361" s="1">
        <f>IF(tblDowntime[[#This Row],[Failure Type]]="Production",tblDowntime[[#This Row],[Downtime Hours]],"")</f>
        <v/>
      </c>
      <c r="O1361">
        <f>IF(tblDowntime[[#This Row],[Production Downtime Hours]]="","",tblDowntime[[#This Row],[Equipment ID]])</f>
        <v/>
      </c>
      <c r="P1361" s="10" t="n"/>
    </row>
    <row r="1362">
      <c r="B1362">
        <f t="array" ref="B1362">_xlfn.XLOOKUP(C1362,INDIRECT("tblEquipment[Equipment ID]"),INDIRECT("tblEquipment[Production Department]"),"")</f>
        <v/>
      </c>
      <c r="D1362">
        <f t="array" ref="D1362">_xlfn.XLOOKUP(C1362,INDIRECT("tblEquipment[Equipment ID]"),INDIRECT("tblEquipment[Equipment Name]"),"")</f>
        <v/>
      </c>
      <c r="F1362" s="16" t="n"/>
      <c r="G1362" s="16" t="n"/>
      <c r="H1362" s="1">
        <f>IF(OR(F1362=0,G1362=0),"",(G1362-F1362)*24)</f>
        <v/>
      </c>
      <c r="I1362" s="10" t="n"/>
      <c r="J1362" s="1">
        <f>IF(OR(tblDowntime[[#This Row],[Failure Type]]="Sawshop",tblDowntime[[#This Row],[Failure Type]]="Electrical",tblDowntime[[#This Row],[Failure Type]]="Mechanical"),tblDowntime[[#This Row],[Downtime Hours]],"")</f>
        <v/>
      </c>
      <c r="K1362" s="10" t="n"/>
      <c r="L1362" s="10" t="n"/>
      <c r="M1362">
        <f>IF(tblDowntime[[#This Row],[Maintenance Downtime Hours]]="","",tblDowntime[[#This Row],[Equipment ID]])</f>
        <v/>
      </c>
      <c r="N1362" s="1">
        <f>IF(tblDowntime[[#This Row],[Failure Type]]="Production",tblDowntime[[#This Row],[Downtime Hours]],"")</f>
        <v/>
      </c>
      <c r="O1362">
        <f>IF(tblDowntime[[#This Row],[Production Downtime Hours]]="","",tblDowntime[[#This Row],[Equipment ID]])</f>
        <v/>
      </c>
      <c r="P1362" s="10" t="n"/>
    </row>
    <row r="1363">
      <c r="B1363">
        <f t="array" ref="B1363">_xlfn.XLOOKUP(C1363,INDIRECT("tblEquipment[Equipment ID]"),INDIRECT("tblEquipment[Production Department]"),"")</f>
        <v/>
      </c>
      <c r="D1363">
        <f t="array" ref="D1363">_xlfn.XLOOKUP(C1363,INDIRECT("tblEquipment[Equipment ID]"),INDIRECT("tblEquipment[Equipment Name]"),"")</f>
        <v/>
      </c>
      <c r="F1363" s="16" t="n"/>
      <c r="G1363" s="16" t="n"/>
      <c r="H1363" s="1">
        <f>IF(OR(F1363=0,G1363=0),"",(G1363-F1363)*24)</f>
        <v/>
      </c>
      <c r="I1363" s="10" t="n"/>
      <c r="J1363" s="1">
        <f>IF(OR(tblDowntime[[#This Row],[Failure Type]]="Sawshop",tblDowntime[[#This Row],[Failure Type]]="Electrical",tblDowntime[[#This Row],[Failure Type]]="Mechanical"),tblDowntime[[#This Row],[Downtime Hours]],"")</f>
        <v/>
      </c>
      <c r="K1363" s="10" t="n"/>
      <c r="L1363" s="10" t="n"/>
      <c r="M1363">
        <f>IF(tblDowntime[[#This Row],[Maintenance Downtime Hours]]="","",tblDowntime[[#This Row],[Equipment ID]])</f>
        <v/>
      </c>
      <c r="N1363" s="1">
        <f>IF(tblDowntime[[#This Row],[Failure Type]]="Production",tblDowntime[[#This Row],[Downtime Hours]],"")</f>
        <v/>
      </c>
      <c r="O1363">
        <f>IF(tblDowntime[[#This Row],[Production Downtime Hours]]="","",tblDowntime[[#This Row],[Equipment ID]])</f>
        <v/>
      </c>
      <c r="P1363" s="10" t="n"/>
    </row>
    <row r="1364">
      <c r="B1364">
        <f t="array" ref="B1364">_xlfn.XLOOKUP(C1364,INDIRECT("tblEquipment[Equipment ID]"),INDIRECT("tblEquipment[Production Department]"),"")</f>
        <v/>
      </c>
      <c r="D1364">
        <f t="array" ref="D1364">_xlfn.XLOOKUP(C1364,INDIRECT("tblEquipment[Equipment ID]"),INDIRECT("tblEquipment[Equipment Name]"),"")</f>
        <v/>
      </c>
      <c r="F1364" s="16" t="n"/>
      <c r="G1364" s="16" t="n"/>
      <c r="H1364" s="1">
        <f>IF(OR(F1364=0,G1364=0),"",(G1364-F1364)*24)</f>
        <v/>
      </c>
      <c r="I1364" s="10" t="n"/>
      <c r="J1364" s="1">
        <f>IF(OR(tblDowntime[[#This Row],[Failure Type]]="Sawshop",tblDowntime[[#This Row],[Failure Type]]="Electrical",tblDowntime[[#This Row],[Failure Type]]="Mechanical"),tblDowntime[[#This Row],[Downtime Hours]],"")</f>
        <v/>
      </c>
      <c r="K1364" s="10" t="n"/>
      <c r="L1364" s="10" t="n"/>
      <c r="M1364">
        <f>IF(tblDowntime[[#This Row],[Maintenance Downtime Hours]]="","",tblDowntime[[#This Row],[Equipment ID]])</f>
        <v/>
      </c>
      <c r="N1364" s="1">
        <f>IF(tblDowntime[[#This Row],[Failure Type]]="Production",tblDowntime[[#This Row],[Downtime Hours]],"")</f>
        <v/>
      </c>
      <c r="O1364">
        <f>IF(tblDowntime[[#This Row],[Production Downtime Hours]]="","",tblDowntime[[#This Row],[Equipment ID]])</f>
        <v/>
      </c>
      <c r="P1364" s="10" t="n"/>
    </row>
    <row r="1365">
      <c r="B1365">
        <f t="array" ref="B1365">_xlfn.XLOOKUP(C1365,INDIRECT("tblEquipment[Equipment ID]"),INDIRECT("tblEquipment[Production Department]"),"")</f>
        <v/>
      </c>
      <c r="D1365">
        <f t="array" ref="D1365">_xlfn.XLOOKUP(C1365,INDIRECT("tblEquipment[Equipment ID]"),INDIRECT("tblEquipment[Equipment Name]"),"")</f>
        <v/>
      </c>
      <c r="F1365" s="16" t="n"/>
      <c r="G1365" s="16" t="n"/>
      <c r="H1365" s="1">
        <f>IF(OR(F1365=0,G1365=0),"",(G1365-F1365)*24)</f>
        <v/>
      </c>
      <c r="I1365" s="10" t="n"/>
      <c r="J1365" s="1">
        <f>IF(OR(tblDowntime[[#This Row],[Failure Type]]="Sawshop",tblDowntime[[#This Row],[Failure Type]]="Electrical",tblDowntime[[#This Row],[Failure Type]]="Mechanical"),tblDowntime[[#This Row],[Downtime Hours]],"")</f>
        <v/>
      </c>
      <c r="K1365" s="10" t="n"/>
      <c r="L1365" s="10" t="n"/>
      <c r="M1365">
        <f>IF(tblDowntime[[#This Row],[Maintenance Downtime Hours]]="","",tblDowntime[[#This Row],[Equipment ID]])</f>
        <v/>
      </c>
      <c r="N1365" s="1">
        <f>IF(tblDowntime[[#This Row],[Failure Type]]="Production",tblDowntime[[#This Row],[Downtime Hours]],"")</f>
        <v/>
      </c>
      <c r="O1365">
        <f>IF(tblDowntime[[#This Row],[Production Downtime Hours]]="","",tblDowntime[[#This Row],[Equipment ID]])</f>
        <v/>
      </c>
      <c r="P1365" s="10" t="n"/>
    </row>
    <row r="1366">
      <c r="B1366">
        <f t="array" ref="B1366">_xlfn.XLOOKUP(C1366,INDIRECT("tblEquipment[Equipment ID]"),INDIRECT("tblEquipment[Production Department]"),"")</f>
        <v/>
      </c>
      <c r="D1366">
        <f t="array" ref="D1366">_xlfn.XLOOKUP(C1366,INDIRECT("tblEquipment[Equipment ID]"),INDIRECT("tblEquipment[Equipment Name]"),"")</f>
        <v/>
      </c>
      <c r="F1366" s="16" t="n"/>
      <c r="G1366" s="16" t="n"/>
      <c r="H1366" s="1">
        <f>IF(OR(F1366=0,G1366=0),"",(G1366-F1366)*24)</f>
        <v/>
      </c>
      <c r="I1366" s="10" t="n"/>
      <c r="J1366" s="1">
        <f>IF(OR(tblDowntime[[#This Row],[Failure Type]]="Sawshop",tblDowntime[[#This Row],[Failure Type]]="Electrical",tblDowntime[[#This Row],[Failure Type]]="Mechanical"),tblDowntime[[#This Row],[Downtime Hours]],"")</f>
        <v/>
      </c>
      <c r="K1366" s="10" t="n"/>
      <c r="L1366" s="10" t="n"/>
      <c r="M1366">
        <f>IF(tblDowntime[[#This Row],[Maintenance Downtime Hours]]="","",tblDowntime[[#This Row],[Equipment ID]])</f>
        <v/>
      </c>
      <c r="N1366" s="1">
        <f>IF(tblDowntime[[#This Row],[Failure Type]]="Production",tblDowntime[[#This Row],[Downtime Hours]],"")</f>
        <v/>
      </c>
      <c r="O1366">
        <f>IF(tblDowntime[[#This Row],[Production Downtime Hours]]="","",tblDowntime[[#This Row],[Equipment ID]])</f>
        <v/>
      </c>
      <c r="P1366" s="10" t="n"/>
    </row>
    <row r="1367">
      <c r="B1367">
        <f t="array" ref="B1367">_xlfn.XLOOKUP(C1367,INDIRECT("tblEquipment[Equipment ID]"),INDIRECT("tblEquipment[Production Department]"),"")</f>
        <v/>
      </c>
      <c r="D1367">
        <f t="array" ref="D1367">_xlfn.XLOOKUP(C1367,INDIRECT("tblEquipment[Equipment ID]"),INDIRECT("tblEquipment[Equipment Name]"),"")</f>
        <v/>
      </c>
      <c r="F1367" s="16" t="n"/>
      <c r="G1367" s="16" t="n"/>
      <c r="H1367" s="1">
        <f>IF(OR(F1367=0,G1367=0),"",(G1367-F1367)*24)</f>
        <v/>
      </c>
      <c r="I1367" s="10" t="n"/>
      <c r="J1367" s="1">
        <f>IF(OR(tblDowntime[[#This Row],[Failure Type]]="Sawshop",tblDowntime[[#This Row],[Failure Type]]="Electrical",tblDowntime[[#This Row],[Failure Type]]="Mechanical"),tblDowntime[[#This Row],[Downtime Hours]],"")</f>
        <v/>
      </c>
      <c r="K1367" s="10" t="n"/>
      <c r="L1367" s="10" t="n"/>
      <c r="M1367">
        <f>IF(tblDowntime[[#This Row],[Maintenance Downtime Hours]]="","",tblDowntime[[#This Row],[Equipment ID]])</f>
        <v/>
      </c>
      <c r="N1367" s="1">
        <f>IF(tblDowntime[[#This Row],[Failure Type]]="Production",tblDowntime[[#This Row],[Downtime Hours]],"")</f>
        <v/>
      </c>
      <c r="O1367">
        <f>IF(tblDowntime[[#This Row],[Production Downtime Hours]]="","",tblDowntime[[#This Row],[Equipment ID]])</f>
        <v/>
      </c>
      <c r="P1367" s="10" t="n"/>
    </row>
    <row r="1368">
      <c r="B1368">
        <f t="array" ref="B1368">_xlfn.XLOOKUP(C1368,INDIRECT("tblEquipment[Equipment ID]"),INDIRECT("tblEquipment[Production Department]"),"")</f>
        <v/>
      </c>
      <c r="D1368">
        <f t="array" ref="D1368">_xlfn.XLOOKUP(C1368,INDIRECT("tblEquipment[Equipment ID]"),INDIRECT("tblEquipment[Equipment Name]"),"")</f>
        <v/>
      </c>
      <c r="F1368" s="16" t="n"/>
      <c r="G1368" s="16" t="n"/>
      <c r="H1368" s="1">
        <f>IF(OR(F1368=0,G1368=0),"",(G1368-F1368)*24)</f>
        <v/>
      </c>
      <c r="I1368" s="10" t="n"/>
      <c r="J1368" s="1">
        <f>IF(OR(tblDowntime[[#This Row],[Failure Type]]="Sawshop",tblDowntime[[#This Row],[Failure Type]]="Electrical",tblDowntime[[#This Row],[Failure Type]]="Mechanical"),tblDowntime[[#This Row],[Downtime Hours]],"")</f>
        <v/>
      </c>
      <c r="K1368" s="10" t="n"/>
      <c r="L1368" s="10" t="n"/>
      <c r="M1368">
        <f>IF(tblDowntime[[#This Row],[Maintenance Downtime Hours]]="","",tblDowntime[[#This Row],[Equipment ID]])</f>
        <v/>
      </c>
      <c r="N1368" s="1">
        <f>IF(tblDowntime[[#This Row],[Failure Type]]="Production",tblDowntime[[#This Row],[Downtime Hours]],"")</f>
        <v/>
      </c>
      <c r="O1368">
        <f>IF(tblDowntime[[#This Row],[Production Downtime Hours]]="","",tblDowntime[[#This Row],[Equipment ID]])</f>
        <v/>
      </c>
      <c r="P1368" s="10" t="n"/>
    </row>
    <row r="1369">
      <c r="B1369">
        <f t="array" ref="B1369">_xlfn.XLOOKUP(C1369,INDIRECT("tblEquipment[Equipment ID]"),INDIRECT("tblEquipment[Production Department]"),"")</f>
        <v/>
      </c>
      <c r="D1369">
        <f t="array" ref="D1369">_xlfn.XLOOKUP(C1369,INDIRECT("tblEquipment[Equipment ID]"),INDIRECT("tblEquipment[Equipment Name]"),"")</f>
        <v/>
      </c>
      <c r="F1369" s="16" t="n"/>
      <c r="G1369" s="16" t="n"/>
      <c r="H1369" s="1">
        <f>IF(OR(F1369=0,G1369=0),"",(G1369-F1369)*24)</f>
        <v/>
      </c>
      <c r="I1369" s="10" t="n"/>
      <c r="J1369" s="1">
        <f>IF(OR(tblDowntime[[#This Row],[Failure Type]]="Sawshop",tblDowntime[[#This Row],[Failure Type]]="Electrical",tblDowntime[[#This Row],[Failure Type]]="Mechanical"),tblDowntime[[#This Row],[Downtime Hours]],"")</f>
        <v/>
      </c>
      <c r="K1369" s="10" t="n"/>
      <c r="L1369" s="10" t="n"/>
      <c r="M1369">
        <f>IF(tblDowntime[[#This Row],[Maintenance Downtime Hours]]="","",tblDowntime[[#This Row],[Equipment ID]])</f>
        <v/>
      </c>
      <c r="N1369" s="1">
        <f>IF(tblDowntime[[#This Row],[Failure Type]]="Production",tblDowntime[[#This Row],[Downtime Hours]],"")</f>
        <v/>
      </c>
      <c r="O1369">
        <f>IF(tblDowntime[[#This Row],[Production Downtime Hours]]="","",tblDowntime[[#This Row],[Equipment ID]])</f>
        <v/>
      </c>
      <c r="P1369" s="10" t="n"/>
    </row>
    <row r="1370">
      <c r="B1370">
        <f t="array" ref="B1370">_xlfn.XLOOKUP(C1370,INDIRECT("tblEquipment[Equipment ID]"),INDIRECT("tblEquipment[Production Department]"),"")</f>
        <v/>
      </c>
      <c r="D1370">
        <f t="array" ref="D1370">_xlfn.XLOOKUP(C1370,INDIRECT("tblEquipment[Equipment ID]"),INDIRECT("tblEquipment[Equipment Name]"),"")</f>
        <v/>
      </c>
      <c r="F1370" s="16" t="n"/>
      <c r="G1370" s="16" t="n"/>
      <c r="H1370" s="1">
        <f>IF(OR(F1370=0,G1370=0),"",(G1370-F1370)*24)</f>
        <v/>
      </c>
      <c r="I1370" s="10" t="n"/>
      <c r="J1370" s="1">
        <f>IF(OR(tblDowntime[[#This Row],[Failure Type]]="Sawshop",tblDowntime[[#This Row],[Failure Type]]="Electrical",tblDowntime[[#This Row],[Failure Type]]="Mechanical"),tblDowntime[[#This Row],[Downtime Hours]],"")</f>
        <v/>
      </c>
      <c r="K1370" s="10" t="n"/>
      <c r="L1370" s="10" t="n"/>
      <c r="M1370">
        <f>IF(tblDowntime[[#This Row],[Maintenance Downtime Hours]]="","",tblDowntime[[#This Row],[Equipment ID]])</f>
        <v/>
      </c>
      <c r="N1370" s="1">
        <f>IF(tblDowntime[[#This Row],[Failure Type]]="Production",tblDowntime[[#This Row],[Downtime Hours]],"")</f>
        <v/>
      </c>
      <c r="O1370">
        <f>IF(tblDowntime[[#This Row],[Production Downtime Hours]]="","",tblDowntime[[#This Row],[Equipment ID]])</f>
        <v/>
      </c>
      <c r="P1370" s="10" t="n"/>
    </row>
    <row r="1371">
      <c r="B1371">
        <f t="array" ref="B1371">_xlfn.XLOOKUP(C1371,INDIRECT("tblEquipment[Equipment ID]"),INDIRECT("tblEquipment[Production Department]"),"")</f>
        <v/>
      </c>
      <c r="D1371">
        <f t="array" ref="D1371">_xlfn.XLOOKUP(C1371,INDIRECT("tblEquipment[Equipment ID]"),INDIRECT("tblEquipment[Equipment Name]"),"")</f>
        <v/>
      </c>
      <c r="F1371" s="16" t="n"/>
      <c r="G1371" s="16" t="n"/>
      <c r="H1371" s="1">
        <f>IF(OR(F1371=0,G1371=0),"",(G1371-F1371)*24)</f>
        <v/>
      </c>
      <c r="I1371" s="10" t="n"/>
      <c r="J1371" s="1">
        <f>IF(OR(tblDowntime[[#This Row],[Failure Type]]="Sawshop",tblDowntime[[#This Row],[Failure Type]]="Electrical",tblDowntime[[#This Row],[Failure Type]]="Mechanical"),tblDowntime[[#This Row],[Downtime Hours]],"")</f>
        <v/>
      </c>
      <c r="K1371" s="10" t="n"/>
      <c r="L1371" s="10" t="n"/>
      <c r="M1371">
        <f>IF(tblDowntime[[#This Row],[Maintenance Downtime Hours]]="","",tblDowntime[[#This Row],[Equipment ID]])</f>
        <v/>
      </c>
      <c r="N1371" s="1">
        <f>IF(tblDowntime[[#This Row],[Failure Type]]="Production",tblDowntime[[#This Row],[Downtime Hours]],"")</f>
        <v/>
      </c>
      <c r="O1371">
        <f>IF(tblDowntime[[#This Row],[Production Downtime Hours]]="","",tblDowntime[[#This Row],[Equipment ID]])</f>
        <v/>
      </c>
      <c r="P1371" s="10" t="n"/>
    </row>
    <row r="1372">
      <c r="B1372">
        <f t="array" ref="B1372">_xlfn.XLOOKUP(C1372,INDIRECT("tblEquipment[Equipment ID]"),INDIRECT("tblEquipment[Production Department]"),"")</f>
        <v/>
      </c>
      <c r="D1372">
        <f t="array" ref="D1372">_xlfn.XLOOKUP(C1372,INDIRECT("tblEquipment[Equipment ID]"),INDIRECT("tblEquipment[Equipment Name]"),"")</f>
        <v/>
      </c>
      <c r="F1372" s="16" t="n"/>
      <c r="G1372" s="16" t="n"/>
      <c r="H1372" s="1">
        <f>IF(OR(F1372=0,G1372=0),"",(G1372-F1372)*24)</f>
        <v/>
      </c>
      <c r="I1372" s="10" t="n"/>
      <c r="J1372" s="1">
        <f>IF(OR(tblDowntime[[#This Row],[Failure Type]]="Sawshop",tblDowntime[[#This Row],[Failure Type]]="Electrical",tblDowntime[[#This Row],[Failure Type]]="Mechanical"),tblDowntime[[#This Row],[Downtime Hours]],"")</f>
        <v/>
      </c>
      <c r="K1372" s="10" t="n"/>
      <c r="L1372" s="10" t="n"/>
      <c r="M1372">
        <f>IF(tblDowntime[[#This Row],[Maintenance Downtime Hours]]="","",tblDowntime[[#This Row],[Equipment ID]])</f>
        <v/>
      </c>
      <c r="N1372" s="1">
        <f>IF(tblDowntime[[#This Row],[Failure Type]]="Production",tblDowntime[[#This Row],[Downtime Hours]],"")</f>
        <v/>
      </c>
      <c r="O1372">
        <f>IF(tblDowntime[[#This Row],[Production Downtime Hours]]="","",tblDowntime[[#This Row],[Equipment ID]])</f>
        <v/>
      </c>
      <c r="P1372" s="10" t="n"/>
    </row>
    <row r="1373">
      <c r="B1373">
        <f t="array" ref="B1373">_xlfn.XLOOKUP(C1373,INDIRECT("tblEquipment[Equipment ID]"),INDIRECT("tblEquipment[Production Department]"),"")</f>
        <v/>
      </c>
      <c r="D1373">
        <f t="array" ref="D1373">_xlfn.XLOOKUP(C1373,INDIRECT("tblEquipment[Equipment ID]"),INDIRECT("tblEquipment[Equipment Name]"),"")</f>
        <v/>
      </c>
      <c r="F1373" s="16" t="n"/>
      <c r="G1373" s="16" t="n"/>
      <c r="H1373" s="1">
        <f>IF(OR(F1373=0,G1373=0),"",(G1373-F1373)*24)</f>
        <v/>
      </c>
      <c r="I1373" s="10" t="n"/>
      <c r="J1373" s="1">
        <f>IF(OR(tblDowntime[[#This Row],[Failure Type]]="Sawshop",tblDowntime[[#This Row],[Failure Type]]="Electrical",tblDowntime[[#This Row],[Failure Type]]="Mechanical"),tblDowntime[[#This Row],[Downtime Hours]],"")</f>
        <v/>
      </c>
      <c r="K1373" s="10" t="n"/>
      <c r="L1373" s="10" t="n"/>
      <c r="M1373">
        <f>IF(tblDowntime[[#This Row],[Maintenance Downtime Hours]]="","",tblDowntime[[#This Row],[Equipment ID]])</f>
        <v/>
      </c>
      <c r="N1373" s="1">
        <f>IF(tblDowntime[[#This Row],[Failure Type]]="Production",tblDowntime[[#This Row],[Downtime Hours]],"")</f>
        <v/>
      </c>
      <c r="O1373">
        <f>IF(tblDowntime[[#This Row],[Production Downtime Hours]]="","",tblDowntime[[#This Row],[Equipment ID]])</f>
        <v/>
      </c>
      <c r="P1373" s="10" t="n"/>
    </row>
    <row r="1374">
      <c r="B1374">
        <f t="array" ref="B1374">_xlfn.XLOOKUP(C1374,INDIRECT("tblEquipment[Equipment ID]"),INDIRECT("tblEquipment[Production Department]"),"")</f>
        <v/>
      </c>
      <c r="D1374">
        <f t="array" ref="D1374">_xlfn.XLOOKUP(C1374,INDIRECT("tblEquipment[Equipment ID]"),INDIRECT("tblEquipment[Equipment Name]"),"")</f>
        <v/>
      </c>
      <c r="F1374" s="16" t="n"/>
      <c r="G1374" s="16" t="n"/>
      <c r="H1374" s="1">
        <f>IF(OR(F1374=0,G1374=0),"",(G1374-F1374)*24)</f>
        <v/>
      </c>
      <c r="I1374" s="10" t="n"/>
      <c r="J1374" s="1">
        <f>IF(OR(tblDowntime[[#This Row],[Failure Type]]="Sawshop",tblDowntime[[#This Row],[Failure Type]]="Electrical",tblDowntime[[#This Row],[Failure Type]]="Mechanical"),tblDowntime[[#This Row],[Downtime Hours]],"")</f>
        <v/>
      </c>
      <c r="K1374" s="10" t="n"/>
      <c r="L1374" s="10" t="n"/>
      <c r="M1374">
        <f>IF(tblDowntime[[#This Row],[Maintenance Downtime Hours]]="","",tblDowntime[[#This Row],[Equipment ID]])</f>
        <v/>
      </c>
      <c r="N1374" s="1">
        <f>IF(tblDowntime[[#This Row],[Failure Type]]="Production",tblDowntime[[#This Row],[Downtime Hours]],"")</f>
        <v/>
      </c>
      <c r="O1374">
        <f>IF(tblDowntime[[#This Row],[Production Downtime Hours]]="","",tblDowntime[[#This Row],[Equipment ID]])</f>
        <v/>
      </c>
      <c r="P1374" s="10" t="n"/>
    </row>
    <row r="1375">
      <c r="B1375">
        <f t="array" ref="B1375">_xlfn.XLOOKUP(C1375,INDIRECT("tblEquipment[Equipment ID]"),INDIRECT("tblEquipment[Production Department]"),"")</f>
        <v/>
      </c>
      <c r="D1375">
        <f t="array" ref="D1375">_xlfn.XLOOKUP(C1375,INDIRECT("tblEquipment[Equipment ID]"),INDIRECT("tblEquipment[Equipment Name]"),"")</f>
        <v/>
      </c>
      <c r="F1375" s="16" t="n"/>
      <c r="G1375" s="16" t="n"/>
      <c r="H1375" s="1">
        <f>IF(OR(F1375=0,G1375=0),"",(G1375-F1375)*24)</f>
        <v/>
      </c>
      <c r="I1375" s="10" t="n"/>
      <c r="J1375" s="1">
        <f>IF(OR(tblDowntime[[#This Row],[Failure Type]]="Sawshop",tblDowntime[[#This Row],[Failure Type]]="Electrical",tblDowntime[[#This Row],[Failure Type]]="Mechanical"),tblDowntime[[#This Row],[Downtime Hours]],"")</f>
        <v/>
      </c>
      <c r="K1375" s="10" t="n"/>
      <c r="L1375" s="10" t="n"/>
      <c r="M1375">
        <f>IF(tblDowntime[[#This Row],[Maintenance Downtime Hours]]="","",tblDowntime[[#This Row],[Equipment ID]])</f>
        <v/>
      </c>
      <c r="N1375" s="1">
        <f>IF(tblDowntime[[#This Row],[Failure Type]]="Production",tblDowntime[[#This Row],[Downtime Hours]],"")</f>
        <v/>
      </c>
      <c r="O1375">
        <f>IF(tblDowntime[[#This Row],[Production Downtime Hours]]="","",tblDowntime[[#This Row],[Equipment ID]])</f>
        <v/>
      </c>
      <c r="P1375" s="10" t="n"/>
    </row>
    <row r="1376">
      <c r="B1376">
        <f t="array" ref="B1376">_xlfn.XLOOKUP(C1376,INDIRECT("tblEquipment[Equipment ID]"),INDIRECT("tblEquipment[Production Department]"),"")</f>
        <v/>
      </c>
      <c r="D1376">
        <f t="array" ref="D1376">_xlfn.XLOOKUP(C1376,INDIRECT("tblEquipment[Equipment ID]"),INDIRECT("tblEquipment[Equipment Name]"),"")</f>
        <v/>
      </c>
      <c r="F1376" s="16" t="n"/>
      <c r="G1376" s="16" t="n"/>
      <c r="H1376" s="1">
        <f>IF(OR(F1376=0,G1376=0),"",(G1376-F1376)*24)</f>
        <v/>
      </c>
      <c r="I1376" s="10" t="n"/>
      <c r="J1376" s="1">
        <f>IF(OR(tblDowntime[[#This Row],[Failure Type]]="Sawshop",tblDowntime[[#This Row],[Failure Type]]="Electrical",tblDowntime[[#This Row],[Failure Type]]="Mechanical"),tblDowntime[[#This Row],[Downtime Hours]],"")</f>
        <v/>
      </c>
      <c r="K1376" s="10" t="n"/>
      <c r="L1376" s="10" t="n"/>
      <c r="M1376">
        <f>IF(tblDowntime[[#This Row],[Maintenance Downtime Hours]]="","",tblDowntime[[#This Row],[Equipment ID]])</f>
        <v/>
      </c>
      <c r="N1376" s="1">
        <f>IF(tblDowntime[[#This Row],[Failure Type]]="Production",tblDowntime[[#This Row],[Downtime Hours]],"")</f>
        <v/>
      </c>
      <c r="O1376">
        <f>IF(tblDowntime[[#This Row],[Production Downtime Hours]]="","",tblDowntime[[#This Row],[Equipment ID]])</f>
        <v/>
      </c>
      <c r="P1376" s="10" t="n"/>
    </row>
    <row r="1377">
      <c r="B1377">
        <f t="array" ref="B1377">_xlfn.XLOOKUP(C1377,INDIRECT("tblEquipment[Equipment ID]"),INDIRECT("tblEquipment[Production Department]"),"")</f>
        <v/>
      </c>
      <c r="D1377">
        <f t="array" ref="D1377">_xlfn.XLOOKUP(C1377,INDIRECT("tblEquipment[Equipment ID]"),INDIRECT("tblEquipment[Equipment Name]"),"")</f>
        <v/>
      </c>
      <c r="F1377" s="16" t="n"/>
      <c r="G1377" s="16" t="n"/>
      <c r="H1377" s="1">
        <f>IF(OR(F1377=0,G1377=0),"",(G1377-F1377)*24)</f>
        <v/>
      </c>
      <c r="I1377" s="10" t="n"/>
      <c r="J1377" s="1">
        <f>IF(OR(tblDowntime[[#This Row],[Failure Type]]="Sawshop",tblDowntime[[#This Row],[Failure Type]]="Electrical",tblDowntime[[#This Row],[Failure Type]]="Mechanical"),tblDowntime[[#This Row],[Downtime Hours]],"")</f>
        <v/>
      </c>
      <c r="K1377" s="10" t="n"/>
      <c r="L1377" s="10" t="n"/>
      <c r="M1377">
        <f>IF(tblDowntime[[#This Row],[Maintenance Downtime Hours]]="","",tblDowntime[[#This Row],[Equipment ID]])</f>
        <v/>
      </c>
      <c r="N1377" s="1">
        <f>IF(tblDowntime[[#This Row],[Failure Type]]="Production",tblDowntime[[#This Row],[Downtime Hours]],"")</f>
        <v/>
      </c>
      <c r="O1377">
        <f>IF(tblDowntime[[#This Row],[Production Downtime Hours]]="","",tblDowntime[[#This Row],[Equipment ID]])</f>
        <v/>
      </c>
      <c r="P1377" s="10" t="n"/>
    </row>
    <row r="1378">
      <c r="B1378">
        <f t="array" ref="B1378">_xlfn.XLOOKUP(C1378,INDIRECT("tblEquipment[Equipment ID]"),INDIRECT("tblEquipment[Production Department]"),"")</f>
        <v/>
      </c>
      <c r="D1378">
        <f t="array" ref="D1378">_xlfn.XLOOKUP(C1378,INDIRECT("tblEquipment[Equipment ID]"),INDIRECT("tblEquipment[Equipment Name]"),"")</f>
        <v/>
      </c>
      <c r="F1378" s="16" t="n"/>
      <c r="G1378" s="16" t="n"/>
      <c r="H1378" s="1">
        <f>IF(OR(F1378=0,G1378=0),"",(G1378-F1378)*24)</f>
        <v/>
      </c>
      <c r="I1378" s="10" t="n"/>
      <c r="J1378" s="1">
        <f>IF(OR(tblDowntime[[#This Row],[Failure Type]]="Sawshop",tblDowntime[[#This Row],[Failure Type]]="Electrical",tblDowntime[[#This Row],[Failure Type]]="Mechanical"),tblDowntime[[#This Row],[Downtime Hours]],"")</f>
        <v/>
      </c>
      <c r="K1378" s="10" t="n"/>
      <c r="L1378" s="10" t="n"/>
      <c r="M1378">
        <f>IF(tblDowntime[[#This Row],[Maintenance Downtime Hours]]="","",tblDowntime[[#This Row],[Equipment ID]])</f>
        <v/>
      </c>
      <c r="N1378" s="1">
        <f>IF(tblDowntime[[#This Row],[Failure Type]]="Production",tblDowntime[[#This Row],[Downtime Hours]],"")</f>
        <v/>
      </c>
      <c r="O1378">
        <f>IF(tblDowntime[[#This Row],[Production Downtime Hours]]="","",tblDowntime[[#This Row],[Equipment ID]])</f>
        <v/>
      </c>
      <c r="P1378" s="10" t="n"/>
    </row>
    <row r="1379">
      <c r="B1379">
        <f t="array" ref="B1379">_xlfn.XLOOKUP(C1379,INDIRECT("tblEquipment[Equipment ID]"),INDIRECT("tblEquipment[Production Department]"),"")</f>
        <v/>
      </c>
      <c r="D1379">
        <f t="array" ref="D1379">_xlfn.XLOOKUP(C1379,INDIRECT("tblEquipment[Equipment ID]"),INDIRECT("tblEquipment[Equipment Name]"),"")</f>
        <v/>
      </c>
      <c r="F1379" s="16" t="n"/>
      <c r="G1379" s="16" t="n"/>
      <c r="H1379" s="1">
        <f>IF(OR(F1379=0,G1379=0),"",(G1379-F1379)*24)</f>
        <v/>
      </c>
      <c r="I1379" s="10" t="n"/>
      <c r="J1379" s="1">
        <f>IF(OR(tblDowntime[[#This Row],[Failure Type]]="Sawshop",tblDowntime[[#This Row],[Failure Type]]="Electrical",tblDowntime[[#This Row],[Failure Type]]="Mechanical"),tblDowntime[[#This Row],[Downtime Hours]],"")</f>
        <v/>
      </c>
      <c r="K1379" s="10" t="n"/>
      <c r="L1379" s="10" t="n"/>
      <c r="M1379">
        <f>IF(tblDowntime[[#This Row],[Maintenance Downtime Hours]]="","",tblDowntime[[#This Row],[Equipment ID]])</f>
        <v/>
      </c>
      <c r="N1379" s="1">
        <f>IF(tblDowntime[[#This Row],[Failure Type]]="Production",tblDowntime[[#This Row],[Downtime Hours]],"")</f>
        <v/>
      </c>
      <c r="O1379">
        <f>IF(tblDowntime[[#This Row],[Production Downtime Hours]]="","",tblDowntime[[#This Row],[Equipment ID]])</f>
        <v/>
      </c>
      <c r="P1379" s="10" t="n"/>
    </row>
    <row r="1380">
      <c r="B1380">
        <f t="array" ref="B1380">_xlfn.XLOOKUP(C1380,INDIRECT("tblEquipment[Equipment ID]"),INDIRECT("tblEquipment[Production Department]"),"")</f>
        <v/>
      </c>
      <c r="D1380">
        <f t="array" ref="D1380">_xlfn.XLOOKUP(C1380,INDIRECT("tblEquipment[Equipment ID]"),INDIRECT("tblEquipment[Equipment Name]"),"")</f>
        <v/>
      </c>
      <c r="F1380" s="16" t="n"/>
      <c r="G1380" s="16" t="n"/>
      <c r="H1380" s="1">
        <f>IF(OR(F1380=0,G1380=0),"",(G1380-F1380)*24)</f>
        <v/>
      </c>
      <c r="I1380" s="10" t="n"/>
      <c r="J1380" s="1">
        <f>IF(OR(tblDowntime[[#This Row],[Failure Type]]="Sawshop",tblDowntime[[#This Row],[Failure Type]]="Electrical",tblDowntime[[#This Row],[Failure Type]]="Mechanical"),tblDowntime[[#This Row],[Downtime Hours]],"")</f>
        <v/>
      </c>
      <c r="K1380" s="10" t="n"/>
      <c r="L1380" s="10" t="n"/>
      <c r="M1380">
        <f>IF(tblDowntime[[#This Row],[Maintenance Downtime Hours]]="","",tblDowntime[[#This Row],[Equipment ID]])</f>
        <v/>
      </c>
      <c r="N1380" s="1">
        <f>IF(tblDowntime[[#This Row],[Failure Type]]="Production",tblDowntime[[#This Row],[Downtime Hours]],"")</f>
        <v/>
      </c>
      <c r="O1380">
        <f>IF(tblDowntime[[#This Row],[Production Downtime Hours]]="","",tblDowntime[[#This Row],[Equipment ID]])</f>
        <v/>
      </c>
      <c r="P1380" s="10" t="n"/>
    </row>
    <row r="1381">
      <c r="B1381">
        <f t="array" ref="B1381">_xlfn.XLOOKUP(C1381,INDIRECT("tblEquipment[Equipment ID]"),INDIRECT("tblEquipment[Production Department]"),"")</f>
        <v/>
      </c>
      <c r="D1381">
        <f t="array" ref="D1381">_xlfn.XLOOKUP(C1381,INDIRECT("tblEquipment[Equipment ID]"),INDIRECT("tblEquipment[Equipment Name]"),"")</f>
        <v/>
      </c>
      <c r="F1381" s="16" t="n"/>
      <c r="G1381" s="16" t="n"/>
      <c r="H1381" s="1">
        <f>IF(OR(F1381=0,G1381=0),"",(G1381-F1381)*24)</f>
        <v/>
      </c>
      <c r="I1381" s="10" t="n"/>
      <c r="J1381" s="1">
        <f>IF(OR(tblDowntime[[#This Row],[Failure Type]]="Sawshop",tblDowntime[[#This Row],[Failure Type]]="Electrical",tblDowntime[[#This Row],[Failure Type]]="Mechanical"),tblDowntime[[#This Row],[Downtime Hours]],"")</f>
        <v/>
      </c>
      <c r="K1381" s="10" t="n"/>
      <c r="L1381" s="10" t="n"/>
      <c r="M1381">
        <f>IF(tblDowntime[[#This Row],[Maintenance Downtime Hours]]="","",tblDowntime[[#This Row],[Equipment ID]])</f>
        <v/>
      </c>
      <c r="N1381" s="1">
        <f>IF(tblDowntime[[#This Row],[Failure Type]]="Production",tblDowntime[[#This Row],[Downtime Hours]],"")</f>
        <v/>
      </c>
      <c r="O1381">
        <f>IF(tblDowntime[[#This Row],[Production Downtime Hours]]="","",tblDowntime[[#This Row],[Equipment ID]])</f>
        <v/>
      </c>
      <c r="P1381" s="10" t="n"/>
    </row>
    <row r="1382">
      <c r="B1382">
        <f t="array" ref="B1382">_xlfn.XLOOKUP(C1382,INDIRECT("tblEquipment[Equipment ID]"),INDIRECT("tblEquipment[Production Department]"),"")</f>
        <v/>
      </c>
      <c r="D1382">
        <f t="array" ref="D1382">_xlfn.XLOOKUP(C1382,INDIRECT("tblEquipment[Equipment ID]"),INDIRECT("tblEquipment[Equipment Name]"),"")</f>
        <v/>
      </c>
      <c r="F1382" s="16" t="n"/>
      <c r="G1382" s="16" t="n"/>
      <c r="H1382" s="1">
        <f>IF(OR(F1382=0,G1382=0),"",(G1382-F1382)*24)</f>
        <v/>
      </c>
      <c r="I1382" s="10" t="n"/>
      <c r="J1382" s="1">
        <f>IF(OR(tblDowntime[[#This Row],[Failure Type]]="Sawshop",tblDowntime[[#This Row],[Failure Type]]="Electrical",tblDowntime[[#This Row],[Failure Type]]="Mechanical"),tblDowntime[[#This Row],[Downtime Hours]],"")</f>
        <v/>
      </c>
      <c r="K1382" s="10" t="n"/>
      <c r="L1382" s="10" t="n"/>
      <c r="M1382">
        <f>IF(tblDowntime[[#This Row],[Maintenance Downtime Hours]]="","",tblDowntime[[#This Row],[Equipment ID]])</f>
        <v/>
      </c>
      <c r="N1382" s="1">
        <f>IF(tblDowntime[[#This Row],[Failure Type]]="Production",tblDowntime[[#This Row],[Downtime Hours]],"")</f>
        <v/>
      </c>
      <c r="O1382">
        <f>IF(tblDowntime[[#This Row],[Production Downtime Hours]]="","",tblDowntime[[#This Row],[Equipment ID]])</f>
        <v/>
      </c>
      <c r="P1382" s="10" t="n"/>
    </row>
    <row r="1383">
      <c r="B1383">
        <f t="array" ref="B1383">_xlfn.XLOOKUP(C1383,INDIRECT("tblEquipment[Equipment ID]"),INDIRECT("tblEquipment[Production Department]"),"")</f>
        <v/>
      </c>
      <c r="D1383">
        <f t="array" ref="D1383">_xlfn.XLOOKUP(C1383,INDIRECT("tblEquipment[Equipment ID]"),INDIRECT("tblEquipment[Equipment Name]"),"")</f>
        <v/>
      </c>
      <c r="F1383" s="16" t="n"/>
      <c r="G1383" s="16" t="n"/>
      <c r="H1383" s="1">
        <f>IF(OR(F1383=0,G1383=0),"",(G1383-F1383)*24)</f>
        <v/>
      </c>
      <c r="I1383" s="10" t="n"/>
      <c r="J1383" s="1">
        <f>IF(OR(tblDowntime[[#This Row],[Failure Type]]="Sawshop",tblDowntime[[#This Row],[Failure Type]]="Electrical",tblDowntime[[#This Row],[Failure Type]]="Mechanical"),tblDowntime[[#This Row],[Downtime Hours]],"")</f>
        <v/>
      </c>
      <c r="K1383" s="10" t="n"/>
      <c r="L1383" s="10" t="n"/>
      <c r="M1383">
        <f>IF(tblDowntime[[#This Row],[Maintenance Downtime Hours]]="","",tblDowntime[[#This Row],[Equipment ID]])</f>
        <v/>
      </c>
      <c r="N1383" s="1">
        <f>IF(tblDowntime[[#This Row],[Failure Type]]="Production",tblDowntime[[#This Row],[Downtime Hours]],"")</f>
        <v/>
      </c>
      <c r="O1383">
        <f>IF(tblDowntime[[#This Row],[Production Downtime Hours]]="","",tblDowntime[[#This Row],[Equipment ID]])</f>
        <v/>
      </c>
      <c r="P1383" s="10" t="n"/>
    </row>
    <row r="1384">
      <c r="B1384">
        <f t="array" ref="B1384">_xlfn.XLOOKUP(C1384,INDIRECT("tblEquipment[Equipment ID]"),INDIRECT("tblEquipment[Production Department]"),"")</f>
        <v/>
      </c>
      <c r="D1384">
        <f t="array" ref="D1384">_xlfn.XLOOKUP(C1384,INDIRECT("tblEquipment[Equipment ID]"),INDIRECT("tblEquipment[Equipment Name]"),"")</f>
        <v/>
      </c>
      <c r="F1384" s="16" t="n"/>
      <c r="G1384" s="16" t="n"/>
      <c r="H1384" s="1">
        <f>IF(OR(F1384=0,G1384=0),"",(G1384-F1384)*24)</f>
        <v/>
      </c>
      <c r="I1384" s="10" t="n"/>
      <c r="J1384" s="1">
        <f>IF(OR(tblDowntime[[#This Row],[Failure Type]]="Sawshop",tblDowntime[[#This Row],[Failure Type]]="Electrical",tblDowntime[[#This Row],[Failure Type]]="Mechanical"),tblDowntime[[#This Row],[Downtime Hours]],"")</f>
        <v/>
      </c>
      <c r="K1384" s="10" t="n"/>
      <c r="L1384" s="10" t="n"/>
      <c r="M1384">
        <f>IF(tblDowntime[[#This Row],[Maintenance Downtime Hours]]="","",tblDowntime[[#This Row],[Equipment ID]])</f>
        <v/>
      </c>
      <c r="N1384" s="1">
        <f>IF(tblDowntime[[#This Row],[Failure Type]]="Production",tblDowntime[[#This Row],[Downtime Hours]],"")</f>
        <v/>
      </c>
      <c r="O1384">
        <f>IF(tblDowntime[[#This Row],[Production Downtime Hours]]="","",tblDowntime[[#This Row],[Equipment ID]])</f>
        <v/>
      </c>
      <c r="P1384" s="10" t="n"/>
    </row>
    <row r="1385">
      <c r="B1385">
        <f t="array" ref="B1385">_xlfn.XLOOKUP(C1385,INDIRECT("tblEquipment[Equipment ID]"),INDIRECT("tblEquipment[Production Department]"),"")</f>
        <v/>
      </c>
      <c r="D1385">
        <f t="array" ref="D1385">_xlfn.XLOOKUP(C1385,INDIRECT("tblEquipment[Equipment ID]"),INDIRECT("tblEquipment[Equipment Name]"),"")</f>
        <v/>
      </c>
      <c r="F1385" s="16" t="n"/>
      <c r="G1385" s="16" t="n"/>
      <c r="H1385" s="1">
        <f>IF(OR(F1385=0,G1385=0),"",(G1385-F1385)*24)</f>
        <v/>
      </c>
      <c r="I1385" s="10" t="n"/>
      <c r="J1385" s="1">
        <f>IF(OR(tblDowntime[[#This Row],[Failure Type]]="Sawshop",tblDowntime[[#This Row],[Failure Type]]="Electrical",tblDowntime[[#This Row],[Failure Type]]="Mechanical"),tblDowntime[[#This Row],[Downtime Hours]],"")</f>
        <v/>
      </c>
      <c r="K1385" s="10" t="n"/>
      <c r="L1385" s="10" t="n"/>
      <c r="M1385">
        <f>IF(tblDowntime[[#This Row],[Maintenance Downtime Hours]]="","",tblDowntime[[#This Row],[Equipment ID]])</f>
        <v/>
      </c>
      <c r="N1385" s="1">
        <f>IF(tblDowntime[[#This Row],[Failure Type]]="Production",tblDowntime[[#This Row],[Downtime Hours]],"")</f>
        <v/>
      </c>
      <c r="O1385">
        <f>IF(tblDowntime[[#This Row],[Production Downtime Hours]]="","",tblDowntime[[#This Row],[Equipment ID]])</f>
        <v/>
      </c>
      <c r="P1385" s="10" t="n"/>
    </row>
    <row r="1386">
      <c r="B1386">
        <f t="array" ref="B1386">_xlfn.XLOOKUP(C1386,INDIRECT("tblEquipment[Equipment ID]"),INDIRECT("tblEquipment[Production Department]"),"")</f>
        <v/>
      </c>
      <c r="D1386">
        <f t="array" ref="D1386">_xlfn.XLOOKUP(C1386,INDIRECT("tblEquipment[Equipment ID]"),INDIRECT("tblEquipment[Equipment Name]"),"")</f>
        <v/>
      </c>
      <c r="F1386" s="16" t="n"/>
      <c r="G1386" s="16" t="n"/>
      <c r="H1386" s="1">
        <f>IF(OR(F1386=0,G1386=0),"",(G1386-F1386)*24)</f>
        <v/>
      </c>
      <c r="I1386" s="10" t="n"/>
      <c r="J1386" s="1">
        <f>IF(OR(tblDowntime[[#This Row],[Failure Type]]="Sawshop",tblDowntime[[#This Row],[Failure Type]]="Electrical",tblDowntime[[#This Row],[Failure Type]]="Mechanical"),tblDowntime[[#This Row],[Downtime Hours]],"")</f>
        <v/>
      </c>
      <c r="K1386" s="10" t="n"/>
      <c r="L1386" s="10" t="n"/>
      <c r="M1386">
        <f>IF(tblDowntime[[#This Row],[Maintenance Downtime Hours]]="","",tblDowntime[[#This Row],[Equipment ID]])</f>
        <v/>
      </c>
      <c r="N1386" s="1">
        <f>IF(tblDowntime[[#This Row],[Failure Type]]="Production",tblDowntime[[#This Row],[Downtime Hours]],"")</f>
        <v/>
      </c>
      <c r="O1386">
        <f>IF(tblDowntime[[#This Row],[Production Downtime Hours]]="","",tblDowntime[[#This Row],[Equipment ID]])</f>
        <v/>
      </c>
      <c r="P1386" s="10" t="n"/>
    </row>
    <row r="1387">
      <c r="B1387">
        <f t="array" ref="B1387">_xlfn.XLOOKUP(C1387,INDIRECT("tblEquipment[Equipment ID]"),INDIRECT("tblEquipment[Production Department]"),"")</f>
        <v/>
      </c>
      <c r="D1387">
        <f t="array" ref="D1387">_xlfn.XLOOKUP(C1387,INDIRECT("tblEquipment[Equipment ID]"),INDIRECT("tblEquipment[Equipment Name]"),"")</f>
        <v/>
      </c>
      <c r="F1387" s="16" t="n"/>
      <c r="G1387" s="16" t="n"/>
      <c r="H1387" s="1">
        <f>IF(OR(F1387=0,G1387=0),"",(G1387-F1387)*24)</f>
        <v/>
      </c>
      <c r="I1387" s="10" t="n"/>
      <c r="J1387" s="1">
        <f>IF(OR(tblDowntime[[#This Row],[Failure Type]]="Sawshop",tblDowntime[[#This Row],[Failure Type]]="Electrical",tblDowntime[[#This Row],[Failure Type]]="Mechanical"),tblDowntime[[#This Row],[Downtime Hours]],"")</f>
        <v/>
      </c>
      <c r="K1387" s="10" t="n"/>
      <c r="L1387" s="10" t="n"/>
      <c r="M1387">
        <f>IF(tblDowntime[[#This Row],[Maintenance Downtime Hours]]="","",tblDowntime[[#This Row],[Equipment ID]])</f>
        <v/>
      </c>
      <c r="N1387" s="1">
        <f>IF(tblDowntime[[#This Row],[Failure Type]]="Production",tblDowntime[[#This Row],[Downtime Hours]],"")</f>
        <v/>
      </c>
      <c r="O1387">
        <f>IF(tblDowntime[[#This Row],[Production Downtime Hours]]="","",tblDowntime[[#This Row],[Equipment ID]])</f>
        <v/>
      </c>
      <c r="P1387" s="10" t="n"/>
    </row>
    <row r="1388">
      <c r="B1388">
        <f t="array" ref="B1388">_xlfn.XLOOKUP(C1388,INDIRECT("tblEquipment[Equipment ID]"),INDIRECT("tblEquipment[Production Department]"),"")</f>
        <v/>
      </c>
      <c r="D1388">
        <f t="array" ref="D1388">_xlfn.XLOOKUP(C1388,INDIRECT("tblEquipment[Equipment ID]"),INDIRECT("tblEquipment[Equipment Name]"),"")</f>
        <v/>
      </c>
      <c r="F1388" s="16" t="n"/>
      <c r="G1388" s="16" t="n"/>
      <c r="H1388" s="1">
        <f>IF(OR(F1388=0,G1388=0),"",(G1388-F1388)*24)</f>
        <v/>
      </c>
      <c r="I1388" s="10" t="n"/>
      <c r="J1388" s="1">
        <f>IF(OR(tblDowntime[[#This Row],[Failure Type]]="Sawshop",tblDowntime[[#This Row],[Failure Type]]="Electrical",tblDowntime[[#This Row],[Failure Type]]="Mechanical"),tblDowntime[[#This Row],[Downtime Hours]],"")</f>
        <v/>
      </c>
      <c r="K1388" s="10" t="n"/>
      <c r="L1388" s="10" t="n"/>
      <c r="M1388">
        <f>IF(tblDowntime[[#This Row],[Maintenance Downtime Hours]]="","",tblDowntime[[#This Row],[Equipment ID]])</f>
        <v/>
      </c>
      <c r="N1388" s="1">
        <f>IF(tblDowntime[[#This Row],[Failure Type]]="Production",tblDowntime[[#This Row],[Downtime Hours]],"")</f>
        <v/>
      </c>
      <c r="O1388">
        <f>IF(tblDowntime[[#This Row],[Production Downtime Hours]]="","",tblDowntime[[#This Row],[Equipment ID]])</f>
        <v/>
      </c>
      <c r="P1388" s="10" t="n"/>
    </row>
    <row r="1389">
      <c r="B1389">
        <f t="array" ref="B1389">_xlfn.XLOOKUP(C1389,INDIRECT("tblEquipment[Equipment ID]"),INDIRECT("tblEquipment[Production Department]"),"")</f>
        <v/>
      </c>
      <c r="D1389">
        <f t="array" ref="D1389">_xlfn.XLOOKUP(C1389,INDIRECT("tblEquipment[Equipment ID]"),INDIRECT("tblEquipment[Equipment Name]"),"")</f>
        <v/>
      </c>
      <c r="F1389" s="16" t="n"/>
      <c r="G1389" s="16" t="n"/>
      <c r="H1389" s="1">
        <f>IF(OR(F1389=0,G1389=0),"",(G1389-F1389)*24)</f>
        <v/>
      </c>
      <c r="I1389" s="10" t="n"/>
      <c r="J1389" s="1">
        <f>IF(OR(tblDowntime[[#This Row],[Failure Type]]="Sawshop",tblDowntime[[#This Row],[Failure Type]]="Electrical",tblDowntime[[#This Row],[Failure Type]]="Mechanical"),tblDowntime[[#This Row],[Downtime Hours]],"")</f>
        <v/>
      </c>
      <c r="K1389" s="10" t="n"/>
      <c r="L1389" s="10" t="n"/>
      <c r="M1389">
        <f>IF(tblDowntime[[#This Row],[Maintenance Downtime Hours]]="","",tblDowntime[[#This Row],[Equipment ID]])</f>
        <v/>
      </c>
      <c r="N1389" s="1">
        <f>IF(tblDowntime[[#This Row],[Failure Type]]="Production",tblDowntime[[#This Row],[Downtime Hours]],"")</f>
        <v/>
      </c>
      <c r="O1389">
        <f>IF(tblDowntime[[#This Row],[Production Downtime Hours]]="","",tblDowntime[[#This Row],[Equipment ID]])</f>
        <v/>
      </c>
      <c r="P1389" s="10" t="n"/>
    </row>
    <row r="1390">
      <c r="B1390">
        <f t="array" ref="B1390">_xlfn.XLOOKUP(C1390,INDIRECT("tblEquipment[Equipment ID]"),INDIRECT("tblEquipment[Production Department]"),"")</f>
        <v/>
      </c>
      <c r="D1390">
        <f t="array" ref="D1390">_xlfn.XLOOKUP(C1390,INDIRECT("tblEquipment[Equipment ID]"),INDIRECT("tblEquipment[Equipment Name]"),"")</f>
        <v/>
      </c>
      <c r="F1390" s="16" t="n"/>
      <c r="G1390" s="16" t="n"/>
      <c r="H1390" s="1">
        <f>IF(OR(F1390=0,G1390=0),"",(G1390-F1390)*24)</f>
        <v/>
      </c>
      <c r="I1390" s="10" t="n"/>
      <c r="J1390" s="1">
        <f>IF(OR(tblDowntime[[#This Row],[Failure Type]]="Sawshop",tblDowntime[[#This Row],[Failure Type]]="Electrical",tblDowntime[[#This Row],[Failure Type]]="Mechanical"),tblDowntime[[#This Row],[Downtime Hours]],"")</f>
        <v/>
      </c>
      <c r="K1390" s="10" t="n"/>
      <c r="L1390" s="10" t="n"/>
      <c r="M1390">
        <f>IF(tblDowntime[[#This Row],[Maintenance Downtime Hours]]="","",tblDowntime[[#This Row],[Equipment ID]])</f>
        <v/>
      </c>
      <c r="N1390" s="1">
        <f>IF(tblDowntime[[#This Row],[Failure Type]]="Production",tblDowntime[[#This Row],[Downtime Hours]],"")</f>
        <v/>
      </c>
      <c r="O1390">
        <f>IF(tblDowntime[[#This Row],[Production Downtime Hours]]="","",tblDowntime[[#This Row],[Equipment ID]])</f>
        <v/>
      </c>
      <c r="P1390" s="10" t="n"/>
    </row>
    <row r="1391">
      <c r="B1391">
        <f t="array" ref="B1391">_xlfn.XLOOKUP(C1391,INDIRECT("tblEquipment[Equipment ID]"),INDIRECT("tblEquipment[Production Department]"),"")</f>
        <v/>
      </c>
      <c r="D1391">
        <f t="array" ref="D1391">_xlfn.XLOOKUP(C1391,INDIRECT("tblEquipment[Equipment ID]"),INDIRECT("tblEquipment[Equipment Name]"),"")</f>
        <v/>
      </c>
      <c r="F1391" s="16" t="n"/>
      <c r="G1391" s="16" t="n"/>
      <c r="H1391" s="1">
        <f>IF(OR(F1391=0,G1391=0),"",(G1391-F1391)*24)</f>
        <v/>
      </c>
      <c r="I1391" s="10" t="n"/>
      <c r="J1391" s="1">
        <f>IF(OR(tblDowntime[[#This Row],[Failure Type]]="Sawshop",tblDowntime[[#This Row],[Failure Type]]="Electrical",tblDowntime[[#This Row],[Failure Type]]="Mechanical"),tblDowntime[[#This Row],[Downtime Hours]],"")</f>
        <v/>
      </c>
      <c r="K1391" s="10" t="n"/>
      <c r="L1391" s="10" t="n"/>
      <c r="M1391">
        <f>IF(tblDowntime[[#This Row],[Maintenance Downtime Hours]]="","",tblDowntime[[#This Row],[Equipment ID]])</f>
        <v/>
      </c>
      <c r="N1391" s="1">
        <f>IF(tblDowntime[[#This Row],[Failure Type]]="Production",tblDowntime[[#This Row],[Downtime Hours]],"")</f>
        <v/>
      </c>
      <c r="O1391">
        <f>IF(tblDowntime[[#This Row],[Production Downtime Hours]]="","",tblDowntime[[#This Row],[Equipment ID]])</f>
        <v/>
      </c>
      <c r="P1391" s="10" t="n"/>
    </row>
    <row r="1392">
      <c r="B1392">
        <f t="array" ref="B1392">_xlfn.XLOOKUP(C1392,INDIRECT("tblEquipment[Equipment ID]"),INDIRECT("tblEquipment[Production Department]"),"")</f>
        <v/>
      </c>
      <c r="D1392">
        <f t="array" ref="D1392">_xlfn.XLOOKUP(C1392,INDIRECT("tblEquipment[Equipment ID]"),INDIRECT("tblEquipment[Equipment Name]"),"")</f>
        <v/>
      </c>
      <c r="F1392" s="16" t="n"/>
      <c r="G1392" s="16" t="n"/>
      <c r="H1392" s="1">
        <f>IF(OR(F1392=0,G1392=0),"",(G1392-F1392)*24)</f>
        <v/>
      </c>
      <c r="I1392" s="10" t="n"/>
      <c r="J1392" s="1">
        <f>IF(OR(tblDowntime[[#This Row],[Failure Type]]="Sawshop",tblDowntime[[#This Row],[Failure Type]]="Electrical",tblDowntime[[#This Row],[Failure Type]]="Mechanical"),tblDowntime[[#This Row],[Downtime Hours]],"")</f>
        <v/>
      </c>
      <c r="K1392" s="10" t="n"/>
      <c r="L1392" s="10" t="n"/>
      <c r="M1392">
        <f>IF(tblDowntime[[#This Row],[Maintenance Downtime Hours]]="","",tblDowntime[[#This Row],[Equipment ID]])</f>
        <v/>
      </c>
      <c r="N1392" s="1">
        <f>IF(tblDowntime[[#This Row],[Failure Type]]="Production",tblDowntime[[#This Row],[Downtime Hours]],"")</f>
        <v/>
      </c>
      <c r="O1392">
        <f>IF(tblDowntime[[#This Row],[Production Downtime Hours]]="","",tblDowntime[[#This Row],[Equipment ID]])</f>
        <v/>
      </c>
      <c r="P1392" s="10" t="n"/>
    </row>
    <row r="1393">
      <c r="B1393">
        <f t="array" ref="B1393">_xlfn.XLOOKUP(C1393,INDIRECT("tblEquipment[Equipment ID]"),INDIRECT("tblEquipment[Production Department]"),"")</f>
        <v/>
      </c>
      <c r="D1393">
        <f t="array" ref="D1393">_xlfn.XLOOKUP(C1393,INDIRECT("tblEquipment[Equipment ID]"),INDIRECT("tblEquipment[Equipment Name]"),"")</f>
        <v/>
      </c>
      <c r="F1393" s="16" t="n"/>
      <c r="G1393" s="16" t="n"/>
      <c r="H1393" s="1">
        <f>IF(OR(F1393=0,G1393=0),"",(G1393-F1393)*24)</f>
        <v/>
      </c>
      <c r="I1393" s="10" t="n"/>
      <c r="J1393" s="1">
        <f>IF(OR(tblDowntime[[#This Row],[Failure Type]]="Sawshop",tblDowntime[[#This Row],[Failure Type]]="Electrical",tblDowntime[[#This Row],[Failure Type]]="Mechanical"),tblDowntime[[#This Row],[Downtime Hours]],"")</f>
        <v/>
      </c>
      <c r="K1393" s="10" t="n"/>
      <c r="L1393" s="10" t="n"/>
      <c r="M1393">
        <f>IF(tblDowntime[[#This Row],[Maintenance Downtime Hours]]="","",tblDowntime[[#This Row],[Equipment ID]])</f>
        <v/>
      </c>
      <c r="N1393" s="1">
        <f>IF(tblDowntime[[#This Row],[Failure Type]]="Production",tblDowntime[[#This Row],[Downtime Hours]],"")</f>
        <v/>
      </c>
      <c r="O1393">
        <f>IF(tblDowntime[[#This Row],[Production Downtime Hours]]="","",tblDowntime[[#This Row],[Equipment ID]])</f>
        <v/>
      </c>
      <c r="P1393" s="10" t="n"/>
    </row>
    <row r="1394">
      <c r="B1394">
        <f t="array" ref="B1394">_xlfn.XLOOKUP(C1394,INDIRECT("tblEquipment[Equipment ID]"),INDIRECT("tblEquipment[Production Department]"),"")</f>
        <v/>
      </c>
      <c r="D1394">
        <f t="array" ref="D1394">_xlfn.XLOOKUP(C1394,INDIRECT("tblEquipment[Equipment ID]"),INDIRECT("tblEquipment[Equipment Name]"),"")</f>
        <v/>
      </c>
      <c r="F1394" s="16" t="n"/>
      <c r="G1394" s="16" t="n"/>
      <c r="H1394" s="1">
        <f>IF(OR(F1394=0,G1394=0),"",(G1394-F1394)*24)</f>
        <v/>
      </c>
      <c r="I1394" s="10" t="n"/>
      <c r="J1394" s="1">
        <f>IF(OR(tblDowntime[[#This Row],[Failure Type]]="Sawshop",tblDowntime[[#This Row],[Failure Type]]="Electrical",tblDowntime[[#This Row],[Failure Type]]="Mechanical"),tblDowntime[[#This Row],[Downtime Hours]],"")</f>
        <v/>
      </c>
      <c r="K1394" s="10" t="n"/>
      <c r="L1394" s="10" t="n"/>
      <c r="M1394">
        <f>IF(tblDowntime[[#This Row],[Maintenance Downtime Hours]]="","",tblDowntime[[#This Row],[Equipment ID]])</f>
        <v/>
      </c>
      <c r="N1394" s="1">
        <f>IF(tblDowntime[[#This Row],[Failure Type]]="Production",tblDowntime[[#This Row],[Downtime Hours]],"")</f>
        <v/>
      </c>
      <c r="O1394">
        <f>IF(tblDowntime[[#This Row],[Production Downtime Hours]]="","",tblDowntime[[#This Row],[Equipment ID]])</f>
        <v/>
      </c>
      <c r="P1394" s="10" t="n"/>
    </row>
    <row r="1395">
      <c r="B1395">
        <f t="array" ref="B1395">_xlfn.XLOOKUP(C1395,INDIRECT("tblEquipment[Equipment ID]"),INDIRECT("tblEquipment[Production Department]"),"")</f>
        <v/>
      </c>
      <c r="D1395">
        <f t="array" ref="D1395">_xlfn.XLOOKUP(C1395,INDIRECT("tblEquipment[Equipment ID]"),INDIRECT("tblEquipment[Equipment Name]"),"")</f>
        <v/>
      </c>
      <c r="F1395" s="16" t="n"/>
      <c r="G1395" s="16" t="n"/>
      <c r="H1395" s="1">
        <f>IF(OR(F1395=0,G1395=0),"",(G1395-F1395)*24)</f>
        <v/>
      </c>
      <c r="I1395" s="10" t="n"/>
      <c r="J1395" s="1">
        <f>IF(OR(tblDowntime[[#This Row],[Failure Type]]="Sawshop",tblDowntime[[#This Row],[Failure Type]]="Electrical",tblDowntime[[#This Row],[Failure Type]]="Mechanical"),tblDowntime[[#This Row],[Downtime Hours]],"")</f>
        <v/>
      </c>
      <c r="K1395" s="10" t="n"/>
      <c r="L1395" s="10" t="n"/>
      <c r="M1395">
        <f>IF(tblDowntime[[#This Row],[Maintenance Downtime Hours]]="","",tblDowntime[[#This Row],[Equipment ID]])</f>
        <v/>
      </c>
      <c r="N1395" s="1">
        <f>IF(tblDowntime[[#This Row],[Failure Type]]="Production",tblDowntime[[#This Row],[Downtime Hours]],"")</f>
        <v/>
      </c>
      <c r="O1395">
        <f>IF(tblDowntime[[#This Row],[Production Downtime Hours]]="","",tblDowntime[[#This Row],[Equipment ID]])</f>
        <v/>
      </c>
      <c r="P1395" s="10" t="n"/>
    </row>
    <row r="1396">
      <c r="B1396">
        <f t="array" ref="B1396">_xlfn.XLOOKUP(C1396,INDIRECT("tblEquipment[Equipment ID]"),INDIRECT("tblEquipment[Production Department]"),"")</f>
        <v/>
      </c>
      <c r="D1396">
        <f t="array" ref="D1396">_xlfn.XLOOKUP(C1396,INDIRECT("tblEquipment[Equipment ID]"),INDIRECT("tblEquipment[Equipment Name]"),"")</f>
        <v/>
      </c>
      <c r="F1396" s="16" t="n"/>
      <c r="G1396" s="16" t="n"/>
      <c r="H1396" s="1">
        <f>IF(OR(F1396=0,G1396=0),"",(G1396-F1396)*24)</f>
        <v/>
      </c>
      <c r="I1396" s="10" t="n"/>
      <c r="J1396" s="1">
        <f>IF(OR(tblDowntime[[#This Row],[Failure Type]]="Sawshop",tblDowntime[[#This Row],[Failure Type]]="Electrical",tblDowntime[[#This Row],[Failure Type]]="Mechanical"),tblDowntime[[#This Row],[Downtime Hours]],"")</f>
        <v/>
      </c>
      <c r="K1396" s="10" t="n"/>
      <c r="L1396" s="10" t="n"/>
      <c r="M1396">
        <f>IF(tblDowntime[[#This Row],[Maintenance Downtime Hours]]="","",tblDowntime[[#This Row],[Equipment ID]])</f>
        <v/>
      </c>
      <c r="N1396" s="1">
        <f>IF(tblDowntime[[#This Row],[Failure Type]]="Production",tblDowntime[[#This Row],[Downtime Hours]],"")</f>
        <v/>
      </c>
      <c r="O1396">
        <f>IF(tblDowntime[[#This Row],[Production Downtime Hours]]="","",tblDowntime[[#This Row],[Equipment ID]])</f>
        <v/>
      </c>
      <c r="P1396" s="10" t="n"/>
    </row>
    <row r="1397">
      <c r="B1397">
        <f t="array" ref="B1397">_xlfn.XLOOKUP(C1397,INDIRECT("tblEquipment[Equipment ID]"),INDIRECT("tblEquipment[Production Department]"),"")</f>
        <v/>
      </c>
      <c r="D1397">
        <f t="array" ref="D1397">_xlfn.XLOOKUP(C1397,INDIRECT("tblEquipment[Equipment ID]"),INDIRECT("tblEquipment[Equipment Name]"),"")</f>
        <v/>
      </c>
      <c r="F1397" s="16" t="n"/>
      <c r="G1397" s="16" t="n"/>
      <c r="H1397" s="1">
        <f>IF(OR(F1397=0,G1397=0),"",(G1397-F1397)*24)</f>
        <v/>
      </c>
      <c r="I1397" s="10" t="n"/>
      <c r="J1397" s="1">
        <f>IF(OR(tblDowntime[[#This Row],[Failure Type]]="Sawshop",tblDowntime[[#This Row],[Failure Type]]="Electrical",tblDowntime[[#This Row],[Failure Type]]="Mechanical"),tblDowntime[[#This Row],[Downtime Hours]],"")</f>
        <v/>
      </c>
      <c r="K1397" s="10" t="n"/>
      <c r="L1397" s="10" t="n"/>
      <c r="M1397">
        <f>IF(tblDowntime[[#This Row],[Maintenance Downtime Hours]]="","",tblDowntime[[#This Row],[Equipment ID]])</f>
        <v/>
      </c>
      <c r="N1397" s="1">
        <f>IF(tblDowntime[[#This Row],[Failure Type]]="Production",tblDowntime[[#This Row],[Downtime Hours]],"")</f>
        <v/>
      </c>
      <c r="O1397">
        <f>IF(tblDowntime[[#This Row],[Production Downtime Hours]]="","",tblDowntime[[#This Row],[Equipment ID]])</f>
        <v/>
      </c>
      <c r="P1397" s="10" t="n"/>
    </row>
    <row r="1398">
      <c r="B1398">
        <f t="array" ref="B1398">_xlfn.XLOOKUP(C1398,INDIRECT("tblEquipment[Equipment ID]"),INDIRECT("tblEquipment[Production Department]"),"")</f>
        <v/>
      </c>
      <c r="D1398">
        <f t="array" ref="D1398">_xlfn.XLOOKUP(C1398,INDIRECT("tblEquipment[Equipment ID]"),INDIRECT("tblEquipment[Equipment Name]"),"")</f>
        <v/>
      </c>
      <c r="F1398" s="16" t="n"/>
      <c r="G1398" s="16" t="n"/>
      <c r="H1398" s="1">
        <f>IF(OR(F1398=0,G1398=0),"",(G1398-F1398)*24)</f>
        <v/>
      </c>
      <c r="I1398" s="10" t="n"/>
      <c r="J1398" s="1">
        <f>IF(OR(tblDowntime[[#This Row],[Failure Type]]="Sawshop",tblDowntime[[#This Row],[Failure Type]]="Electrical",tblDowntime[[#This Row],[Failure Type]]="Mechanical"),tblDowntime[[#This Row],[Downtime Hours]],"")</f>
        <v/>
      </c>
      <c r="K1398" s="10" t="n"/>
      <c r="L1398" s="10" t="n"/>
      <c r="M1398">
        <f>IF(tblDowntime[[#This Row],[Maintenance Downtime Hours]]="","",tblDowntime[[#This Row],[Equipment ID]])</f>
        <v/>
      </c>
      <c r="N1398" s="1">
        <f>IF(tblDowntime[[#This Row],[Failure Type]]="Production",tblDowntime[[#This Row],[Downtime Hours]],"")</f>
        <v/>
      </c>
      <c r="O1398">
        <f>IF(tblDowntime[[#This Row],[Production Downtime Hours]]="","",tblDowntime[[#This Row],[Equipment ID]])</f>
        <v/>
      </c>
      <c r="P1398" s="10" t="n"/>
    </row>
    <row r="1399">
      <c r="B1399">
        <f t="array" ref="B1399">_xlfn.XLOOKUP(C1399,INDIRECT("tblEquipment[Equipment ID]"),INDIRECT("tblEquipment[Production Department]"),"")</f>
        <v/>
      </c>
      <c r="D1399">
        <f t="array" ref="D1399">_xlfn.XLOOKUP(C1399,INDIRECT("tblEquipment[Equipment ID]"),INDIRECT("tblEquipment[Equipment Name]"),"")</f>
        <v/>
      </c>
      <c r="F1399" s="16" t="n"/>
      <c r="G1399" s="16" t="n"/>
      <c r="H1399" s="1">
        <f>IF(OR(F1399=0,G1399=0),"",(G1399-F1399)*24)</f>
        <v/>
      </c>
      <c r="I1399" s="10" t="n"/>
      <c r="J1399" s="1">
        <f>IF(OR(tblDowntime[[#This Row],[Failure Type]]="Sawshop",tblDowntime[[#This Row],[Failure Type]]="Electrical",tblDowntime[[#This Row],[Failure Type]]="Mechanical"),tblDowntime[[#This Row],[Downtime Hours]],"")</f>
        <v/>
      </c>
      <c r="K1399" s="10" t="n"/>
      <c r="L1399" s="10" t="n"/>
      <c r="M1399">
        <f>IF(tblDowntime[[#This Row],[Maintenance Downtime Hours]]="","",tblDowntime[[#This Row],[Equipment ID]])</f>
        <v/>
      </c>
      <c r="N1399" s="1">
        <f>IF(tblDowntime[[#This Row],[Failure Type]]="Production",tblDowntime[[#This Row],[Downtime Hours]],"")</f>
        <v/>
      </c>
      <c r="O1399">
        <f>IF(tblDowntime[[#This Row],[Production Downtime Hours]]="","",tblDowntime[[#This Row],[Equipment ID]])</f>
        <v/>
      </c>
      <c r="P1399" s="10" t="n"/>
    </row>
    <row r="1400">
      <c r="B1400">
        <f t="array" ref="B1400">_xlfn.XLOOKUP(C1400,INDIRECT("tblEquipment[Equipment ID]"),INDIRECT("tblEquipment[Production Department]"),"")</f>
        <v/>
      </c>
      <c r="D1400">
        <f t="array" ref="D1400">_xlfn.XLOOKUP(C1400,INDIRECT("tblEquipment[Equipment ID]"),INDIRECT("tblEquipment[Equipment Name]"),"")</f>
        <v/>
      </c>
      <c r="F1400" s="16" t="n"/>
      <c r="G1400" s="16" t="n"/>
      <c r="H1400" s="1">
        <f>IF(OR(F1400=0,G1400=0),"",(G1400-F1400)*24)</f>
        <v/>
      </c>
      <c r="I1400" s="10" t="n"/>
      <c r="J1400" s="1">
        <f>IF(OR(tblDowntime[[#This Row],[Failure Type]]="Sawshop",tblDowntime[[#This Row],[Failure Type]]="Electrical",tblDowntime[[#This Row],[Failure Type]]="Mechanical"),tblDowntime[[#This Row],[Downtime Hours]],"")</f>
        <v/>
      </c>
      <c r="K1400" s="10" t="n"/>
      <c r="L1400" s="10" t="n"/>
      <c r="M1400">
        <f>IF(tblDowntime[[#This Row],[Maintenance Downtime Hours]]="","",tblDowntime[[#This Row],[Equipment ID]])</f>
        <v/>
      </c>
      <c r="N1400" s="1">
        <f>IF(tblDowntime[[#This Row],[Failure Type]]="Production",tblDowntime[[#This Row],[Downtime Hours]],"")</f>
        <v/>
      </c>
      <c r="O1400">
        <f>IF(tblDowntime[[#This Row],[Production Downtime Hours]]="","",tblDowntime[[#This Row],[Equipment ID]])</f>
        <v/>
      </c>
      <c r="P1400" s="10" t="n"/>
    </row>
    <row r="1401">
      <c r="B1401">
        <f t="array" ref="B1401">_xlfn.XLOOKUP(C1401,INDIRECT("tblEquipment[Equipment ID]"),INDIRECT("tblEquipment[Production Department]"),"")</f>
        <v/>
      </c>
      <c r="D1401">
        <f t="array" ref="D1401">_xlfn.XLOOKUP(C1401,INDIRECT("tblEquipment[Equipment ID]"),INDIRECT("tblEquipment[Equipment Name]"),"")</f>
        <v/>
      </c>
      <c r="F1401" s="16" t="n"/>
      <c r="G1401" s="16" t="n"/>
      <c r="H1401" s="1">
        <f>IF(OR(F1401=0,G1401=0),"",(G1401-F1401)*24)</f>
        <v/>
      </c>
      <c r="I1401" s="10" t="n"/>
      <c r="J1401" s="1">
        <f>IF(OR(tblDowntime[[#This Row],[Failure Type]]="Sawshop",tblDowntime[[#This Row],[Failure Type]]="Electrical",tblDowntime[[#This Row],[Failure Type]]="Mechanical"),tblDowntime[[#This Row],[Downtime Hours]],"")</f>
        <v/>
      </c>
      <c r="K1401" s="10" t="n"/>
      <c r="L1401" s="10" t="n"/>
      <c r="M1401">
        <f>IF(tblDowntime[[#This Row],[Maintenance Downtime Hours]]="","",tblDowntime[[#This Row],[Equipment ID]])</f>
        <v/>
      </c>
      <c r="N1401" s="1">
        <f>IF(tblDowntime[[#This Row],[Failure Type]]="Production",tblDowntime[[#This Row],[Downtime Hours]],"")</f>
        <v/>
      </c>
      <c r="O1401">
        <f>IF(tblDowntime[[#This Row],[Production Downtime Hours]]="","",tblDowntime[[#This Row],[Equipment ID]])</f>
        <v/>
      </c>
      <c r="P1401" s="10" t="n"/>
    </row>
    <row r="1402">
      <c r="B1402">
        <f t="array" ref="B1402">_xlfn.XLOOKUP(C1402,INDIRECT("tblEquipment[Equipment ID]"),INDIRECT("tblEquipment[Production Department]"),"")</f>
        <v/>
      </c>
      <c r="D1402">
        <f t="array" ref="D1402">_xlfn.XLOOKUP(C1402,INDIRECT("tblEquipment[Equipment ID]"),INDIRECT("tblEquipment[Equipment Name]"),"")</f>
        <v/>
      </c>
      <c r="F1402" s="16" t="n"/>
      <c r="G1402" s="16" t="n"/>
      <c r="H1402" s="1">
        <f>IF(OR(F1402=0,G1402=0),"",(G1402-F1402)*24)</f>
        <v/>
      </c>
      <c r="I1402" s="10" t="n"/>
      <c r="J1402" s="1">
        <f>IF(OR(tblDowntime[[#This Row],[Failure Type]]="Sawshop",tblDowntime[[#This Row],[Failure Type]]="Electrical",tblDowntime[[#This Row],[Failure Type]]="Mechanical"),tblDowntime[[#This Row],[Downtime Hours]],"")</f>
        <v/>
      </c>
      <c r="K1402" s="10" t="n"/>
      <c r="L1402" s="10" t="n"/>
      <c r="M1402">
        <f>IF(tblDowntime[[#This Row],[Maintenance Downtime Hours]]="","",tblDowntime[[#This Row],[Equipment ID]])</f>
        <v/>
      </c>
      <c r="N1402" s="1">
        <f>IF(tblDowntime[[#This Row],[Failure Type]]="Production",tblDowntime[[#This Row],[Downtime Hours]],"")</f>
        <v/>
      </c>
      <c r="O1402">
        <f>IF(tblDowntime[[#This Row],[Production Downtime Hours]]="","",tblDowntime[[#This Row],[Equipment ID]])</f>
        <v/>
      </c>
      <c r="P1402" s="10" t="n"/>
    </row>
    <row r="1403">
      <c r="B1403">
        <f t="array" ref="B1403">_xlfn.XLOOKUP(C1403,INDIRECT("tblEquipment[Equipment ID]"),INDIRECT("tblEquipment[Production Department]"),"")</f>
        <v/>
      </c>
      <c r="D1403">
        <f t="array" ref="D1403">_xlfn.XLOOKUP(C1403,INDIRECT("tblEquipment[Equipment ID]"),INDIRECT("tblEquipment[Equipment Name]"),"")</f>
        <v/>
      </c>
      <c r="F1403" s="16" t="n"/>
      <c r="G1403" s="16" t="n"/>
      <c r="H1403" s="1">
        <f>IF(OR(F1403=0,G1403=0),"",(G1403-F1403)*24)</f>
        <v/>
      </c>
      <c r="I1403" s="10" t="n"/>
      <c r="J1403" s="1">
        <f>IF(OR(tblDowntime[[#This Row],[Failure Type]]="Sawshop",tblDowntime[[#This Row],[Failure Type]]="Electrical",tblDowntime[[#This Row],[Failure Type]]="Mechanical"),tblDowntime[[#This Row],[Downtime Hours]],"")</f>
        <v/>
      </c>
      <c r="K1403" s="10" t="n"/>
      <c r="L1403" s="10" t="n"/>
      <c r="M1403">
        <f>IF(tblDowntime[[#This Row],[Maintenance Downtime Hours]]="","",tblDowntime[[#This Row],[Equipment ID]])</f>
        <v/>
      </c>
      <c r="N1403" s="1">
        <f>IF(tblDowntime[[#This Row],[Failure Type]]="Production",tblDowntime[[#This Row],[Downtime Hours]],"")</f>
        <v/>
      </c>
      <c r="O1403">
        <f>IF(tblDowntime[[#This Row],[Production Downtime Hours]]="","",tblDowntime[[#This Row],[Equipment ID]])</f>
        <v/>
      </c>
      <c r="P1403" s="10" t="n"/>
    </row>
    <row r="1404">
      <c r="B1404">
        <f t="array" ref="B1404">_xlfn.XLOOKUP(C1404,INDIRECT("tblEquipment[Equipment ID]"),INDIRECT("tblEquipment[Production Department]"),"")</f>
        <v/>
      </c>
      <c r="D1404">
        <f t="array" ref="D1404">_xlfn.XLOOKUP(C1404,INDIRECT("tblEquipment[Equipment ID]"),INDIRECT("tblEquipment[Equipment Name]"),"")</f>
        <v/>
      </c>
      <c r="F1404" s="16" t="n"/>
      <c r="G1404" s="16" t="n"/>
      <c r="H1404" s="1">
        <f>IF(OR(F1404=0,G1404=0),"",(G1404-F1404)*24)</f>
        <v/>
      </c>
      <c r="I1404" s="10" t="n"/>
      <c r="J1404" s="1">
        <f>IF(OR(tblDowntime[[#This Row],[Failure Type]]="Sawshop",tblDowntime[[#This Row],[Failure Type]]="Electrical",tblDowntime[[#This Row],[Failure Type]]="Mechanical"),tblDowntime[[#This Row],[Downtime Hours]],"")</f>
        <v/>
      </c>
      <c r="K1404" s="10" t="n"/>
      <c r="L1404" s="10" t="n"/>
      <c r="M1404">
        <f>IF(tblDowntime[[#This Row],[Maintenance Downtime Hours]]="","",tblDowntime[[#This Row],[Equipment ID]])</f>
        <v/>
      </c>
      <c r="N1404" s="1">
        <f>IF(tblDowntime[[#This Row],[Failure Type]]="Production",tblDowntime[[#This Row],[Downtime Hours]],"")</f>
        <v/>
      </c>
      <c r="O1404">
        <f>IF(tblDowntime[[#This Row],[Production Downtime Hours]]="","",tblDowntime[[#This Row],[Equipment ID]])</f>
        <v/>
      </c>
      <c r="P1404" s="10" t="n"/>
    </row>
    <row r="1405">
      <c r="B1405">
        <f t="array" ref="B1405">_xlfn.XLOOKUP(C1405,INDIRECT("tblEquipment[Equipment ID]"),INDIRECT("tblEquipment[Production Department]"),"")</f>
        <v/>
      </c>
      <c r="D1405">
        <f t="array" ref="D1405">_xlfn.XLOOKUP(C1405,INDIRECT("tblEquipment[Equipment ID]"),INDIRECT("tblEquipment[Equipment Name]"),"")</f>
        <v/>
      </c>
      <c r="F1405" s="16" t="n"/>
      <c r="G1405" s="16" t="n"/>
      <c r="H1405" s="1">
        <f>IF(OR(F1405=0,G1405=0),"",(G1405-F1405)*24)</f>
        <v/>
      </c>
      <c r="I1405" s="10" t="n"/>
      <c r="J1405" s="1">
        <f>IF(OR(tblDowntime[[#This Row],[Failure Type]]="Sawshop",tblDowntime[[#This Row],[Failure Type]]="Electrical",tblDowntime[[#This Row],[Failure Type]]="Mechanical"),tblDowntime[[#This Row],[Downtime Hours]],"")</f>
        <v/>
      </c>
      <c r="K1405" s="10" t="n"/>
      <c r="L1405" s="10" t="n"/>
      <c r="M1405">
        <f>IF(tblDowntime[[#This Row],[Maintenance Downtime Hours]]="","",tblDowntime[[#This Row],[Equipment ID]])</f>
        <v/>
      </c>
      <c r="N1405" s="1">
        <f>IF(tblDowntime[[#This Row],[Failure Type]]="Production",tblDowntime[[#This Row],[Downtime Hours]],"")</f>
        <v/>
      </c>
      <c r="O1405">
        <f>IF(tblDowntime[[#This Row],[Production Downtime Hours]]="","",tblDowntime[[#This Row],[Equipment ID]])</f>
        <v/>
      </c>
      <c r="P1405" s="10" t="n"/>
    </row>
    <row r="1406">
      <c r="B1406">
        <f t="array" ref="B1406">_xlfn.XLOOKUP(C1406,INDIRECT("tblEquipment[Equipment ID]"),INDIRECT("tblEquipment[Production Department]"),"")</f>
        <v/>
      </c>
      <c r="D1406">
        <f t="array" ref="D1406">_xlfn.XLOOKUP(C1406,INDIRECT("tblEquipment[Equipment ID]"),INDIRECT("tblEquipment[Equipment Name]"),"")</f>
        <v/>
      </c>
      <c r="F1406" s="16" t="n"/>
      <c r="G1406" s="16" t="n"/>
      <c r="H1406" s="1">
        <f>IF(OR(F1406=0,G1406=0),"",(G1406-F1406)*24)</f>
        <v/>
      </c>
      <c r="I1406" s="10" t="n"/>
      <c r="J1406" s="1">
        <f>IF(OR(tblDowntime[[#This Row],[Failure Type]]="Sawshop",tblDowntime[[#This Row],[Failure Type]]="Electrical",tblDowntime[[#This Row],[Failure Type]]="Mechanical"),tblDowntime[[#This Row],[Downtime Hours]],"")</f>
        <v/>
      </c>
      <c r="K1406" s="10" t="n"/>
      <c r="L1406" s="10" t="n"/>
      <c r="M1406">
        <f>IF(tblDowntime[[#This Row],[Maintenance Downtime Hours]]="","",tblDowntime[[#This Row],[Equipment ID]])</f>
        <v/>
      </c>
      <c r="N1406" s="1">
        <f>IF(tblDowntime[[#This Row],[Failure Type]]="Production",tblDowntime[[#This Row],[Downtime Hours]],"")</f>
        <v/>
      </c>
      <c r="O1406">
        <f>IF(tblDowntime[[#This Row],[Production Downtime Hours]]="","",tblDowntime[[#This Row],[Equipment ID]])</f>
        <v/>
      </c>
      <c r="P1406" s="10" t="n"/>
    </row>
    <row r="1407">
      <c r="B1407">
        <f t="array" ref="B1407">_xlfn.XLOOKUP(C1407,INDIRECT("tblEquipment[Equipment ID]"),INDIRECT("tblEquipment[Production Department]"),"")</f>
        <v/>
      </c>
      <c r="D1407">
        <f t="array" ref="D1407">_xlfn.XLOOKUP(C1407,INDIRECT("tblEquipment[Equipment ID]"),INDIRECT("tblEquipment[Equipment Name]"),"")</f>
        <v/>
      </c>
      <c r="F1407" s="16" t="n"/>
      <c r="G1407" s="16" t="n"/>
      <c r="H1407" s="1">
        <f>IF(OR(F1407=0,G1407=0),"",(G1407-F1407)*24)</f>
        <v/>
      </c>
      <c r="I1407" s="10" t="n"/>
      <c r="J1407" s="1">
        <f>IF(OR(tblDowntime[[#This Row],[Failure Type]]="Sawshop",tblDowntime[[#This Row],[Failure Type]]="Electrical",tblDowntime[[#This Row],[Failure Type]]="Mechanical"),tblDowntime[[#This Row],[Downtime Hours]],"")</f>
        <v/>
      </c>
      <c r="K1407" s="10" t="n"/>
      <c r="L1407" s="10" t="n"/>
      <c r="M1407">
        <f>IF(tblDowntime[[#This Row],[Maintenance Downtime Hours]]="","",tblDowntime[[#This Row],[Equipment ID]])</f>
        <v/>
      </c>
      <c r="N1407" s="1">
        <f>IF(tblDowntime[[#This Row],[Failure Type]]="Production",tblDowntime[[#This Row],[Downtime Hours]],"")</f>
        <v/>
      </c>
      <c r="O1407">
        <f>IF(tblDowntime[[#This Row],[Production Downtime Hours]]="","",tblDowntime[[#This Row],[Equipment ID]])</f>
        <v/>
      </c>
      <c r="P1407" s="10" t="n"/>
    </row>
    <row r="1408">
      <c r="B1408">
        <f t="array" ref="B1408">_xlfn.XLOOKUP(C1408,INDIRECT("tblEquipment[Equipment ID]"),INDIRECT("tblEquipment[Production Department]"),"")</f>
        <v/>
      </c>
      <c r="D1408">
        <f t="array" ref="D1408">_xlfn.XLOOKUP(C1408,INDIRECT("tblEquipment[Equipment ID]"),INDIRECT("tblEquipment[Equipment Name]"),"")</f>
        <v/>
      </c>
      <c r="F1408" s="16" t="n"/>
      <c r="G1408" s="16" t="n"/>
      <c r="H1408" s="1">
        <f>IF(OR(F1408=0,G1408=0),"",(G1408-F1408)*24)</f>
        <v/>
      </c>
      <c r="I1408" s="10" t="n"/>
      <c r="J1408" s="1">
        <f>IF(OR(tblDowntime[[#This Row],[Failure Type]]="Sawshop",tblDowntime[[#This Row],[Failure Type]]="Electrical",tblDowntime[[#This Row],[Failure Type]]="Mechanical"),tblDowntime[[#This Row],[Downtime Hours]],"")</f>
        <v/>
      </c>
      <c r="K1408" s="10" t="n"/>
      <c r="L1408" s="10" t="n"/>
      <c r="M1408">
        <f>IF(tblDowntime[[#This Row],[Maintenance Downtime Hours]]="","",tblDowntime[[#This Row],[Equipment ID]])</f>
        <v/>
      </c>
      <c r="N1408" s="1">
        <f>IF(tblDowntime[[#This Row],[Failure Type]]="Production",tblDowntime[[#This Row],[Downtime Hours]],"")</f>
        <v/>
      </c>
      <c r="O1408">
        <f>IF(tblDowntime[[#This Row],[Production Downtime Hours]]="","",tblDowntime[[#This Row],[Equipment ID]])</f>
        <v/>
      </c>
      <c r="P1408" s="10" t="n"/>
    </row>
    <row r="1409">
      <c r="B1409">
        <f t="array" ref="B1409">_xlfn.XLOOKUP(C1409,INDIRECT("tblEquipment[Equipment ID]"),INDIRECT("tblEquipment[Production Department]"),"")</f>
        <v/>
      </c>
      <c r="D1409">
        <f t="array" ref="D1409">_xlfn.XLOOKUP(C1409,INDIRECT("tblEquipment[Equipment ID]"),INDIRECT("tblEquipment[Equipment Name]"),"")</f>
        <v/>
      </c>
      <c r="F1409" s="16" t="n"/>
      <c r="G1409" s="16" t="n"/>
      <c r="H1409" s="1">
        <f>IF(OR(F1409=0,G1409=0),"",(G1409-F1409)*24)</f>
        <v/>
      </c>
      <c r="I1409" s="10" t="n"/>
      <c r="J1409" s="1">
        <f>IF(OR(tblDowntime[[#This Row],[Failure Type]]="Sawshop",tblDowntime[[#This Row],[Failure Type]]="Electrical",tblDowntime[[#This Row],[Failure Type]]="Mechanical"),tblDowntime[[#This Row],[Downtime Hours]],"")</f>
        <v/>
      </c>
      <c r="K1409" s="10" t="n"/>
      <c r="L1409" s="10" t="n"/>
      <c r="M1409">
        <f>IF(tblDowntime[[#This Row],[Maintenance Downtime Hours]]="","",tblDowntime[[#This Row],[Equipment ID]])</f>
        <v/>
      </c>
      <c r="N1409" s="1">
        <f>IF(tblDowntime[[#This Row],[Failure Type]]="Production",tblDowntime[[#This Row],[Downtime Hours]],"")</f>
        <v/>
      </c>
      <c r="O1409">
        <f>IF(tblDowntime[[#This Row],[Production Downtime Hours]]="","",tblDowntime[[#This Row],[Equipment ID]])</f>
        <v/>
      </c>
      <c r="P1409" s="10" t="n"/>
    </row>
    <row r="1410">
      <c r="B1410">
        <f t="array" ref="B1410">_xlfn.XLOOKUP(C1410,INDIRECT("tblEquipment[Equipment ID]"),INDIRECT("tblEquipment[Production Department]"),"")</f>
        <v/>
      </c>
      <c r="D1410">
        <f t="array" ref="D1410">_xlfn.XLOOKUP(C1410,INDIRECT("tblEquipment[Equipment ID]"),INDIRECT("tblEquipment[Equipment Name]"),"")</f>
        <v/>
      </c>
      <c r="F1410" s="16" t="n"/>
      <c r="G1410" s="16" t="n"/>
      <c r="H1410" s="1">
        <f>IF(OR(F1410=0,G1410=0),"",(G1410-F1410)*24)</f>
        <v/>
      </c>
      <c r="I1410" s="10" t="n"/>
      <c r="J1410" s="1">
        <f>IF(OR(tblDowntime[[#This Row],[Failure Type]]="Sawshop",tblDowntime[[#This Row],[Failure Type]]="Electrical",tblDowntime[[#This Row],[Failure Type]]="Mechanical"),tblDowntime[[#This Row],[Downtime Hours]],"")</f>
        <v/>
      </c>
      <c r="K1410" s="10" t="n"/>
      <c r="L1410" s="10" t="n"/>
      <c r="M1410">
        <f>IF(tblDowntime[[#This Row],[Maintenance Downtime Hours]]="","",tblDowntime[[#This Row],[Equipment ID]])</f>
        <v/>
      </c>
      <c r="N1410" s="1">
        <f>IF(tblDowntime[[#This Row],[Failure Type]]="Production",tblDowntime[[#This Row],[Downtime Hours]],"")</f>
        <v/>
      </c>
      <c r="O1410">
        <f>IF(tblDowntime[[#This Row],[Production Downtime Hours]]="","",tblDowntime[[#This Row],[Equipment ID]])</f>
        <v/>
      </c>
      <c r="P1410" s="10" t="n"/>
    </row>
    <row r="1411">
      <c r="B1411">
        <f t="array" ref="B1411">_xlfn.XLOOKUP(C1411,INDIRECT("tblEquipment[Equipment ID]"),INDIRECT("tblEquipment[Production Department]"),"")</f>
        <v/>
      </c>
      <c r="D1411">
        <f t="array" ref="D1411">_xlfn.XLOOKUP(C1411,INDIRECT("tblEquipment[Equipment ID]"),INDIRECT("tblEquipment[Equipment Name]"),"")</f>
        <v/>
      </c>
      <c r="F1411" s="16" t="n"/>
      <c r="G1411" s="16" t="n"/>
      <c r="H1411" s="1">
        <f>IF(OR(F1411=0,G1411=0),"",(G1411-F1411)*24)</f>
        <v/>
      </c>
      <c r="I1411" s="10" t="n"/>
      <c r="J1411" s="1">
        <f>IF(OR(tblDowntime[[#This Row],[Failure Type]]="Sawshop",tblDowntime[[#This Row],[Failure Type]]="Electrical",tblDowntime[[#This Row],[Failure Type]]="Mechanical"),tblDowntime[[#This Row],[Downtime Hours]],"")</f>
        <v/>
      </c>
      <c r="K1411" s="10" t="n"/>
      <c r="L1411" s="10" t="n"/>
      <c r="M1411">
        <f>IF(tblDowntime[[#This Row],[Maintenance Downtime Hours]]="","",tblDowntime[[#This Row],[Equipment ID]])</f>
        <v/>
      </c>
      <c r="N1411" s="1">
        <f>IF(tblDowntime[[#This Row],[Failure Type]]="Production",tblDowntime[[#This Row],[Downtime Hours]],"")</f>
        <v/>
      </c>
      <c r="O1411">
        <f>IF(tblDowntime[[#This Row],[Production Downtime Hours]]="","",tblDowntime[[#This Row],[Equipment ID]])</f>
        <v/>
      </c>
      <c r="P1411" s="10" t="n"/>
    </row>
    <row r="1412">
      <c r="B1412">
        <f t="array" ref="B1412">_xlfn.XLOOKUP(C1412,INDIRECT("tblEquipment[Equipment ID]"),INDIRECT("tblEquipment[Production Department]"),"")</f>
        <v/>
      </c>
      <c r="D1412">
        <f t="array" ref="D1412">_xlfn.XLOOKUP(C1412,INDIRECT("tblEquipment[Equipment ID]"),INDIRECT("tblEquipment[Equipment Name]"),"")</f>
        <v/>
      </c>
      <c r="F1412" s="16" t="n"/>
      <c r="G1412" s="16" t="n"/>
      <c r="H1412" s="1">
        <f>IF(OR(F1412=0,G1412=0),"",(G1412-F1412)*24)</f>
        <v/>
      </c>
      <c r="I1412" s="10" t="n"/>
      <c r="J1412" s="1">
        <f>IF(OR(tblDowntime[[#This Row],[Failure Type]]="Sawshop",tblDowntime[[#This Row],[Failure Type]]="Electrical",tblDowntime[[#This Row],[Failure Type]]="Mechanical"),tblDowntime[[#This Row],[Downtime Hours]],"")</f>
        <v/>
      </c>
      <c r="K1412" s="10" t="n"/>
      <c r="L1412" s="10" t="n"/>
      <c r="M1412">
        <f>IF(tblDowntime[[#This Row],[Maintenance Downtime Hours]]="","",tblDowntime[[#This Row],[Equipment ID]])</f>
        <v/>
      </c>
      <c r="N1412" s="1">
        <f>IF(tblDowntime[[#This Row],[Failure Type]]="Production",tblDowntime[[#This Row],[Downtime Hours]],"")</f>
        <v/>
      </c>
      <c r="O1412">
        <f>IF(tblDowntime[[#This Row],[Production Downtime Hours]]="","",tblDowntime[[#This Row],[Equipment ID]])</f>
        <v/>
      </c>
      <c r="P1412" s="10" t="n"/>
    </row>
    <row r="1413">
      <c r="B1413">
        <f t="array" ref="B1413">_xlfn.XLOOKUP(C1413,INDIRECT("tblEquipment[Equipment ID]"),INDIRECT("tblEquipment[Production Department]"),"")</f>
        <v/>
      </c>
      <c r="D1413">
        <f t="array" ref="D1413">_xlfn.XLOOKUP(C1413,INDIRECT("tblEquipment[Equipment ID]"),INDIRECT("tblEquipment[Equipment Name]"),"")</f>
        <v/>
      </c>
      <c r="F1413" s="16" t="n"/>
      <c r="G1413" s="16" t="n"/>
      <c r="H1413" s="1">
        <f>IF(OR(F1413=0,G1413=0),"",(G1413-F1413)*24)</f>
        <v/>
      </c>
      <c r="I1413" s="10" t="n"/>
      <c r="J1413" s="1">
        <f>IF(OR(tblDowntime[[#This Row],[Failure Type]]="Sawshop",tblDowntime[[#This Row],[Failure Type]]="Electrical",tblDowntime[[#This Row],[Failure Type]]="Mechanical"),tblDowntime[[#This Row],[Downtime Hours]],"")</f>
        <v/>
      </c>
      <c r="K1413" s="10" t="n"/>
      <c r="L1413" s="10" t="n"/>
      <c r="M1413">
        <f>IF(tblDowntime[[#This Row],[Maintenance Downtime Hours]]="","",tblDowntime[[#This Row],[Equipment ID]])</f>
        <v/>
      </c>
      <c r="N1413" s="1">
        <f>IF(tblDowntime[[#This Row],[Failure Type]]="Production",tblDowntime[[#This Row],[Downtime Hours]],"")</f>
        <v/>
      </c>
      <c r="O1413">
        <f>IF(tblDowntime[[#This Row],[Production Downtime Hours]]="","",tblDowntime[[#This Row],[Equipment ID]])</f>
        <v/>
      </c>
      <c r="P1413" s="10" t="n"/>
    </row>
    <row r="1414">
      <c r="B1414">
        <f t="array" ref="B1414">_xlfn.XLOOKUP(C1414,INDIRECT("tblEquipment[Equipment ID]"),INDIRECT("tblEquipment[Production Department]"),"")</f>
        <v/>
      </c>
      <c r="D1414">
        <f t="array" ref="D1414">_xlfn.XLOOKUP(C1414,INDIRECT("tblEquipment[Equipment ID]"),INDIRECT("tblEquipment[Equipment Name]"),"")</f>
        <v/>
      </c>
      <c r="F1414" s="16" t="n"/>
      <c r="G1414" s="16" t="n"/>
      <c r="H1414" s="1">
        <f>IF(OR(F1414=0,G1414=0),"",(G1414-F1414)*24)</f>
        <v/>
      </c>
      <c r="I1414" s="10" t="n"/>
      <c r="J1414" s="1">
        <f>IF(OR(tblDowntime[[#This Row],[Failure Type]]="Sawshop",tblDowntime[[#This Row],[Failure Type]]="Electrical",tblDowntime[[#This Row],[Failure Type]]="Mechanical"),tblDowntime[[#This Row],[Downtime Hours]],"")</f>
        <v/>
      </c>
      <c r="K1414" s="10" t="n"/>
      <c r="L1414" s="10" t="n"/>
      <c r="M1414">
        <f>IF(tblDowntime[[#This Row],[Maintenance Downtime Hours]]="","",tblDowntime[[#This Row],[Equipment ID]])</f>
        <v/>
      </c>
      <c r="N1414" s="1">
        <f>IF(tblDowntime[[#This Row],[Failure Type]]="Production",tblDowntime[[#This Row],[Downtime Hours]],"")</f>
        <v/>
      </c>
      <c r="O1414">
        <f>IF(tblDowntime[[#This Row],[Production Downtime Hours]]="","",tblDowntime[[#This Row],[Equipment ID]])</f>
        <v/>
      </c>
      <c r="P1414" s="10" t="n"/>
    </row>
    <row r="1415">
      <c r="B1415">
        <f t="array" ref="B1415">_xlfn.XLOOKUP(C1415,INDIRECT("tblEquipment[Equipment ID]"),INDIRECT("tblEquipment[Production Department]"),"")</f>
        <v/>
      </c>
      <c r="D1415">
        <f t="array" ref="D1415">_xlfn.XLOOKUP(C1415,INDIRECT("tblEquipment[Equipment ID]"),INDIRECT("tblEquipment[Equipment Name]"),"")</f>
        <v/>
      </c>
      <c r="F1415" s="16" t="n"/>
      <c r="G1415" s="16" t="n"/>
      <c r="H1415" s="1">
        <f>IF(OR(F1415=0,G1415=0),"",(G1415-F1415)*24)</f>
        <v/>
      </c>
      <c r="I1415" s="10" t="n"/>
      <c r="J1415" s="1">
        <f>IF(OR(tblDowntime[[#This Row],[Failure Type]]="Sawshop",tblDowntime[[#This Row],[Failure Type]]="Electrical",tblDowntime[[#This Row],[Failure Type]]="Mechanical"),tblDowntime[[#This Row],[Downtime Hours]],"")</f>
        <v/>
      </c>
      <c r="K1415" s="10" t="n"/>
      <c r="L1415" s="10" t="n"/>
      <c r="M1415">
        <f>IF(tblDowntime[[#This Row],[Maintenance Downtime Hours]]="","",tblDowntime[[#This Row],[Equipment ID]])</f>
        <v/>
      </c>
      <c r="N1415" s="1">
        <f>IF(tblDowntime[[#This Row],[Failure Type]]="Production",tblDowntime[[#This Row],[Downtime Hours]],"")</f>
        <v/>
      </c>
      <c r="O1415">
        <f>IF(tblDowntime[[#This Row],[Production Downtime Hours]]="","",tblDowntime[[#This Row],[Equipment ID]])</f>
        <v/>
      </c>
      <c r="P1415" s="10" t="n"/>
    </row>
    <row r="1416">
      <c r="B1416">
        <f t="array" ref="B1416">_xlfn.XLOOKUP(C1416,INDIRECT("tblEquipment[Equipment ID]"),INDIRECT("tblEquipment[Production Department]"),"")</f>
        <v/>
      </c>
      <c r="D1416">
        <f t="array" ref="D1416">_xlfn.XLOOKUP(C1416,INDIRECT("tblEquipment[Equipment ID]"),INDIRECT("tblEquipment[Equipment Name]"),"")</f>
        <v/>
      </c>
      <c r="F1416" s="16" t="n"/>
      <c r="G1416" s="16" t="n"/>
      <c r="H1416" s="1">
        <f>IF(OR(F1416=0,G1416=0),"",(G1416-F1416)*24)</f>
        <v/>
      </c>
      <c r="I1416" s="10" t="n"/>
      <c r="J1416" s="1">
        <f>IF(OR(tblDowntime[[#This Row],[Failure Type]]="Sawshop",tblDowntime[[#This Row],[Failure Type]]="Electrical",tblDowntime[[#This Row],[Failure Type]]="Mechanical"),tblDowntime[[#This Row],[Downtime Hours]],"")</f>
        <v/>
      </c>
      <c r="K1416" s="10" t="n"/>
      <c r="L1416" s="10" t="n"/>
      <c r="M1416">
        <f>IF(tblDowntime[[#This Row],[Maintenance Downtime Hours]]="","",tblDowntime[[#This Row],[Equipment ID]])</f>
        <v/>
      </c>
      <c r="N1416" s="1">
        <f>IF(tblDowntime[[#This Row],[Failure Type]]="Production",tblDowntime[[#This Row],[Downtime Hours]],"")</f>
        <v/>
      </c>
      <c r="O1416">
        <f>IF(tblDowntime[[#This Row],[Production Downtime Hours]]="","",tblDowntime[[#This Row],[Equipment ID]])</f>
        <v/>
      </c>
      <c r="P1416" s="10" t="n"/>
    </row>
    <row r="1417">
      <c r="B1417">
        <f t="array" ref="B1417">_xlfn.XLOOKUP(C1417,INDIRECT("tblEquipment[Equipment ID]"),INDIRECT("tblEquipment[Production Department]"),"")</f>
        <v/>
      </c>
      <c r="D1417">
        <f t="array" ref="D1417">_xlfn.XLOOKUP(C1417,INDIRECT("tblEquipment[Equipment ID]"),INDIRECT("tblEquipment[Equipment Name]"),"")</f>
        <v/>
      </c>
      <c r="F1417" s="16" t="n"/>
      <c r="G1417" s="16" t="n"/>
      <c r="H1417" s="1">
        <f>IF(OR(F1417=0,G1417=0),"",(G1417-F1417)*24)</f>
        <v/>
      </c>
      <c r="I1417" s="10" t="n"/>
      <c r="J1417" s="1">
        <f>IF(OR(tblDowntime[[#This Row],[Failure Type]]="Sawshop",tblDowntime[[#This Row],[Failure Type]]="Electrical",tblDowntime[[#This Row],[Failure Type]]="Mechanical"),tblDowntime[[#This Row],[Downtime Hours]],"")</f>
        <v/>
      </c>
      <c r="K1417" s="10" t="n"/>
      <c r="L1417" s="10" t="n"/>
      <c r="M1417">
        <f>IF(tblDowntime[[#This Row],[Maintenance Downtime Hours]]="","",tblDowntime[[#This Row],[Equipment ID]])</f>
        <v/>
      </c>
      <c r="N1417" s="1">
        <f>IF(tblDowntime[[#This Row],[Failure Type]]="Production",tblDowntime[[#This Row],[Downtime Hours]],"")</f>
        <v/>
      </c>
      <c r="O1417">
        <f>IF(tblDowntime[[#This Row],[Production Downtime Hours]]="","",tblDowntime[[#This Row],[Equipment ID]])</f>
        <v/>
      </c>
      <c r="P1417" s="10" t="n"/>
    </row>
    <row r="1418">
      <c r="B1418">
        <f t="array" ref="B1418">_xlfn.XLOOKUP(C1418,INDIRECT("tblEquipment[Equipment ID]"),INDIRECT("tblEquipment[Production Department]"),"")</f>
        <v/>
      </c>
      <c r="D1418">
        <f t="array" ref="D1418">_xlfn.XLOOKUP(C1418,INDIRECT("tblEquipment[Equipment ID]"),INDIRECT("tblEquipment[Equipment Name]"),"")</f>
        <v/>
      </c>
      <c r="F1418" s="16" t="n"/>
      <c r="G1418" s="16" t="n"/>
      <c r="H1418" s="1">
        <f>IF(OR(F1418=0,G1418=0),"",(G1418-F1418)*24)</f>
        <v/>
      </c>
      <c r="I1418" s="10" t="n"/>
      <c r="J1418" s="1">
        <f>IF(OR(tblDowntime[[#This Row],[Failure Type]]="Sawshop",tblDowntime[[#This Row],[Failure Type]]="Electrical",tblDowntime[[#This Row],[Failure Type]]="Mechanical"),tblDowntime[[#This Row],[Downtime Hours]],"")</f>
        <v/>
      </c>
      <c r="K1418" s="10" t="n"/>
      <c r="L1418" s="10" t="n"/>
      <c r="M1418">
        <f>IF(tblDowntime[[#This Row],[Maintenance Downtime Hours]]="","",tblDowntime[[#This Row],[Equipment ID]])</f>
        <v/>
      </c>
      <c r="N1418" s="1">
        <f>IF(tblDowntime[[#This Row],[Failure Type]]="Production",tblDowntime[[#This Row],[Downtime Hours]],"")</f>
        <v/>
      </c>
      <c r="O1418">
        <f>IF(tblDowntime[[#This Row],[Production Downtime Hours]]="","",tblDowntime[[#This Row],[Equipment ID]])</f>
        <v/>
      </c>
      <c r="P1418" s="10" t="n"/>
    </row>
    <row r="1419">
      <c r="B1419">
        <f t="array" ref="B1419">_xlfn.XLOOKUP(C1419,INDIRECT("tblEquipment[Equipment ID]"),INDIRECT("tblEquipment[Production Department]"),"")</f>
        <v/>
      </c>
      <c r="D1419">
        <f t="array" ref="D1419">_xlfn.XLOOKUP(C1419,INDIRECT("tblEquipment[Equipment ID]"),INDIRECT("tblEquipment[Equipment Name]"),"")</f>
        <v/>
      </c>
      <c r="F1419" s="16" t="n"/>
      <c r="G1419" s="16" t="n"/>
      <c r="H1419" s="1">
        <f>IF(OR(F1419=0,G1419=0),"",(G1419-F1419)*24)</f>
        <v/>
      </c>
      <c r="I1419" s="10" t="n"/>
      <c r="J1419" s="1">
        <f>IF(OR(tblDowntime[[#This Row],[Failure Type]]="Sawshop",tblDowntime[[#This Row],[Failure Type]]="Electrical",tblDowntime[[#This Row],[Failure Type]]="Mechanical"),tblDowntime[[#This Row],[Downtime Hours]],"")</f>
        <v/>
      </c>
      <c r="K1419" s="10" t="n"/>
      <c r="L1419" s="10" t="n"/>
      <c r="M1419">
        <f>IF(tblDowntime[[#This Row],[Maintenance Downtime Hours]]="","",tblDowntime[[#This Row],[Equipment ID]])</f>
        <v/>
      </c>
      <c r="N1419" s="1">
        <f>IF(tblDowntime[[#This Row],[Failure Type]]="Production",tblDowntime[[#This Row],[Downtime Hours]],"")</f>
        <v/>
      </c>
      <c r="O1419">
        <f>IF(tblDowntime[[#This Row],[Production Downtime Hours]]="","",tblDowntime[[#This Row],[Equipment ID]])</f>
        <v/>
      </c>
      <c r="P1419" s="10" t="n"/>
    </row>
    <row r="1420">
      <c r="B1420">
        <f t="array" ref="B1420">_xlfn.XLOOKUP(C1420,INDIRECT("tblEquipment[Equipment ID]"),INDIRECT("tblEquipment[Production Department]"),"")</f>
        <v/>
      </c>
      <c r="D1420">
        <f t="array" ref="D1420">_xlfn.XLOOKUP(C1420,INDIRECT("tblEquipment[Equipment ID]"),INDIRECT("tblEquipment[Equipment Name]"),"")</f>
        <v/>
      </c>
      <c r="F1420" s="16" t="n"/>
      <c r="G1420" s="16" t="n"/>
      <c r="H1420" s="1">
        <f>IF(OR(F1420=0,G1420=0),"",(G1420-F1420)*24)</f>
        <v/>
      </c>
      <c r="I1420" s="10" t="n"/>
      <c r="J1420" s="1">
        <f>IF(OR(tblDowntime[[#This Row],[Failure Type]]="Sawshop",tblDowntime[[#This Row],[Failure Type]]="Electrical",tblDowntime[[#This Row],[Failure Type]]="Mechanical"),tblDowntime[[#This Row],[Downtime Hours]],"")</f>
        <v/>
      </c>
      <c r="K1420" s="10" t="n"/>
      <c r="L1420" s="10" t="n"/>
      <c r="M1420">
        <f>IF(tblDowntime[[#This Row],[Maintenance Downtime Hours]]="","",tblDowntime[[#This Row],[Equipment ID]])</f>
        <v/>
      </c>
      <c r="N1420" s="1">
        <f>IF(tblDowntime[[#This Row],[Failure Type]]="Production",tblDowntime[[#This Row],[Downtime Hours]],"")</f>
        <v/>
      </c>
      <c r="O1420">
        <f>IF(tblDowntime[[#This Row],[Production Downtime Hours]]="","",tblDowntime[[#This Row],[Equipment ID]])</f>
        <v/>
      </c>
      <c r="P1420" s="10" t="n"/>
    </row>
    <row r="1421">
      <c r="B1421">
        <f t="array" ref="B1421">_xlfn.XLOOKUP(C1421,INDIRECT("tblEquipment[Equipment ID]"),INDIRECT("tblEquipment[Production Department]"),"")</f>
        <v/>
      </c>
      <c r="D1421">
        <f t="array" ref="D1421">_xlfn.XLOOKUP(C1421,INDIRECT("tblEquipment[Equipment ID]"),INDIRECT("tblEquipment[Equipment Name]"),"")</f>
        <v/>
      </c>
      <c r="F1421" s="16" t="n"/>
      <c r="G1421" s="16" t="n"/>
      <c r="H1421" s="1">
        <f>IF(OR(F1421=0,G1421=0),"",(G1421-F1421)*24)</f>
        <v/>
      </c>
      <c r="I1421" s="10" t="n"/>
      <c r="J1421" s="1">
        <f>IF(OR(tblDowntime[[#This Row],[Failure Type]]="Sawshop",tblDowntime[[#This Row],[Failure Type]]="Electrical",tblDowntime[[#This Row],[Failure Type]]="Mechanical"),tblDowntime[[#This Row],[Downtime Hours]],"")</f>
        <v/>
      </c>
      <c r="K1421" s="10" t="n"/>
      <c r="L1421" s="10" t="n"/>
      <c r="M1421">
        <f>IF(tblDowntime[[#This Row],[Maintenance Downtime Hours]]="","",tblDowntime[[#This Row],[Equipment ID]])</f>
        <v/>
      </c>
      <c r="N1421" s="1">
        <f>IF(tblDowntime[[#This Row],[Failure Type]]="Production",tblDowntime[[#This Row],[Downtime Hours]],"")</f>
        <v/>
      </c>
      <c r="O1421">
        <f>IF(tblDowntime[[#This Row],[Production Downtime Hours]]="","",tblDowntime[[#This Row],[Equipment ID]])</f>
        <v/>
      </c>
      <c r="P1421" s="10" t="n"/>
    </row>
    <row r="1422">
      <c r="B1422">
        <f t="array" ref="B1422">_xlfn.XLOOKUP(C1422,INDIRECT("tblEquipment[Equipment ID]"),INDIRECT("tblEquipment[Production Department]"),"")</f>
        <v/>
      </c>
      <c r="D1422">
        <f t="array" ref="D1422">_xlfn.XLOOKUP(C1422,INDIRECT("tblEquipment[Equipment ID]"),INDIRECT("tblEquipment[Equipment Name]"),"")</f>
        <v/>
      </c>
      <c r="F1422" s="16" t="n"/>
      <c r="G1422" s="16" t="n"/>
      <c r="H1422" s="1">
        <f>IF(OR(F1422=0,G1422=0),"",(G1422-F1422)*24)</f>
        <v/>
      </c>
      <c r="I1422" s="10" t="n"/>
      <c r="J1422" s="1">
        <f>IF(OR(tblDowntime[[#This Row],[Failure Type]]="Sawshop",tblDowntime[[#This Row],[Failure Type]]="Electrical",tblDowntime[[#This Row],[Failure Type]]="Mechanical"),tblDowntime[[#This Row],[Downtime Hours]],"")</f>
        <v/>
      </c>
      <c r="K1422" s="10" t="n"/>
      <c r="L1422" s="10" t="n"/>
      <c r="M1422">
        <f>IF(tblDowntime[[#This Row],[Maintenance Downtime Hours]]="","",tblDowntime[[#This Row],[Equipment ID]])</f>
        <v/>
      </c>
      <c r="N1422" s="1">
        <f>IF(tblDowntime[[#This Row],[Failure Type]]="Production",tblDowntime[[#This Row],[Downtime Hours]],"")</f>
        <v/>
      </c>
      <c r="O1422">
        <f>IF(tblDowntime[[#This Row],[Production Downtime Hours]]="","",tblDowntime[[#This Row],[Equipment ID]])</f>
        <v/>
      </c>
      <c r="P1422" s="10" t="n"/>
    </row>
    <row r="1423">
      <c r="B1423">
        <f t="array" ref="B1423">_xlfn.XLOOKUP(C1423,INDIRECT("tblEquipment[Equipment ID]"),INDIRECT("tblEquipment[Production Department]"),"")</f>
        <v/>
      </c>
      <c r="D1423">
        <f t="array" ref="D1423">_xlfn.XLOOKUP(C1423,INDIRECT("tblEquipment[Equipment ID]"),INDIRECT("tblEquipment[Equipment Name]"),"")</f>
        <v/>
      </c>
      <c r="F1423" s="16" t="n"/>
      <c r="G1423" s="16" t="n"/>
      <c r="H1423" s="1">
        <f>IF(OR(F1423=0,G1423=0),"",(G1423-F1423)*24)</f>
        <v/>
      </c>
      <c r="I1423" s="10" t="n"/>
      <c r="J1423" s="1">
        <f>IF(OR(tblDowntime[[#This Row],[Failure Type]]="Sawshop",tblDowntime[[#This Row],[Failure Type]]="Electrical",tblDowntime[[#This Row],[Failure Type]]="Mechanical"),tblDowntime[[#This Row],[Downtime Hours]],"")</f>
        <v/>
      </c>
      <c r="K1423" s="10" t="n"/>
      <c r="L1423" s="10" t="n"/>
      <c r="M1423">
        <f>IF(tblDowntime[[#This Row],[Maintenance Downtime Hours]]="","",tblDowntime[[#This Row],[Equipment ID]])</f>
        <v/>
      </c>
      <c r="N1423" s="1">
        <f>IF(tblDowntime[[#This Row],[Failure Type]]="Production",tblDowntime[[#This Row],[Downtime Hours]],"")</f>
        <v/>
      </c>
      <c r="O1423">
        <f>IF(tblDowntime[[#This Row],[Production Downtime Hours]]="","",tblDowntime[[#This Row],[Equipment ID]])</f>
        <v/>
      </c>
      <c r="P1423" s="10" t="n"/>
    </row>
    <row r="1424">
      <c r="B1424">
        <f t="array" ref="B1424">_xlfn.XLOOKUP(C1424,INDIRECT("tblEquipment[Equipment ID]"),INDIRECT("tblEquipment[Production Department]"),"")</f>
        <v/>
      </c>
      <c r="D1424">
        <f t="array" ref="D1424">_xlfn.XLOOKUP(C1424,INDIRECT("tblEquipment[Equipment ID]"),INDIRECT("tblEquipment[Equipment Name]"),"")</f>
        <v/>
      </c>
      <c r="F1424" s="16" t="n"/>
      <c r="G1424" s="16" t="n"/>
      <c r="H1424" s="1">
        <f>IF(OR(F1424=0,G1424=0),"",(G1424-F1424)*24)</f>
        <v/>
      </c>
      <c r="I1424" s="10" t="n"/>
      <c r="J1424" s="1">
        <f>IF(OR(tblDowntime[[#This Row],[Failure Type]]="Sawshop",tblDowntime[[#This Row],[Failure Type]]="Electrical",tblDowntime[[#This Row],[Failure Type]]="Mechanical"),tblDowntime[[#This Row],[Downtime Hours]],"")</f>
        <v/>
      </c>
      <c r="K1424" s="10" t="n"/>
      <c r="L1424" s="10" t="n"/>
      <c r="M1424">
        <f>IF(tblDowntime[[#This Row],[Maintenance Downtime Hours]]="","",tblDowntime[[#This Row],[Equipment ID]])</f>
        <v/>
      </c>
      <c r="N1424" s="1">
        <f>IF(tblDowntime[[#This Row],[Failure Type]]="Production",tblDowntime[[#This Row],[Downtime Hours]],"")</f>
        <v/>
      </c>
      <c r="O1424">
        <f>IF(tblDowntime[[#This Row],[Production Downtime Hours]]="","",tblDowntime[[#This Row],[Equipment ID]])</f>
        <v/>
      </c>
      <c r="P1424" s="10" t="n"/>
    </row>
    <row r="1425">
      <c r="B1425">
        <f t="array" ref="B1425">_xlfn.XLOOKUP(C1425,INDIRECT("tblEquipment[Equipment ID]"),INDIRECT("tblEquipment[Production Department]"),"")</f>
        <v/>
      </c>
      <c r="D1425">
        <f t="array" ref="D1425">_xlfn.XLOOKUP(C1425,INDIRECT("tblEquipment[Equipment ID]"),INDIRECT("tblEquipment[Equipment Name]"),"")</f>
        <v/>
      </c>
      <c r="F1425" s="16" t="n"/>
      <c r="G1425" s="16" t="n"/>
      <c r="H1425" s="1">
        <f>IF(OR(F1425=0,G1425=0),"",(G1425-F1425)*24)</f>
        <v/>
      </c>
      <c r="I1425" s="10" t="n"/>
      <c r="J1425" s="1">
        <f>IF(OR(tblDowntime[[#This Row],[Failure Type]]="Sawshop",tblDowntime[[#This Row],[Failure Type]]="Electrical",tblDowntime[[#This Row],[Failure Type]]="Mechanical"),tblDowntime[[#This Row],[Downtime Hours]],"")</f>
        <v/>
      </c>
      <c r="K1425" s="10" t="n"/>
      <c r="L1425" s="10" t="n"/>
      <c r="M1425">
        <f>IF(tblDowntime[[#This Row],[Maintenance Downtime Hours]]="","",tblDowntime[[#This Row],[Equipment ID]])</f>
        <v/>
      </c>
      <c r="N1425" s="1">
        <f>IF(tblDowntime[[#This Row],[Failure Type]]="Production",tblDowntime[[#This Row],[Downtime Hours]],"")</f>
        <v/>
      </c>
      <c r="O1425">
        <f>IF(tblDowntime[[#This Row],[Production Downtime Hours]]="","",tblDowntime[[#This Row],[Equipment ID]])</f>
        <v/>
      </c>
      <c r="P1425" s="10" t="n"/>
    </row>
    <row r="1426">
      <c r="B1426">
        <f t="array" ref="B1426">_xlfn.XLOOKUP(C1426,INDIRECT("tblEquipment[Equipment ID]"),INDIRECT("tblEquipment[Production Department]"),"")</f>
        <v/>
      </c>
      <c r="D1426">
        <f t="array" ref="D1426">_xlfn.XLOOKUP(C1426,INDIRECT("tblEquipment[Equipment ID]"),INDIRECT("tblEquipment[Equipment Name]"),"")</f>
        <v/>
      </c>
      <c r="F1426" s="16" t="n"/>
      <c r="G1426" s="16" t="n"/>
      <c r="H1426" s="1">
        <f>IF(OR(F1426=0,G1426=0),"",(G1426-F1426)*24)</f>
        <v/>
      </c>
      <c r="I1426" s="10" t="n"/>
      <c r="J1426" s="1">
        <f>IF(OR(tblDowntime[[#This Row],[Failure Type]]="Sawshop",tblDowntime[[#This Row],[Failure Type]]="Electrical",tblDowntime[[#This Row],[Failure Type]]="Mechanical"),tblDowntime[[#This Row],[Downtime Hours]],"")</f>
        <v/>
      </c>
      <c r="K1426" s="10" t="n"/>
      <c r="L1426" s="10" t="n"/>
      <c r="M1426">
        <f>IF(tblDowntime[[#This Row],[Maintenance Downtime Hours]]="","",tblDowntime[[#This Row],[Equipment ID]])</f>
        <v/>
      </c>
      <c r="N1426" s="1">
        <f>IF(tblDowntime[[#This Row],[Failure Type]]="Production",tblDowntime[[#This Row],[Downtime Hours]],"")</f>
        <v/>
      </c>
      <c r="O1426">
        <f>IF(tblDowntime[[#This Row],[Production Downtime Hours]]="","",tblDowntime[[#This Row],[Equipment ID]])</f>
        <v/>
      </c>
      <c r="P1426" s="10" t="n"/>
    </row>
    <row r="1427">
      <c r="B1427">
        <f t="array" ref="B1427">_xlfn.XLOOKUP(C1427,INDIRECT("tblEquipment[Equipment ID]"),INDIRECT("tblEquipment[Production Department]"),"")</f>
        <v/>
      </c>
      <c r="D1427">
        <f t="array" ref="D1427">_xlfn.XLOOKUP(C1427,INDIRECT("tblEquipment[Equipment ID]"),INDIRECT("tblEquipment[Equipment Name]"),"")</f>
        <v/>
      </c>
      <c r="F1427" s="16" t="n"/>
      <c r="G1427" s="16" t="n"/>
      <c r="H1427" s="1">
        <f>IF(OR(F1427=0,G1427=0),"",(G1427-F1427)*24)</f>
        <v/>
      </c>
      <c r="I1427" s="10" t="n"/>
      <c r="J1427" s="1">
        <f>IF(OR(tblDowntime[[#This Row],[Failure Type]]="Sawshop",tblDowntime[[#This Row],[Failure Type]]="Electrical",tblDowntime[[#This Row],[Failure Type]]="Mechanical"),tblDowntime[[#This Row],[Downtime Hours]],"")</f>
        <v/>
      </c>
      <c r="K1427" s="10" t="n"/>
      <c r="L1427" s="10" t="n"/>
      <c r="M1427">
        <f>IF(tblDowntime[[#This Row],[Maintenance Downtime Hours]]="","",tblDowntime[[#This Row],[Equipment ID]])</f>
        <v/>
      </c>
      <c r="N1427" s="1">
        <f>IF(tblDowntime[[#This Row],[Failure Type]]="Production",tblDowntime[[#This Row],[Downtime Hours]],"")</f>
        <v/>
      </c>
      <c r="O1427">
        <f>IF(tblDowntime[[#This Row],[Production Downtime Hours]]="","",tblDowntime[[#This Row],[Equipment ID]])</f>
        <v/>
      </c>
      <c r="P1427" s="10" t="n"/>
    </row>
    <row r="1428">
      <c r="B1428">
        <f t="array" ref="B1428">_xlfn.XLOOKUP(C1428,INDIRECT("tblEquipment[Equipment ID]"),INDIRECT("tblEquipment[Production Department]"),"")</f>
        <v/>
      </c>
      <c r="D1428">
        <f t="array" ref="D1428">_xlfn.XLOOKUP(C1428,INDIRECT("tblEquipment[Equipment ID]"),INDIRECT("tblEquipment[Equipment Name]"),"")</f>
        <v/>
      </c>
      <c r="F1428" s="16" t="n"/>
      <c r="G1428" s="16" t="n"/>
      <c r="H1428" s="1">
        <f>IF(OR(F1428=0,G1428=0),"",(G1428-F1428)*24)</f>
        <v/>
      </c>
      <c r="I1428" s="10" t="n"/>
      <c r="J1428" s="1">
        <f>IF(OR(tblDowntime[[#This Row],[Failure Type]]="Sawshop",tblDowntime[[#This Row],[Failure Type]]="Electrical",tblDowntime[[#This Row],[Failure Type]]="Mechanical"),tblDowntime[[#This Row],[Downtime Hours]],"")</f>
        <v/>
      </c>
      <c r="K1428" s="10" t="n"/>
      <c r="L1428" s="10" t="n"/>
      <c r="M1428">
        <f>IF(tblDowntime[[#This Row],[Maintenance Downtime Hours]]="","",tblDowntime[[#This Row],[Equipment ID]])</f>
        <v/>
      </c>
      <c r="N1428" s="1">
        <f>IF(tblDowntime[[#This Row],[Failure Type]]="Production",tblDowntime[[#This Row],[Downtime Hours]],"")</f>
        <v/>
      </c>
      <c r="O1428">
        <f>IF(tblDowntime[[#This Row],[Production Downtime Hours]]="","",tblDowntime[[#This Row],[Equipment ID]])</f>
        <v/>
      </c>
      <c r="P1428" s="10" t="n"/>
    </row>
    <row r="1429">
      <c r="B1429">
        <f t="array" ref="B1429">_xlfn.XLOOKUP(C1429,INDIRECT("tblEquipment[Equipment ID]"),INDIRECT("tblEquipment[Production Department]"),"")</f>
        <v/>
      </c>
      <c r="D1429">
        <f t="array" ref="D1429">_xlfn.XLOOKUP(C1429,INDIRECT("tblEquipment[Equipment ID]"),INDIRECT("tblEquipment[Equipment Name]"),"")</f>
        <v/>
      </c>
      <c r="F1429" s="16" t="n"/>
      <c r="G1429" s="16" t="n"/>
      <c r="H1429" s="1">
        <f>IF(OR(F1429=0,G1429=0),"",(G1429-F1429)*24)</f>
        <v/>
      </c>
      <c r="I1429" s="10" t="n"/>
      <c r="J1429" s="1">
        <f>IF(OR(tblDowntime[[#This Row],[Failure Type]]="Sawshop",tblDowntime[[#This Row],[Failure Type]]="Electrical",tblDowntime[[#This Row],[Failure Type]]="Mechanical"),tblDowntime[[#This Row],[Downtime Hours]],"")</f>
        <v/>
      </c>
      <c r="K1429" s="10" t="n"/>
      <c r="L1429" s="10" t="n"/>
      <c r="M1429">
        <f>IF(tblDowntime[[#This Row],[Maintenance Downtime Hours]]="","",tblDowntime[[#This Row],[Equipment ID]])</f>
        <v/>
      </c>
      <c r="N1429" s="1">
        <f>IF(tblDowntime[[#This Row],[Failure Type]]="Production",tblDowntime[[#This Row],[Downtime Hours]],"")</f>
        <v/>
      </c>
      <c r="O1429">
        <f>IF(tblDowntime[[#This Row],[Production Downtime Hours]]="","",tblDowntime[[#This Row],[Equipment ID]])</f>
        <v/>
      </c>
      <c r="P1429" s="10" t="n"/>
    </row>
    <row r="1430">
      <c r="B1430">
        <f t="array" ref="B1430">_xlfn.XLOOKUP(C1430,INDIRECT("tblEquipment[Equipment ID]"),INDIRECT("tblEquipment[Production Department]"),"")</f>
        <v/>
      </c>
      <c r="D1430">
        <f t="array" ref="D1430">_xlfn.XLOOKUP(C1430,INDIRECT("tblEquipment[Equipment ID]"),INDIRECT("tblEquipment[Equipment Name]"),"")</f>
        <v/>
      </c>
      <c r="F1430" s="16" t="n"/>
      <c r="G1430" s="16" t="n"/>
      <c r="H1430" s="1">
        <f>IF(OR(F1430=0,G1430=0),"",(G1430-F1430)*24)</f>
        <v/>
      </c>
      <c r="I1430" s="10" t="n"/>
      <c r="J1430" s="1">
        <f>IF(OR(tblDowntime[[#This Row],[Failure Type]]="Sawshop",tblDowntime[[#This Row],[Failure Type]]="Electrical",tblDowntime[[#This Row],[Failure Type]]="Mechanical"),tblDowntime[[#This Row],[Downtime Hours]],"")</f>
        <v/>
      </c>
      <c r="K1430" s="10" t="n"/>
      <c r="L1430" s="10" t="n"/>
      <c r="M1430">
        <f>IF(tblDowntime[[#This Row],[Maintenance Downtime Hours]]="","",tblDowntime[[#This Row],[Equipment ID]])</f>
        <v/>
      </c>
      <c r="N1430" s="1">
        <f>IF(tblDowntime[[#This Row],[Failure Type]]="Production",tblDowntime[[#This Row],[Downtime Hours]],"")</f>
        <v/>
      </c>
      <c r="O1430">
        <f>IF(tblDowntime[[#This Row],[Production Downtime Hours]]="","",tblDowntime[[#This Row],[Equipment ID]])</f>
        <v/>
      </c>
      <c r="P1430" s="10" t="n"/>
    </row>
    <row r="1431">
      <c r="B1431">
        <f t="array" ref="B1431">_xlfn.XLOOKUP(C1431,INDIRECT("tblEquipment[Equipment ID]"),INDIRECT("tblEquipment[Production Department]"),"")</f>
        <v/>
      </c>
      <c r="D1431">
        <f t="array" ref="D1431">_xlfn.XLOOKUP(C1431,INDIRECT("tblEquipment[Equipment ID]"),INDIRECT("tblEquipment[Equipment Name]"),"")</f>
        <v/>
      </c>
      <c r="F1431" s="16" t="n"/>
      <c r="G1431" s="16" t="n"/>
      <c r="H1431" s="1">
        <f>IF(OR(F1431=0,G1431=0),"",(G1431-F1431)*24)</f>
        <v/>
      </c>
      <c r="I1431" s="10" t="n"/>
      <c r="J1431" s="1">
        <f>IF(OR(tblDowntime[[#This Row],[Failure Type]]="Sawshop",tblDowntime[[#This Row],[Failure Type]]="Electrical",tblDowntime[[#This Row],[Failure Type]]="Mechanical"),tblDowntime[[#This Row],[Downtime Hours]],"")</f>
        <v/>
      </c>
      <c r="K1431" s="10" t="n"/>
      <c r="L1431" s="10" t="n"/>
      <c r="M1431">
        <f>IF(tblDowntime[[#This Row],[Maintenance Downtime Hours]]="","",tblDowntime[[#This Row],[Equipment ID]])</f>
        <v/>
      </c>
      <c r="N1431" s="1">
        <f>IF(tblDowntime[[#This Row],[Failure Type]]="Production",tblDowntime[[#This Row],[Downtime Hours]],"")</f>
        <v/>
      </c>
      <c r="O1431">
        <f>IF(tblDowntime[[#This Row],[Production Downtime Hours]]="","",tblDowntime[[#This Row],[Equipment ID]])</f>
        <v/>
      </c>
      <c r="P1431" s="10" t="n"/>
    </row>
    <row r="1432">
      <c r="B1432">
        <f t="array" ref="B1432">_xlfn.XLOOKUP(C1432,INDIRECT("tblEquipment[Equipment ID]"),INDIRECT("tblEquipment[Production Department]"),"")</f>
        <v/>
      </c>
      <c r="D1432">
        <f t="array" ref="D1432">_xlfn.XLOOKUP(C1432,INDIRECT("tblEquipment[Equipment ID]"),INDIRECT("tblEquipment[Equipment Name]"),"")</f>
        <v/>
      </c>
      <c r="F1432" s="16" t="n"/>
      <c r="G1432" s="16" t="n"/>
      <c r="H1432" s="1">
        <f>IF(OR(F1432=0,G1432=0),"",(G1432-F1432)*24)</f>
        <v/>
      </c>
      <c r="I1432" s="10" t="n"/>
      <c r="J1432" s="1">
        <f>IF(OR(tblDowntime[[#This Row],[Failure Type]]="Sawshop",tblDowntime[[#This Row],[Failure Type]]="Electrical",tblDowntime[[#This Row],[Failure Type]]="Mechanical"),tblDowntime[[#This Row],[Downtime Hours]],"")</f>
        <v/>
      </c>
      <c r="K1432" s="10" t="n"/>
      <c r="L1432" s="10" t="n"/>
      <c r="M1432">
        <f>IF(tblDowntime[[#This Row],[Maintenance Downtime Hours]]="","",tblDowntime[[#This Row],[Equipment ID]])</f>
        <v/>
      </c>
      <c r="N1432" s="1">
        <f>IF(tblDowntime[[#This Row],[Failure Type]]="Production",tblDowntime[[#This Row],[Downtime Hours]],"")</f>
        <v/>
      </c>
      <c r="O1432">
        <f>IF(tblDowntime[[#This Row],[Production Downtime Hours]]="","",tblDowntime[[#This Row],[Equipment ID]])</f>
        <v/>
      </c>
      <c r="P1432" s="10" t="n"/>
    </row>
    <row r="1433">
      <c r="B1433">
        <f t="array" ref="B1433">_xlfn.XLOOKUP(C1433,INDIRECT("tblEquipment[Equipment ID]"),INDIRECT("tblEquipment[Production Department]"),"")</f>
        <v/>
      </c>
      <c r="D1433">
        <f t="array" ref="D1433">_xlfn.XLOOKUP(C1433,INDIRECT("tblEquipment[Equipment ID]"),INDIRECT("tblEquipment[Equipment Name]"),"")</f>
        <v/>
      </c>
      <c r="F1433" s="16" t="n"/>
      <c r="G1433" s="16" t="n"/>
      <c r="H1433" s="1">
        <f>IF(OR(F1433=0,G1433=0),"",(G1433-F1433)*24)</f>
        <v/>
      </c>
      <c r="I1433" s="10" t="n"/>
      <c r="J1433" s="1">
        <f>IF(OR(tblDowntime[[#This Row],[Failure Type]]="Sawshop",tblDowntime[[#This Row],[Failure Type]]="Electrical",tblDowntime[[#This Row],[Failure Type]]="Mechanical"),tblDowntime[[#This Row],[Downtime Hours]],"")</f>
        <v/>
      </c>
      <c r="K1433" s="10" t="n"/>
      <c r="L1433" s="10" t="n"/>
      <c r="M1433">
        <f>IF(tblDowntime[[#This Row],[Maintenance Downtime Hours]]="","",tblDowntime[[#This Row],[Equipment ID]])</f>
        <v/>
      </c>
      <c r="N1433" s="1">
        <f>IF(tblDowntime[[#This Row],[Failure Type]]="Production",tblDowntime[[#This Row],[Downtime Hours]],"")</f>
        <v/>
      </c>
      <c r="O1433">
        <f>IF(tblDowntime[[#This Row],[Production Downtime Hours]]="","",tblDowntime[[#This Row],[Equipment ID]])</f>
        <v/>
      </c>
      <c r="P1433" s="10" t="n"/>
    </row>
    <row r="1434">
      <c r="B1434">
        <f t="array" ref="B1434">_xlfn.XLOOKUP(C1434,INDIRECT("tblEquipment[Equipment ID]"),INDIRECT("tblEquipment[Production Department]"),"")</f>
        <v/>
      </c>
      <c r="D1434">
        <f t="array" ref="D1434">_xlfn.XLOOKUP(C1434,INDIRECT("tblEquipment[Equipment ID]"),INDIRECT("tblEquipment[Equipment Name]"),"")</f>
        <v/>
      </c>
      <c r="F1434" s="16" t="n"/>
      <c r="G1434" s="16" t="n"/>
      <c r="H1434" s="1">
        <f>IF(OR(F1434=0,G1434=0),"",(G1434-F1434)*24)</f>
        <v/>
      </c>
      <c r="I1434" s="10" t="n"/>
      <c r="J1434" s="1">
        <f>IF(OR(tblDowntime[[#This Row],[Failure Type]]="Sawshop",tblDowntime[[#This Row],[Failure Type]]="Electrical",tblDowntime[[#This Row],[Failure Type]]="Mechanical"),tblDowntime[[#This Row],[Downtime Hours]],"")</f>
        <v/>
      </c>
      <c r="K1434" s="10" t="n"/>
      <c r="L1434" s="10" t="n"/>
      <c r="M1434">
        <f>IF(tblDowntime[[#This Row],[Maintenance Downtime Hours]]="","",tblDowntime[[#This Row],[Equipment ID]])</f>
        <v/>
      </c>
      <c r="N1434" s="1">
        <f>IF(tblDowntime[[#This Row],[Failure Type]]="Production",tblDowntime[[#This Row],[Downtime Hours]],"")</f>
        <v/>
      </c>
      <c r="O1434">
        <f>IF(tblDowntime[[#This Row],[Production Downtime Hours]]="","",tblDowntime[[#This Row],[Equipment ID]])</f>
        <v/>
      </c>
      <c r="P1434" s="10" t="n"/>
    </row>
    <row r="1435">
      <c r="B1435">
        <f t="array" ref="B1435">_xlfn.XLOOKUP(C1435,INDIRECT("tblEquipment[Equipment ID]"),INDIRECT("tblEquipment[Production Department]"),"")</f>
        <v/>
      </c>
      <c r="D1435">
        <f t="array" ref="D1435">_xlfn.XLOOKUP(C1435,INDIRECT("tblEquipment[Equipment ID]"),INDIRECT("tblEquipment[Equipment Name]"),"")</f>
        <v/>
      </c>
      <c r="F1435" s="16" t="n"/>
      <c r="G1435" s="16" t="n"/>
      <c r="H1435" s="1">
        <f>IF(OR(F1435=0,G1435=0),"",(G1435-F1435)*24)</f>
        <v/>
      </c>
      <c r="I1435" s="10" t="n"/>
      <c r="J1435" s="1">
        <f>IF(OR(tblDowntime[[#This Row],[Failure Type]]="Sawshop",tblDowntime[[#This Row],[Failure Type]]="Electrical",tblDowntime[[#This Row],[Failure Type]]="Mechanical"),tblDowntime[[#This Row],[Downtime Hours]],"")</f>
        <v/>
      </c>
      <c r="K1435" s="10" t="n"/>
      <c r="L1435" s="10" t="n"/>
      <c r="M1435">
        <f>IF(tblDowntime[[#This Row],[Maintenance Downtime Hours]]="","",tblDowntime[[#This Row],[Equipment ID]])</f>
        <v/>
      </c>
      <c r="N1435" s="1">
        <f>IF(tblDowntime[[#This Row],[Failure Type]]="Production",tblDowntime[[#This Row],[Downtime Hours]],"")</f>
        <v/>
      </c>
      <c r="O1435">
        <f>IF(tblDowntime[[#This Row],[Production Downtime Hours]]="","",tblDowntime[[#This Row],[Equipment ID]])</f>
        <v/>
      </c>
      <c r="P1435" s="10" t="n"/>
    </row>
    <row r="1436">
      <c r="B1436">
        <f t="array" ref="B1436">_xlfn.XLOOKUP(C1436,INDIRECT("tblEquipment[Equipment ID]"),INDIRECT("tblEquipment[Production Department]"),"")</f>
        <v/>
      </c>
      <c r="D1436">
        <f t="array" ref="D1436">_xlfn.XLOOKUP(C1436,INDIRECT("tblEquipment[Equipment ID]"),INDIRECT("tblEquipment[Equipment Name]"),"")</f>
        <v/>
      </c>
      <c r="F1436" s="16" t="n"/>
      <c r="G1436" s="16" t="n"/>
      <c r="H1436" s="1">
        <f>IF(OR(F1436=0,G1436=0),"",(G1436-F1436)*24)</f>
        <v/>
      </c>
      <c r="I1436" s="10" t="n"/>
      <c r="J1436" s="1">
        <f>IF(OR(tblDowntime[[#This Row],[Failure Type]]="Sawshop",tblDowntime[[#This Row],[Failure Type]]="Electrical",tblDowntime[[#This Row],[Failure Type]]="Mechanical"),tblDowntime[[#This Row],[Downtime Hours]],"")</f>
        <v/>
      </c>
      <c r="K1436" s="10" t="n"/>
      <c r="L1436" s="10" t="n"/>
      <c r="M1436">
        <f>IF(tblDowntime[[#This Row],[Maintenance Downtime Hours]]="","",tblDowntime[[#This Row],[Equipment ID]])</f>
        <v/>
      </c>
      <c r="N1436" s="1">
        <f>IF(tblDowntime[[#This Row],[Failure Type]]="Production",tblDowntime[[#This Row],[Downtime Hours]],"")</f>
        <v/>
      </c>
      <c r="O1436">
        <f>IF(tblDowntime[[#This Row],[Production Downtime Hours]]="","",tblDowntime[[#This Row],[Equipment ID]])</f>
        <v/>
      </c>
      <c r="P1436" s="10" t="n"/>
    </row>
    <row r="1437">
      <c r="B1437">
        <f t="array" ref="B1437">_xlfn.XLOOKUP(C1437,INDIRECT("tblEquipment[Equipment ID]"),INDIRECT("tblEquipment[Production Department]"),"")</f>
        <v/>
      </c>
      <c r="D1437">
        <f t="array" ref="D1437">_xlfn.XLOOKUP(C1437,INDIRECT("tblEquipment[Equipment ID]"),INDIRECT("tblEquipment[Equipment Name]"),"")</f>
        <v/>
      </c>
      <c r="F1437" s="16" t="n"/>
      <c r="G1437" s="16" t="n"/>
      <c r="H1437" s="1">
        <f>IF(OR(F1437=0,G1437=0),"",(G1437-F1437)*24)</f>
        <v/>
      </c>
      <c r="I1437" s="10" t="n"/>
      <c r="J1437" s="1">
        <f>IF(OR(tblDowntime[[#This Row],[Failure Type]]="Sawshop",tblDowntime[[#This Row],[Failure Type]]="Electrical",tblDowntime[[#This Row],[Failure Type]]="Mechanical"),tblDowntime[[#This Row],[Downtime Hours]],"")</f>
        <v/>
      </c>
      <c r="K1437" s="10" t="n"/>
      <c r="L1437" s="10" t="n"/>
      <c r="M1437">
        <f>IF(tblDowntime[[#This Row],[Maintenance Downtime Hours]]="","",tblDowntime[[#This Row],[Equipment ID]])</f>
        <v/>
      </c>
      <c r="N1437" s="1">
        <f>IF(tblDowntime[[#This Row],[Failure Type]]="Production",tblDowntime[[#This Row],[Downtime Hours]],"")</f>
        <v/>
      </c>
      <c r="O1437">
        <f>IF(tblDowntime[[#This Row],[Production Downtime Hours]]="","",tblDowntime[[#This Row],[Equipment ID]])</f>
        <v/>
      </c>
      <c r="P1437" s="10" t="n"/>
    </row>
    <row r="1438">
      <c r="B1438">
        <f t="array" ref="B1438">_xlfn.XLOOKUP(C1438,INDIRECT("tblEquipment[Equipment ID]"),INDIRECT("tblEquipment[Production Department]"),"")</f>
        <v/>
      </c>
      <c r="D1438">
        <f t="array" ref="D1438">_xlfn.XLOOKUP(C1438,INDIRECT("tblEquipment[Equipment ID]"),INDIRECT("tblEquipment[Equipment Name]"),"")</f>
        <v/>
      </c>
      <c r="F1438" s="16" t="n"/>
      <c r="G1438" s="16" t="n"/>
      <c r="H1438" s="1">
        <f>IF(OR(F1438=0,G1438=0),"",(G1438-F1438)*24)</f>
        <v/>
      </c>
      <c r="I1438" s="10" t="n"/>
      <c r="J1438" s="1">
        <f>IF(OR(tblDowntime[[#This Row],[Failure Type]]="Sawshop",tblDowntime[[#This Row],[Failure Type]]="Electrical",tblDowntime[[#This Row],[Failure Type]]="Mechanical"),tblDowntime[[#This Row],[Downtime Hours]],"")</f>
        <v/>
      </c>
      <c r="K1438" s="10" t="n"/>
      <c r="L1438" s="10" t="n"/>
      <c r="M1438">
        <f>IF(tblDowntime[[#This Row],[Maintenance Downtime Hours]]="","",tblDowntime[[#This Row],[Equipment ID]])</f>
        <v/>
      </c>
      <c r="N1438" s="1">
        <f>IF(tblDowntime[[#This Row],[Failure Type]]="Production",tblDowntime[[#This Row],[Downtime Hours]],"")</f>
        <v/>
      </c>
      <c r="O1438">
        <f>IF(tblDowntime[[#This Row],[Production Downtime Hours]]="","",tblDowntime[[#This Row],[Equipment ID]])</f>
        <v/>
      </c>
      <c r="P1438" s="10" t="n"/>
    </row>
    <row r="1439">
      <c r="B1439">
        <f t="array" ref="B1439">_xlfn.XLOOKUP(C1439,INDIRECT("tblEquipment[Equipment ID]"),INDIRECT("tblEquipment[Production Department]"),"")</f>
        <v/>
      </c>
      <c r="D1439">
        <f t="array" ref="D1439">_xlfn.XLOOKUP(C1439,INDIRECT("tblEquipment[Equipment ID]"),INDIRECT("tblEquipment[Equipment Name]"),"")</f>
        <v/>
      </c>
      <c r="F1439" s="16" t="n"/>
      <c r="G1439" s="16" t="n"/>
      <c r="H1439" s="1">
        <f>IF(OR(F1439=0,G1439=0),"",(G1439-F1439)*24)</f>
        <v/>
      </c>
      <c r="I1439" s="10" t="n"/>
      <c r="J1439" s="1">
        <f>IF(OR(tblDowntime[[#This Row],[Failure Type]]="Sawshop",tblDowntime[[#This Row],[Failure Type]]="Electrical",tblDowntime[[#This Row],[Failure Type]]="Mechanical"),tblDowntime[[#This Row],[Downtime Hours]],"")</f>
        <v/>
      </c>
      <c r="K1439" s="10" t="n"/>
      <c r="L1439" s="10" t="n"/>
      <c r="M1439">
        <f>IF(tblDowntime[[#This Row],[Maintenance Downtime Hours]]="","",tblDowntime[[#This Row],[Equipment ID]])</f>
        <v/>
      </c>
      <c r="N1439" s="1">
        <f>IF(tblDowntime[[#This Row],[Failure Type]]="Production",tblDowntime[[#This Row],[Downtime Hours]],"")</f>
        <v/>
      </c>
      <c r="O1439">
        <f>IF(tblDowntime[[#This Row],[Production Downtime Hours]]="","",tblDowntime[[#This Row],[Equipment ID]])</f>
        <v/>
      </c>
      <c r="P1439" s="10" t="n"/>
    </row>
    <row r="1440">
      <c r="B1440">
        <f t="array" ref="B1440">_xlfn.XLOOKUP(C1440,INDIRECT("tblEquipment[Equipment ID]"),INDIRECT("tblEquipment[Production Department]"),"")</f>
        <v/>
      </c>
      <c r="D1440">
        <f t="array" ref="D1440">_xlfn.XLOOKUP(C1440,INDIRECT("tblEquipment[Equipment ID]"),INDIRECT("tblEquipment[Equipment Name]"),"")</f>
        <v/>
      </c>
      <c r="F1440" s="16" t="n"/>
      <c r="G1440" s="16" t="n"/>
      <c r="H1440" s="1">
        <f>IF(OR(F1440=0,G1440=0),"",(G1440-F1440)*24)</f>
        <v/>
      </c>
      <c r="I1440" s="10" t="n"/>
      <c r="J1440" s="1">
        <f>IF(OR(tblDowntime[[#This Row],[Failure Type]]="Sawshop",tblDowntime[[#This Row],[Failure Type]]="Electrical",tblDowntime[[#This Row],[Failure Type]]="Mechanical"),tblDowntime[[#This Row],[Downtime Hours]],"")</f>
        <v/>
      </c>
      <c r="K1440" s="10" t="n"/>
      <c r="L1440" s="10" t="n"/>
      <c r="M1440">
        <f>IF(tblDowntime[[#This Row],[Maintenance Downtime Hours]]="","",tblDowntime[[#This Row],[Equipment ID]])</f>
        <v/>
      </c>
      <c r="N1440" s="1">
        <f>IF(tblDowntime[[#This Row],[Failure Type]]="Production",tblDowntime[[#This Row],[Downtime Hours]],"")</f>
        <v/>
      </c>
      <c r="O1440">
        <f>IF(tblDowntime[[#This Row],[Production Downtime Hours]]="","",tblDowntime[[#This Row],[Equipment ID]])</f>
        <v/>
      </c>
      <c r="P1440" s="10" t="n"/>
    </row>
    <row r="1441">
      <c r="B1441">
        <f t="array" ref="B1441">_xlfn.XLOOKUP(C1441,INDIRECT("tblEquipment[Equipment ID]"),INDIRECT("tblEquipment[Production Department]"),"")</f>
        <v/>
      </c>
      <c r="D1441">
        <f t="array" ref="D1441">_xlfn.XLOOKUP(C1441,INDIRECT("tblEquipment[Equipment ID]"),INDIRECT("tblEquipment[Equipment Name]"),"")</f>
        <v/>
      </c>
      <c r="F1441" s="16" t="n"/>
      <c r="G1441" s="16" t="n"/>
      <c r="H1441" s="1">
        <f>IF(OR(F1441=0,G1441=0),"",(G1441-F1441)*24)</f>
        <v/>
      </c>
      <c r="I1441" s="10" t="n"/>
      <c r="J1441" s="1">
        <f>IF(OR(tblDowntime[[#This Row],[Failure Type]]="Sawshop",tblDowntime[[#This Row],[Failure Type]]="Electrical",tblDowntime[[#This Row],[Failure Type]]="Mechanical"),tblDowntime[[#This Row],[Downtime Hours]],"")</f>
        <v/>
      </c>
      <c r="K1441" s="10" t="n"/>
      <c r="L1441" s="10" t="n"/>
      <c r="M1441">
        <f>IF(tblDowntime[[#This Row],[Maintenance Downtime Hours]]="","",tblDowntime[[#This Row],[Equipment ID]])</f>
        <v/>
      </c>
      <c r="N1441" s="1">
        <f>IF(tblDowntime[[#This Row],[Failure Type]]="Production",tblDowntime[[#This Row],[Downtime Hours]],"")</f>
        <v/>
      </c>
      <c r="O1441">
        <f>IF(tblDowntime[[#This Row],[Production Downtime Hours]]="","",tblDowntime[[#This Row],[Equipment ID]])</f>
        <v/>
      </c>
      <c r="P1441" s="10" t="n"/>
    </row>
    <row r="1442">
      <c r="B1442">
        <f t="array" ref="B1442">_xlfn.XLOOKUP(C1442,INDIRECT("tblEquipment[Equipment ID]"),INDIRECT("tblEquipment[Production Department]"),"")</f>
        <v/>
      </c>
      <c r="D1442">
        <f t="array" ref="D1442">_xlfn.XLOOKUP(C1442,INDIRECT("tblEquipment[Equipment ID]"),INDIRECT("tblEquipment[Equipment Name]"),"")</f>
        <v/>
      </c>
      <c r="F1442" s="16" t="n"/>
      <c r="G1442" s="16" t="n"/>
      <c r="H1442" s="1">
        <f>IF(OR(F1442=0,G1442=0),"",(G1442-F1442)*24)</f>
        <v/>
      </c>
      <c r="I1442" s="10" t="n"/>
      <c r="J1442" s="1">
        <f>IF(OR(tblDowntime[[#This Row],[Failure Type]]="Sawshop",tblDowntime[[#This Row],[Failure Type]]="Electrical",tblDowntime[[#This Row],[Failure Type]]="Mechanical"),tblDowntime[[#This Row],[Downtime Hours]],"")</f>
        <v/>
      </c>
      <c r="K1442" s="10" t="n"/>
      <c r="L1442" s="10" t="n"/>
      <c r="M1442">
        <f>IF(tblDowntime[[#This Row],[Maintenance Downtime Hours]]="","",tblDowntime[[#This Row],[Equipment ID]])</f>
        <v/>
      </c>
      <c r="N1442" s="1">
        <f>IF(tblDowntime[[#This Row],[Failure Type]]="Production",tblDowntime[[#This Row],[Downtime Hours]],"")</f>
        <v/>
      </c>
      <c r="O1442">
        <f>IF(tblDowntime[[#This Row],[Production Downtime Hours]]="","",tblDowntime[[#This Row],[Equipment ID]])</f>
        <v/>
      </c>
      <c r="P1442" s="10" t="n"/>
    </row>
    <row r="1443">
      <c r="B1443">
        <f t="array" ref="B1443">_xlfn.XLOOKUP(C1443,INDIRECT("tblEquipment[Equipment ID]"),INDIRECT("tblEquipment[Production Department]"),"")</f>
        <v/>
      </c>
      <c r="D1443">
        <f t="array" ref="D1443">_xlfn.XLOOKUP(C1443,INDIRECT("tblEquipment[Equipment ID]"),INDIRECT("tblEquipment[Equipment Name]"),"")</f>
        <v/>
      </c>
      <c r="F1443" s="16" t="n"/>
      <c r="G1443" s="16" t="n"/>
      <c r="H1443" s="1">
        <f>IF(OR(F1443=0,G1443=0),"",(G1443-F1443)*24)</f>
        <v/>
      </c>
      <c r="I1443" s="10" t="n"/>
      <c r="J1443" s="1">
        <f>IF(OR(tblDowntime[[#This Row],[Failure Type]]="Sawshop",tblDowntime[[#This Row],[Failure Type]]="Electrical",tblDowntime[[#This Row],[Failure Type]]="Mechanical"),tblDowntime[[#This Row],[Downtime Hours]],"")</f>
        <v/>
      </c>
      <c r="K1443" s="10" t="n"/>
      <c r="L1443" s="10" t="n"/>
      <c r="M1443">
        <f>IF(tblDowntime[[#This Row],[Maintenance Downtime Hours]]="","",tblDowntime[[#This Row],[Equipment ID]])</f>
        <v/>
      </c>
      <c r="N1443" s="1">
        <f>IF(tblDowntime[[#This Row],[Failure Type]]="Production",tblDowntime[[#This Row],[Downtime Hours]],"")</f>
        <v/>
      </c>
      <c r="O1443">
        <f>IF(tblDowntime[[#This Row],[Production Downtime Hours]]="","",tblDowntime[[#This Row],[Equipment ID]])</f>
        <v/>
      </c>
      <c r="P1443" s="10" t="n"/>
    </row>
    <row r="1444">
      <c r="B1444">
        <f t="array" ref="B1444">_xlfn.XLOOKUP(C1444,INDIRECT("tblEquipment[Equipment ID]"),INDIRECT("tblEquipment[Production Department]"),"")</f>
        <v/>
      </c>
      <c r="D1444">
        <f t="array" ref="D1444">_xlfn.XLOOKUP(C1444,INDIRECT("tblEquipment[Equipment ID]"),INDIRECT("tblEquipment[Equipment Name]"),"")</f>
        <v/>
      </c>
      <c r="F1444" s="16" t="n"/>
      <c r="G1444" s="16" t="n"/>
      <c r="H1444" s="1">
        <f>IF(OR(F1444=0,G1444=0),"",(G1444-F1444)*24)</f>
        <v/>
      </c>
      <c r="I1444" s="10" t="n"/>
      <c r="J1444" s="1">
        <f>IF(OR(tblDowntime[[#This Row],[Failure Type]]="Sawshop",tblDowntime[[#This Row],[Failure Type]]="Electrical",tblDowntime[[#This Row],[Failure Type]]="Mechanical"),tblDowntime[[#This Row],[Downtime Hours]],"")</f>
        <v/>
      </c>
      <c r="K1444" s="10" t="n"/>
      <c r="L1444" s="10" t="n"/>
      <c r="M1444">
        <f>IF(tblDowntime[[#This Row],[Maintenance Downtime Hours]]="","",tblDowntime[[#This Row],[Equipment ID]])</f>
        <v/>
      </c>
      <c r="N1444" s="1">
        <f>IF(tblDowntime[[#This Row],[Failure Type]]="Production",tblDowntime[[#This Row],[Downtime Hours]],"")</f>
        <v/>
      </c>
      <c r="O1444">
        <f>IF(tblDowntime[[#This Row],[Production Downtime Hours]]="","",tblDowntime[[#This Row],[Equipment ID]])</f>
        <v/>
      </c>
      <c r="P1444" s="10" t="n"/>
    </row>
    <row r="1445">
      <c r="B1445">
        <f t="array" ref="B1445">_xlfn.XLOOKUP(C1445,INDIRECT("tblEquipment[Equipment ID]"),INDIRECT("tblEquipment[Production Department]"),"")</f>
        <v/>
      </c>
      <c r="D1445">
        <f t="array" ref="D1445">_xlfn.XLOOKUP(C1445,INDIRECT("tblEquipment[Equipment ID]"),INDIRECT("tblEquipment[Equipment Name]"),"")</f>
        <v/>
      </c>
      <c r="F1445" s="16" t="n"/>
      <c r="G1445" s="16" t="n"/>
      <c r="H1445" s="1">
        <f>IF(OR(F1445=0,G1445=0),"",(G1445-F1445)*24)</f>
        <v/>
      </c>
      <c r="I1445" s="10" t="n"/>
      <c r="J1445" s="1">
        <f>IF(OR(tblDowntime[[#This Row],[Failure Type]]="Sawshop",tblDowntime[[#This Row],[Failure Type]]="Electrical",tblDowntime[[#This Row],[Failure Type]]="Mechanical"),tblDowntime[[#This Row],[Downtime Hours]],"")</f>
        <v/>
      </c>
      <c r="K1445" s="10" t="n"/>
      <c r="L1445" s="10" t="n"/>
      <c r="M1445">
        <f>IF(tblDowntime[[#This Row],[Maintenance Downtime Hours]]="","",tblDowntime[[#This Row],[Equipment ID]])</f>
        <v/>
      </c>
      <c r="N1445" s="1">
        <f>IF(tblDowntime[[#This Row],[Failure Type]]="Production",tblDowntime[[#This Row],[Downtime Hours]],"")</f>
        <v/>
      </c>
      <c r="O1445">
        <f>IF(tblDowntime[[#This Row],[Production Downtime Hours]]="","",tblDowntime[[#This Row],[Equipment ID]])</f>
        <v/>
      </c>
      <c r="P1445" s="10" t="n"/>
    </row>
    <row r="1446">
      <c r="B1446">
        <f t="array" ref="B1446">_xlfn.XLOOKUP(C1446,INDIRECT("tblEquipment[Equipment ID]"),INDIRECT("tblEquipment[Production Department]"),"")</f>
        <v/>
      </c>
      <c r="D1446">
        <f t="array" ref="D1446">_xlfn.XLOOKUP(C1446,INDIRECT("tblEquipment[Equipment ID]"),INDIRECT("tblEquipment[Equipment Name]"),"")</f>
        <v/>
      </c>
      <c r="F1446" s="16" t="n"/>
      <c r="G1446" s="16" t="n"/>
      <c r="H1446" s="1">
        <f>IF(OR(F1446=0,G1446=0),"",(G1446-F1446)*24)</f>
        <v/>
      </c>
      <c r="I1446" s="10" t="n"/>
      <c r="J1446" s="1">
        <f>IF(OR(tblDowntime[[#This Row],[Failure Type]]="Sawshop",tblDowntime[[#This Row],[Failure Type]]="Electrical",tblDowntime[[#This Row],[Failure Type]]="Mechanical"),tblDowntime[[#This Row],[Downtime Hours]],"")</f>
        <v/>
      </c>
      <c r="K1446" s="10" t="n"/>
      <c r="L1446" s="10" t="n"/>
      <c r="M1446">
        <f>IF(tblDowntime[[#This Row],[Maintenance Downtime Hours]]="","",tblDowntime[[#This Row],[Equipment ID]])</f>
        <v/>
      </c>
      <c r="N1446" s="1">
        <f>IF(tblDowntime[[#This Row],[Failure Type]]="Production",tblDowntime[[#This Row],[Downtime Hours]],"")</f>
        <v/>
      </c>
      <c r="O1446">
        <f>IF(tblDowntime[[#This Row],[Production Downtime Hours]]="","",tblDowntime[[#This Row],[Equipment ID]])</f>
        <v/>
      </c>
      <c r="P1446" s="10" t="n"/>
    </row>
    <row r="1447">
      <c r="B1447">
        <f t="array" ref="B1447">_xlfn.XLOOKUP(C1447,INDIRECT("tblEquipment[Equipment ID]"),INDIRECT("tblEquipment[Production Department]"),"")</f>
        <v/>
      </c>
      <c r="D1447">
        <f t="array" ref="D1447">_xlfn.XLOOKUP(C1447,INDIRECT("tblEquipment[Equipment ID]"),INDIRECT("tblEquipment[Equipment Name]"),"")</f>
        <v/>
      </c>
      <c r="F1447" s="16" t="n"/>
      <c r="G1447" s="16" t="n"/>
      <c r="H1447" s="1">
        <f>IF(OR(F1447=0,G1447=0),"",(G1447-F1447)*24)</f>
        <v/>
      </c>
      <c r="I1447" s="10" t="n"/>
      <c r="J1447" s="1">
        <f>IF(OR(tblDowntime[[#This Row],[Failure Type]]="Sawshop",tblDowntime[[#This Row],[Failure Type]]="Electrical",tblDowntime[[#This Row],[Failure Type]]="Mechanical"),tblDowntime[[#This Row],[Downtime Hours]],"")</f>
        <v/>
      </c>
      <c r="K1447" s="10" t="n"/>
      <c r="L1447" s="10" t="n"/>
      <c r="M1447">
        <f>IF(tblDowntime[[#This Row],[Maintenance Downtime Hours]]="","",tblDowntime[[#This Row],[Equipment ID]])</f>
        <v/>
      </c>
      <c r="N1447" s="1">
        <f>IF(tblDowntime[[#This Row],[Failure Type]]="Production",tblDowntime[[#This Row],[Downtime Hours]],"")</f>
        <v/>
      </c>
      <c r="O1447">
        <f>IF(tblDowntime[[#This Row],[Production Downtime Hours]]="","",tblDowntime[[#This Row],[Equipment ID]])</f>
        <v/>
      </c>
      <c r="P1447" s="10" t="n"/>
    </row>
    <row r="1448">
      <c r="B1448">
        <f t="array" ref="B1448">_xlfn.XLOOKUP(C1448,INDIRECT("tblEquipment[Equipment ID]"),INDIRECT("tblEquipment[Production Department]"),"")</f>
        <v/>
      </c>
      <c r="D1448">
        <f t="array" ref="D1448">_xlfn.XLOOKUP(C1448,INDIRECT("tblEquipment[Equipment ID]"),INDIRECT("tblEquipment[Equipment Name]"),"")</f>
        <v/>
      </c>
      <c r="F1448" s="16" t="n"/>
      <c r="G1448" s="16" t="n"/>
      <c r="H1448" s="1">
        <f>IF(OR(F1448=0,G1448=0),"",(G1448-F1448)*24)</f>
        <v/>
      </c>
      <c r="I1448" s="10" t="n"/>
      <c r="J1448" s="1">
        <f>IF(OR(tblDowntime[[#This Row],[Failure Type]]="Sawshop",tblDowntime[[#This Row],[Failure Type]]="Electrical",tblDowntime[[#This Row],[Failure Type]]="Mechanical"),tblDowntime[[#This Row],[Downtime Hours]],"")</f>
        <v/>
      </c>
      <c r="K1448" s="10" t="n"/>
      <c r="L1448" s="10" t="n"/>
      <c r="M1448">
        <f>IF(tblDowntime[[#This Row],[Maintenance Downtime Hours]]="","",tblDowntime[[#This Row],[Equipment ID]])</f>
        <v/>
      </c>
      <c r="N1448" s="1">
        <f>IF(tblDowntime[[#This Row],[Failure Type]]="Production",tblDowntime[[#This Row],[Downtime Hours]],"")</f>
        <v/>
      </c>
      <c r="O1448">
        <f>IF(tblDowntime[[#This Row],[Production Downtime Hours]]="","",tblDowntime[[#This Row],[Equipment ID]])</f>
        <v/>
      </c>
      <c r="P1448" s="10" t="n"/>
    </row>
    <row r="1449">
      <c r="B1449">
        <f t="array" ref="B1449">_xlfn.XLOOKUP(C1449,INDIRECT("tblEquipment[Equipment ID]"),INDIRECT("tblEquipment[Production Department]"),"")</f>
        <v/>
      </c>
      <c r="D1449">
        <f t="array" ref="D1449">_xlfn.XLOOKUP(C1449,INDIRECT("tblEquipment[Equipment ID]"),INDIRECT("tblEquipment[Equipment Name]"),"")</f>
        <v/>
      </c>
      <c r="F1449" s="16" t="n"/>
      <c r="G1449" s="16" t="n"/>
      <c r="H1449" s="1">
        <f>IF(OR(F1449=0,G1449=0),"",(G1449-F1449)*24)</f>
        <v/>
      </c>
      <c r="I1449" s="10" t="n"/>
      <c r="J1449" s="1">
        <f>IF(OR(tblDowntime[[#This Row],[Failure Type]]="Sawshop",tblDowntime[[#This Row],[Failure Type]]="Electrical",tblDowntime[[#This Row],[Failure Type]]="Mechanical"),tblDowntime[[#This Row],[Downtime Hours]],"")</f>
        <v/>
      </c>
      <c r="K1449" s="10" t="n"/>
      <c r="L1449" s="10" t="n"/>
      <c r="M1449">
        <f>IF(tblDowntime[[#This Row],[Maintenance Downtime Hours]]="","",tblDowntime[[#This Row],[Equipment ID]])</f>
        <v/>
      </c>
      <c r="N1449" s="1">
        <f>IF(tblDowntime[[#This Row],[Failure Type]]="Production",tblDowntime[[#This Row],[Downtime Hours]],"")</f>
        <v/>
      </c>
      <c r="O1449">
        <f>IF(tblDowntime[[#This Row],[Production Downtime Hours]]="","",tblDowntime[[#This Row],[Equipment ID]])</f>
        <v/>
      </c>
      <c r="P1449" s="10" t="n"/>
    </row>
    <row r="1450">
      <c r="B1450">
        <f t="array" ref="B1450">_xlfn.XLOOKUP(C1450,INDIRECT("tblEquipment[Equipment ID]"),INDIRECT("tblEquipment[Production Department]"),"")</f>
        <v/>
      </c>
      <c r="D1450">
        <f t="array" ref="D1450">_xlfn.XLOOKUP(C1450,INDIRECT("tblEquipment[Equipment ID]"),INDIRECT("tblEquipment[Equipment Name]"),"")</f>
        <v/>
      </c>
      <c r="F1450" s="16" t="n"/>
      <c r="G1450" s="16" t="n"/>
      <c r="H1450" s="1">
        <f>IF(OR(F1450=0,G1450=0),"",(G1450-F1450)*24)</f>
        <v/>
      </c>
      <c r="I1450" s="10" t="n"/>
      <c r="J1450" s="1">
        <f>IF(OR(tblDowntime[[#This Row],[Failure Type]]="Sawshop",tblDowntime[[#This Row],[Failure Type]]="Electrical",tblDowntime[[#This Row],[Failure Type]]="Mechanical"),tblDowntime[[#This Row],[Downtime Hours]],"")</f>
        <v/>
      </c>
      <c r="K1450" s="10" t="n"/>
      <c r="L1450" s="10" t="n"/>
      <c r="M1450">
        <f>IF(tblDowntime[[#This Row],[Maintenance Downtime Hours]]="","",tblDowntime[[#This Row],[Equipment ID]])</f>
        <v/>
      </c>
      <c r="N1450" s="1">
        <f>IF(tblDowntime[[#This Row],[Failure Type]]="Production",tblDowntime[[#This Row],[Downtime Hours]],"")</f>
        <v/>
      </c>
      <c r="O1450">
        <f>IF(tblDowntime[[#This Row],[Production Downtime Hours]]="","",tblDowntime[[#This Row],[Equipment ID]])</f>
        <v/>
      </c>
      <c r="P1450" s="10" t="n"/>
    </row>
    <row r="1451">
      <c r="B1451">
        <f t="array" ref="B1451">_xlfn.XLOOKUP(C1451,INDIRECT("tblEquipment[Equipment ID]"),INDIRECT("tblEquipment[Production Department]"),"")</f>
        <v/>
      </c>
      <c r="D1451">
        <f t="array" ref="D1451">_xlfn.XLOOKUP(C1451,INDIRECT("tblEquipment[Equipment ID]"),INDIRECT("tblEquipment[Equipment Name]"),"")</f>
        <v/>
      </c>
      <c r="F1451" s="16" t="n"/>
      <c r="G1451" s="16" t="n"/>
      <c r="H1451" s="1">
        <f>IF(OR(F1451=0,G1451=0),"",(G1451-F1451)*24)</f>
        <v/>
      </c>
      <c r="I1451" s="10" t="n"/>
      <c r="J1451" s="1">
        <f>IF(OR(tblDowntime[[#This Row],[Failure Type]]="Sawshop",tblDowntime[[#This Row],[Failure Type]]="Electrical",tblDowntime[[#This Row],[Failure Type]]="Mechanical"),tblDowntime[[#This Row],[Downtime Hours]],"")</f>
        <v/>
      </c>
      <c r="K1451" s="10" t="n"/>
      <c r="L1451" s="10" t="n"/>
      <c r="M1451">
        <f>IF(tblDowntime[[#This Row],[Maintenance Downtime Hours]]="","",tblDowntime[[#This Row],[Equipment ID]])</f>
        <v/>
      </c>
      <c r="N1451" s="1">
        <f>IF(tblDowntime[[#This Row],[Failure Type]]="Production",tblDowntime[[#This Row],[Downtime Hours]],"")</f>
        <v/>
      </c>
      <c r="O1451">
        <f>IF(tblDowntime[[#This Row],[Production Downtime Hours]]="","",tblDowntime[[#This Row],[Equipment ID]])</f>
        <v/>
      </c>
      <c r="P1451" s="10" t="n"/>
    </row>
    <row r="1452">
      <c r="B1452">
        <f t="array" ref="B1452">_xlfn.XLOOKUP(C1452,INDIRECT("tblEquipment[Equipment ID]"),INDIRECT("tblEquipment[Production Department]"),"")</f>
        <v/>
      </c>
      <c r="D1452">
        <f t="array" ref="D1452">_xlfn.XLOOKUP(C1452,INDIRECT("tblEquipment[Equipment ID]"),INDIRECT("tblEquipment[Equipment Name]"),"")</f>
        <v/>
      </c>
      <c r="F1452" s="16" t="n"/>
      <c r="G1452" s="16" t="n"/>
      <c r="H1452" s="1">
        <f>IF(OR(F1452=0,G1452=0),"",(G1452-F1452)*24)</f>
        <v/>
      </c>
      <c r="I1452" s="10" t="n"/>
      <c r="J1452" s="1">
        <f>IF(OR(tblDowntime[[#This Row],[Failure Type]]="Sawshop",tblDowntime[[#This Row],[Failure Type]]="Electrical",tblDowntime[[#This Row],[Failure Type]]="Mechanical"),tblDowntime[[#This Row],[Downtime Hours]],"")</f>
        <v/>
      </c>
      <c r="K1452" s="10" t="n"/>
      <c r="L1452" s="10" t="n"/>
      <c r="M1452">
        <f>IF(tblDowntime[[#This Row],[Maintenance Downtime Hours]]="","",tblDowntime[[#This Row],[Equipment ID]])</f>
        <v/>
      </c>
      <c r="N1452" s="1">
        <f>IF(tblDowntime[[#This Row],[Failure Type]]="Production",tblDowntime[[#This Row],[Downtime Hours]],"")</f>
        <v/>
      </c>
      <c r="O1452">
        <f>IF(tblDowntime[[#This Row],[Production Downtime Hours]]="","",tblDowntime[[#This Row],[Equipment ID]])</f>
        <v/>
      </c>
      <c r="P1452" s="10" t="n"/>
    </row>
    <row r="1453">
      <c r="B1453">
        <f t="array" ref="B1453">_xlfn.XLOOKUP(C1453,INDIRECT("tblEquipment[Equipment ID]"),INDIRECT("tblEquipment[Production Department]"),"")</f>
        <v/>
      </c>
      <c r="D1453">
        <f t="array" ref="D1453">_xlfn.XLOOKUP(C1453,INDIRECT("tblEquipment[Equipment ID]"),INDIRECT("tblEquipment[Equipment Name]"),"")</f>
        <v/>
      </c>
      <c r="F1453" s="16" t="n"/>
      <c r="G1453" s="16" t="n"/>
      <c r="H1453" s="1">
        <f>IF(OR(F1453=0,G1453=0),"",(G1453-F1453)*24)</f>
        <v/>
      </c>
      <c r="I1453" s="10" t="n"/>
      <c r="J1453" s="1">
        <f>IF(OR(tblDowntime[[#This Row],[Failure Type]]="Sawshop",tblDowntime[[#This Row],[Failure Type]]="Electrical",tblDowntime[[#This Row],[Failure Type]]="Mechanical"),tblDowntime[[#This Row],[Downtime Hours]],"")</f>
        <v/>
      </c>
      <c r="K1453" s="10" t="n"/>
      <c r="L1453" s="10" t="n"/>
      <c r="M1453">
        <f>IF(tblDowntime[[#This Row],[Maintenance Downtime Hours]]="","",tblDowntime[[#This Row],[Equipment ID]])</f>
        <v/>
      </c>
      <c r="N1453" s="1">
        <f>IF(tblDowntime[[#This Row],[Failure Type]]="Production",tblDowntime[[#This Row],[Downtime Hours]],"")</f>
        <v/>
      </c>
      <c r="O1453">
        <f>IF(tblDowntime[[#This Row],[Production Downtime Hours]]="","",tblDowntime[[#This Row],[Equipment ID]])</f>
        <v/>
      </c>
      <c r="P1453" s="10" t="n"/>
    </row>
    <row r="1454">
      <c r="B1454">
        <f t="array" ref="B1454">_xlfn.XLOOKUP(C1454,INDIRECT("tblEquipment[Equipment ID]"),INDIRECT("tblEquipment[Production Department]"),"")</f>
        <v/>
      </c>
      <c r="D1454">
        <f t="array" ref="D1454">_xlfn.XLOOKUP(C1454,INDIRECT("tblEquipment[Equipment ID]"),INDIRECT("tblEquipment[Equipment Name]"),"")</f>
        <v/>
      </c>
      <c r="F1454" s="16" t="n"/>
      <c r="G1454" s="16" t="n"/>
      <c r="H1454" s="1">
        <f>IF(OR(F1454=0,G1454=0),"",(G1454-F1454)*24)</f>
        <v/>
      </c>
      <c r="I1454" s="10" t="n"/>
      <c r="J1454" s="1">
        <f>IF(OR(tblDowntime[[#This Row],[Failure Type]]="Sawshop",tblDowntime[[#This Row],[Failure Type]]="Electrical",tblDowntime[[#This Row],[Failure Type]]="Mechanical"),tblDowntime[[#This Row],[Downtime Hours]],"")</f>
        <v/>
      </c>
      <c r="K1454" s="10" t="n"/>
      <c r="L1454" s="10" t="n"/>
      <c r="M1454">
        <f>IF(tblDowntime[[#This Row],[Maintenance Downtime Hours]]="","",tblDowntime[[#This Row],[Equipment ID]])</f>
        <v/>
      </c>
      <c r="N1454" s="1">
        <f>IF(tblDowntime[[#This Row],[Failure Type]]="Production",tblDowntime[[#This Row],[Downtime Hours]],"")</f>
        <v/>
      </c>
      <c r="O1454">
        <f>IF(tblDowntime[[#This Row],[Production Downtime Hours]]="","",tblDowntime[[#This Row],[Equipment ID]])</f>
        <v/>
      </c>
      <c r="P1454" s="10" t="n"/>
    </row>
    <row r="1455">
      <c r="B1455">
        <f t="array" ref="B1455">_xlfn.XLOOKUP(C1455,INDIRECT("tblEquipment[Equipment ID]"),INDIRECT("tblEquipment[Production Department]"),"")</f>
        <v/>
      </c>
      <c r="D1455">
        <f t="array" ref="D1455">_xlfn.XLOOKUP(C1455,INDIRECT("tblEquipment[Equipment ID]"),INDIRECT("tblEquipment[Equipment Name]"),"")</f>
        <v/>
      </c>
      <c r="F1455" s="16" t="n"/>
      <c r="G1455" s="16" t="n"/>
      <c r="H1455" s="1">
        <f>IF(OR(F1455=0,G1455=0),"",(G1455-F1455)*24)</f>
        <v/>
      </c>
      <c r="I1455" s="10" t="n"/>
      <c r="J1455" s="1">
        <f>IF(OR(tblDowntime[[#This Row],[Failure Type]]="Sawshop",tblDowntime[[#This Row],[Failure Type]]="Electrical",tblDowntime[[#This Row],[Failure Type]]="Mechanical"),tblDowntime[[#This Row],[Downtime Hours]],"")</f>
        <v/>
      </c>
      <c r="K1455" s="10" t="n"/>
      <c r="L1455" s="10" t="n"/>
      <c r="M1455">
        <f>IF(tblDowntime[[#This Row],[Maintenance Downtime Hours]]="","",tblDowntime[[#This Row],[Equipment ID]])</f>
        <v/>
      </c>
      <c r="N1455" s="1">
        <f>IF(tblDowntime[[#This Row],[Failure Type]]="Production",tblDowntime[[#This Row],[Downtime Hours]],"")</f>
        <v/>
      </c>
      <c r="O1455">
        <f>IF(tblDowntime[[#This Row],[Production Downtime Hours]]="","",tblDowntime[[#This Row],[Equipment ID]])</f>
        <v/>
      </c>
      <c r="P1455" s="10" t="n"/>
    </row>
    <row r="1456">
      <c r="B1456">
        <f t="array" ref="B1456">_xlfn.XLOOKUP(C1456,INDIRECT("tblEquipment[Equipment ID]"),INDIRECT("tblEquipment[Production Department]"),"")</f>
        <v/>
      </c>
      <c r="D1456">
        <f t="array" ref="D1456">_xlfn.XLOOKUP(C1456,INDIRECT("tblEquipment[Equipment ID]"),INDIRECT("tblEquipment[Equipment Name]"),"")</f>
        <v/>
      </c>
      <c r="F1456" s="16" t="n"/>
      <c r="G1456" s="16" t="n"/>
      <c r="H1456" s="1">
        <f>IF(OR(F1456=0,G1456=0),"",(G1456-F1456)*24)</f>
        <v/>
      </c>
      <c r="I1456" s="10" t="n"/>
      <c r="J1456" s="1">
        <f>IF(OR(tblDowntime[[#This Row],[Failure Type]]="Sawshop",tblDowntime[[#This Row],[Failure Type]]="Electrical",tblDowntime[[#This Row],[Failure Type]]="Mechanical"),tblDowntime[[#This Row],[Downtime Hours]],"")</f>
        <v/>
      </c>
      <c r="K1456" s="10" t="n"/>
      <c r="L1456" s="10" t="n"/>
      <c r="M1456">
        <f>IF(tblDowntime[[#This Row],[Maintenance Downtime Hours]]="","",tblDowntime[[#This Row],[Equipment ID]])</f>
        <v/>
      </c>
      <c r="N1456" s="1">
        <f>IF(tblDowntime[[#This Row],[Failure Type]]="Production",tblDowntime[[#This Row],[Downtime Hours]],"")</f>
        <v/>
      </c>
      <c r="O1456">
        <f>IF(tblDowntime[[#This Row],[Production Downtime Hours]]="","",tblDowntime[[#This Row],[Equipment ID]])</f>
        <v/>
      </c>
      <c r="P1456" s="10" t="n"/>
    </row>
    <row r="1457">
      <c r="B1457">
        <f t="array" ref="B1457">_xlfn.XLOOKUP(C1457,INDIRECT("tblEquipment[Equipment ID]"),INDIRECT("tblEquipment[Production Department]"),"")</f>
        <v/>
      </c>
      <c r="D1457">
        <f t="array" ref="D1457">_xlfn.XLOOKUP(C1457,INDIRECT("tblEquipment[Equipment ID]"),INDIRECT("tblEquipment[Equipment Name]"),"")</f>
        <v/>
      </c>
      <c r="F1457" s="16" t="n"/>
      <c r="G1457" s="16" t="n"/>
      <c r="H1457" s="1">
        <f>IF(OR(F1457=0,G1457=0),"",(G1457-F1457)*24)</f>
        <v/>
      </c>
      <c r="I1457" s="10" t="n"/>
      <c r="J1457" s="1">
        <f>IF(OR(tblDowntime[[#This Row],[Failure Type]]="Sawshop",tblDowntime[[#This Row],[Failure Type]]="Electrical",tblDowntime[[#This Row],[Failure Type]]="Mechanical"),tblDowntime[[#This Row],[Downtime Hours]],"")</f>
        <v/>
      </c>
      <c r="K1457" s="10" t="n"/>
      <c r="L1457" s="10" t="n"/>
      <c r="M1457">
        <f>IF(tblDowntime[[#This Row],[Maintenance Downtime Hours]]="","",tblDowntime[[#This Row],[Equipment ID]])</f>
        <v/>
      </c>
      <c r="N1457" s="1">
        <f>IF(tblDowntime[[#This Row],[Failure Type]]="Production",tblDowntime[[#This Row],[Downtime Hours]],"")</f>
        <v/>
      </c>
      <c r="O1457">
        <f>IF(tblDowntime[[#This Row],[Production Downtime Hours]]="","",tblDowntime[[#This Row],[Equipment ID]])</f>
        <v/>
      </c>
      <c r="P1457" s="10" t="n"/>
    </row>
    <row r="1458">
      <c r="B1458">
        <f t="array" ref="B1458">_xlfn.XLOOKUP(C1458,INDIRECT("tblEquipment[Equipment ID]"),INDIRECT("tblEquipment[Production Department]"),"")</f>
        <v/>
      </c>
      <c r="D1458">
        <f t="array" ref="D1458">_xlfn.XLOOKUP(C1458,INDIRECT("tblEquipment[Equipment ID]"),INDIRECT("tblEquipment[Equipment Name]"),"")</f>
        <v/>
      </c>
      <c r="F1458" s="16" t="n"/>
      <c r="G1458" s="16" t="n"/>
      <c r="H1458" s="1">
        <f>IF(OR(F1458=0,G1458=0),"",(G1458-F1458)*24)</f>
        <v/>
      </c>
      <c r="I1458" s="10" t="n"/>
      <c r="J1458" s="1">
        <f>IF(OR(tblDowntime[[#This Row],[Failure Type]]="Sawshop",tblDowntime[[#This Row],[Failure Type]]="Electrical",tblDowntime[[#This Row],[Failure Type]]="Mechanical"),tblDowntime[[#This Row],[Downtime Hours]],"")</f>
        <v/>
      </c>
      <c r="K1458" s="10" t="n"/>
      <c r="L1458" s="10" t="n"/>
      <c r="M1458">
        <f>IF(tblDowntime[[#This Row],[Maintenance Downtime Hours]]="","",tblDowntime[[#This Row],[Equipment ID]])</f>
        <v/>
      </c>
      <c r="N1458" s="1">
        <f>IF(tblDowntime[[#This Row],[Failure Type]]="Production",tblDowntime[[#This Row],[Downtime Hours]],"")</f>
        <v/>
      </c>
      <c r="O1458">
        <f>IF(tblDowntime[[#This Row],[Production Downtime Hours]]="","",tblDowntime[[#This Row],[Equipment ID]])</f>
        <v/>
      </c>
      <c r="P1458" s="10" t="n"/>
    </row>
    <row r="1459">
      <c r="B1459">
        <f t="array" ref="B1459">_xlfn.XLOOKUP(C1459,INDIRECT("tblEquipment[Equipment ID]"),INDIRECT("tblEquipment[Production Department]"),"")</f>
        <v/>
      </c>
      <c r="D1459">
        <f t="array" ref="D1459">_xlfn.XLOOKUP(C1459,INDIRECT("tblEquipment[Equipment ID]"),INDIRECT("tblEquipment[Equipment Name]"),"")</f>
        <v/>
      </c>
      <c r="F1459" s="16" t="n"/>
      <c r="G1459" s="16" t="n"/>
      <c r="H1459" s="1">
        <f>IF(OR(F1459=0,G1459=0),"",(G1459-F1459)*24)</f>
        <v/>
      </c>
      <c r="I1459" s="10" t="n"/>
      <c r="J1459" s="1">
        <f>IF(OR(tblDowntime[[#This Row],[Failure Type]]="Sawshop",tblDowntime[[#This Row],[Failure Type]]="Electrical",tblDowntime[[#This Row],[Failure Type]]="Mechanical"),tblDowntime[[#This Row],[Downtime Hours]],"")</f>
        <v/>
      </c>
      <c r="K1459" s="10" t="n"/>
      <c r="L1459" s="10" t="n"/>
      <c r="M1459">
        <f>IF(tblDowntime[[#This Row],[Maintenance Downtime Hours]]="","",tblDowntime[[#This Row],[Equipment ID]])</f>
        <v/>
      </c>
      <c r="N1459" s="1">
        <f>IF(tblDowntime[[#This Row],[Failure Type]]="Production",tblDowntime[[#This Row],[Downtime Hours]],"")</f>
        <v/>
      </c>
      <c r="O1459">
        <f>IF(tblDowntime[[#This Row],[Production Downtime Hours]]="","",tblDowntime[[#This Row],[Equipment ID]])</f>
        <v/>
      </c>
      <c r="P1459" s="10" t="n"/>
    </row>
    <row r="1460">
      <c r="B1460">
        <f t="array" ref="B1460">_xlfn.XLOOKUP(C1460,INDIRECT("tblEquipment[Equipment ID]"),INDIRECT("tblEquipment[Production Department]"),"")</f>
        <v/>
      </c>
      <c r="D1460">
        <f t="array" ref="D1460">_xlfn.XLOOKUP(C1460,INDIRECT("tblEquipment[Equipment ID]"),INDIRECT("tblEquipment[Equipment Name]"),"")</f>
        <v/>
      </c>
      <c r="F1460" s="16" t="n"/>
      <c r="G1460" s="16" t="n"/>
      <c r="H1460" s="1">
        <f>IF(OR(F1460=0,G1460=0),"",(G1460-F1460)*24)</f>
        <v/>
      </c>
      <c r="I1460" s="10" t="n"/>
      <c r="J1460" s="1">
        <f>IF(OR(tblDowntime[[#This Row],[Failure Type]]="Sawshop",tblDowntime[[#This Row],[Failure Type]]="Electrical",tblDowntime[[#This Row],[Failure Type]]="Mechanical"),tblDowntime[[#This Row],[Downtime Hours]],"")</f>
        <v/>
      </c>
      <c r="K1460" s="10" t="n"/>
      <c r="L1460" s="10" t="n"/>
      <c r="M1460">
        <f>IF(tblDowntime[[#This Row],[Maintenance Downtime Hours]]="","",tblDowntime[[#This Row],[Equipment ID]])</f>
        <v/>
      </c>
      <c r="N1460" s="1">
        <f>IF(tblDowntime[[#This Row],[Failure Type]]="Production",tblDowntime[[#This Row],[Downtime Hours]],"")</f>
        <v/>
      </c>
      <c r="O1460">
        <f>IF(tblDowntime[[#This Row],[Production Downtime Hours]]="","",tblDowntime[[#This Row],[Equipment ID]])</f>
        <v/>
      </c>
      <c r="P1460" s="10" t="n"/>
    </row>
    <row r="1461">
      <c r="B1461">
        <f t="array" ref="B1461">_xlfn.XLOOKUP(C1461,INDIRECT("tblEquipment[Equipment ID]"),INDIRECT("tblEquipment[Production Department]"),"")</f>
        <v/>
      </c>
      <c r="D1461">
        <f t="array" ref="D1461">_xlfn.XLOOKUP(C1461,INDIRECT("tblEquipment[Equipment ID]"),INDIRECT("tblEquipment[Equipment Name]"),"")</f>
        <v/>
      </c>
      <c r="F1461" s="16" t="n"/>
      <c r="G1461" s="16" t="n"/>
      <c r="H1461" s="1">
        <f>IF(OR(F1461=0,G1461=0),"",(G1461-F1461)*24)</f>
        <v/>
      </c>
      <c r="I1461" s="10" t="n"/>
      <c r="J1461" s="1">
        <f>IF(OR(tblDowntime[[#This Row],[Failure Type]]="Sawshop",tblDowntime[[#This Row],[Failure Type]]="Electrical",tblDowntime[[#This Row],[Failure Type]]="Mechanical"),tblDowntime[[#This Row],[Downtime Hours]],"")</f>
        <v/>
      </c>
      <c r="K1461" s="10" t="n"/>
      <c r="L1461" s="10" t="n"/>
      <c r="M1461">
        <f>IF(tblDowntime[[#This Row],[Maintenance Downtime Hours]]="","",tblDowntime[[#This Row],[Equipment ID]])</f>
        <v/>
      </c>
      <c r="N1461" s="1">
        <f>IF(tblDowntime[[#This Row],[Failure Type]]="Production",tblDowntime[[#This Row],[Downtime Hours]],"")</f>
        <v/>
      </c>
      <c r="O1461">
        <f>IF(tblDowntime[[#This Row],[Production Downtime Hours]]="","",tblDowntime[[#This Row],[Equipment ID]])</f>
        <v/>
      </c>
      <c r="P1461" s="10" t="n"/>
    </row>
    <row r="1462">
      <c r="B1462">
        <f t="array" ref="B1462">_xlfn.XLOOKUP(C1462,INDIRECT("tblEquipment[Equipment ID]"),INDIRECT("tblEquipment[Production Department]"),"")</f>
        <v/>
      </c>
      <c r="D1462">
        <f t="array" ref="D1462">_xlfn.XLOOKUP(C1462,INDIRECT("tblEquipment[Equipment ID]"),INDIRECT("tblEquipment[Equipment Name]"),"")</f>
        <v/>
      </c>
      <c r="F1462" s="16" t="n"/>
      <c r="G1462" s="16" t="n"/>
      <c r="H1462" s="1">
        <f>IF(OR(F1462=0,G1462=0),"",(G1462-F1462)*24)</f>
        <v/>
      </c>
      <c r="I1462" s="10" t="n"/>
      <c r="J1462" s="1">
        <f>IF(OR(tblDowntime[[#This Row],[Failure Type]]="Sawshop",tblDowntime[[#This Row],[Failure Type]]="Electrical",tblDowntime[[#This Row],[Failure Type]]="Mechanical"),tblDowntime[[#This Row],[Downtime Hours]],"")</f>
        <v/>
      </c>
      <c r="K1462" s="10" t="n"/>
      <c r="L1462" s="10" t="n"/>
      <c r="M1462">
        <f>IF(tblDowntime[[#This Row],[Maintenance Downtime Hours]]="","",tblDowntime[[#This Row],[Equipment ID]])</f>
        <v/>
      </c>
      <c r="N1462" s="1">
        <f>IF(tblDowntime[[#This Row],[Failure Type]]="Production",tblDowntime[[#This Row],[Downtime Hours]],"")</f>
        <v/>
      </c>
      <c r="O1462">
        <f>IF(tblDowntime[[#This Row],[Production Downtime Hours]]="","",tblDowntime[[#This Row],[Equipment ID]])</f>
        <v/>
      </c>
      <c r="P1462" s="10" t="n"/>
    </row>
    <row r="1463">
      <c r="B1463">
        <f t="array" ref="B1463">_xlfn.XLOOKUP(C1463,INDIRECT("tblEquipment[Equipment ID]"),INDIRECT("tblEquipment[Production Department]"),"")</f>
        <v/>
      </c>
      <c r="D1463">
        <f t="array" ref="D1463">_xlfn.XLOOKUP(C1463,INDIRECT("tblEquipment[Equipment ID]"),INDIRECT("tblEquipment[Equipment Name]"),"")</f>
        <v/>
      </c>
      <c r="F1463" s="16" t="n"/>
      <c r="G1463" s="16" t="n"/>
      <c r="H1463" s="1">
        <f>IF(OR(F1463=0,G1463=0),"",(G1463-F1463)*24)</f>
        <v/>
      </c>
      <c r="I1463" s="10" t="n"/>
      <c r="J1463" s="1">
        <f>IF(OR(tblDowntime[[#This Row],[Failure Type]]="Sawshop",tblDowntime[[#This Row],[Failure Type]]="Electrical",tblDowntime[[#This Row],[Failure Type]]="Mechanical"),tblDowntime[[#This Row],[Downtime Hours]],"")</f>
        <v/>
      </c>
      <c r="K1463" s="10" t="n"/>
      <c r="L1463" s="10" t="n"/>
      <c r="M1463">
        <f>IF(tblDowntime[[#This Row],[Maintenance Downtime Hours]]="","",tblDowntime[[#This Row],[Equipment ID]])</f>
        <v/>
      </c>
      <c r="N1463" s="1">
        <f>IF(tblDowntime[[#This Row],[Failure Type]]="Production",tblDowntime[[#This Row],[Downtime Hours]],"")</f>
        <v/>
      </c>
      <c r="O1463">
        <f>IF(tblDowntime[[#This Row],[Production Downtime Hours]]="","",tblDowntime[[#This Row],[Equipment ID]])</f>
        <v/>
      </c>
      <c r="P1463" s="10" t="n"/>
    </row>
    <row r="1464">
      <c r="B1464">
        <f t="array" ref="B1464">_xlfn.XLOOKUP(C1464,INDIRECT("tblEquipment[Equipment ID]"),INDIRECT("tblEquipment[Production Department]"),"")</f>
        <v/>
      </c>
      <c r="D1464">
        <f t="array" ref="D1464">_xlfn.XLOOKUP(C1464,INDIRECT("tblEquipment[Equipment ID]"),INDIRECT("tblEquipment[Equipment Name]"),"")</f>
        <v/>
      </c>
      <c r="F1464" s="16" t="n"/>
      <c r="G1464" s="16" t="n"/>
      <c r="H1464" s="1">
        <f>IF(OR(F1464=0,G1464=0),"",(G1464-F1464)*24)</f>
        <v/>
      </c>
      <c r="I1464" s="10" t="n"/>
      <c r="J1464" s="1">
        <f>IF(OR(tblDowntime[[#This Row],[Failure Type]]="Sawshop",tblDowntime[[#This Row],[Failure Type]]="Electrical",tblDowntime[[#This Row],[Failure Type]]="Mechanical"),tblDowntime[[#This Row],[Downtime Hours]],"")</f>
        <v/>
      </c>
      <c r="K1464" s="10" t="n"/>
      <c r="L1464" s="10" t="n"/>
      <c r="M1464">
        <f>IF(tblDowntime[[#This Row],[Maintenance Downtime Hours]]="","",tblDowntime[[#This Row],[Equipment ID]])</f>
        <v/>
      </c>
      <c r="N1464" s="1">
        <f>IF(tblDowntime[[#This Row],[Failure Type]]="Production",tblDowntime[[#This Row],[Downtime Hours]],"")</f>
        <v/>
      </c>
      <c r="O1464">
        <f>IF(tblDowntime[[#This Row],[Production Downtime Hours]]="","",tblDowntime[[#This Row],[Equipment ID]])</f>
        <v/>
      </c>
      <c r="P1464" s="10" t="n"/>
    </row>
    <row r="1465">
      <c r="B1465">
        <f t="array" ref="B1465">_xlfn.XLOOKUP(C1465,INDIRECT("tblEquipment[Equipment ID]"),INDIRECT("tblEquipment[Production Department]"),"")</f>
        <v/>
      </c>
      <c r="D1465">
        <f t="array" ref="D1465">_xlfn.XLOOKUP(C1465,INDIRECT("tblEquipment[Equipment ID]"),INDIRECT("tblEquipment[Equipment Name]"),"")</f>
        <v/>
      </c>
      <c r="F1465" s="16" t="n"/>
      <c r="G1465" s="16" t="n"/>
      <c r="H1465" s="1">
        <f>IF(OR(F1465=0,G1465=0),"",(G1465-F1465)*24)</f>
        <v/>
      </c>
      <c r="I1465" s="10" t="n"/>
      <c r="J1465" s="1">
        <f>IF(OR(tblDowntime[[#This Row],[Failure Type]]="Sawshop",tblDowntime[[#This Row],[Failure Type]]="Electrical",tblDowntime[[#This Row],[Failure Type]]="Mechanical"),tblDowntime[[#This Row],[Downtime Hours]],"")</f>
        <v/>
      </c>
      <c r="K1465" s="10" t="n"/>
      <c r="L1465" s="10" t="n"/>
      <c r="M1465">
        <f>IF(tblDowntime[[#This Row],[Maintenance Downtime Hours]]="","",tblDowntime[[#This Row],[Equipment ID]])</f>
        <v/>
      </c>
      <c r="N1465" s="1">
        <f>IF(tblDowntime[[#This Row],[Failure Type]]="Production",tblDowntime[[#This Row],[Downtime Hours]],"")</f>
        <v/>
      </c>
      <c r="O1465">
        <f>IF(tblDowntime[[#This Row],[Production Downtime Hours]]="","",tblDowntime[[#This Row],[Equipment ID]])</f>
        <v/>
      </c>
      <c r="P1465" s="10" t="n"/>
    </row>
    <row r="1466">
      <c r="B1466">
        <f t="array" ref="B1466">_xlfn.XLOOKUP(C1466,INDIRECT("tblEquipment[Equipment ID]"),INDIRECT("tblEquipment[Production Department]"),"")</f>
        <v/>
      </c>
      <c r="D1466">
        <f t="array" ref="D1466">_xlfn.XLOOKUP(C1466,INDIRECT("tblEquipment[Equipment ID]"),INDIRECT("tblEquipment[Equipment Name]"),"")</f>
        <v/>
      </c>
      <c r="F1466" s="16" t="n"/>
      <c r="G1466" s="16" t="n"/>
      <c r="H1466" s="1">
        <f>IF(OR(F1466=0,G1466=0),"",(G1466-F1466)*24)</f>
        <v/>
      </c>
      <c r="I1466" s="10" t="n"/>
      <c r="J1466" s="1">
        <f>IF(OR(tblDowntime[[#This Row],[Failure Type]]="Sawshop",tblDowntime[[#This Row],[Failure Type]]="Electrical",tblDowntime[[#This Row],[Failure Type]]="Mechanical"),tblDowntime[[#This Row],[Downtime Hours]],"")</f>
        <v/>
      </c>
      <c r="K1466" s="10" t="n"/>
      <c r="L1466" s="10" t="n"/>
      <c r="M1466">
        <f>IF(tblDowntime[[#This Row],[Maintenance Downtime Hours]]="","",tblDowntime[[#This Row],[Equipment ID]])</f>
        <v/>
      </c>
      <c r="N1466" s="1">
        <f>IF(tblDowntime[[#This Row],[Failure Type]]="Production",tblDowntime[[#This Row],[Downtime Hours]],"")</f>
        <v/>
      </c>
      <c r="O1466">
        <f>IF(tblDowntime[[#This Row],[Production Downtime Hours]]="","",tblDowntime[[#This Row],[Equipment ID]])</f>
        <v/>
      </c>
      <c r="P1466" s="10" t="n"/>
    </row>
    <row r="1467">
      <c r="B1467">
        <f t="array" ref="B1467">_xlfn.XLOOKUP(C1467,INDIRECT("tblEquipment[Equipment ID]"),INDIRECT("tblEquipment[Production Department]"),"")</f>
        <v/>
      </c>
      <c r="D1467">
        <f t="array" ref="D1467">_xlfn.XLOOKUP(C1467,INDIRECT("tblEquipment[Equipment ID]"),INDIRECT("tblEquipment[Equipment Name]"),"")</f>
        <v/>
      </c>
      <c r="F1467" s="16" t="n"/>
      <c r="G1467" s="16" t="n"/>
      <c r="H1467" s="1">
        <f>IF(OR(F1467=0,G1467=0),"",(G1467-F1467)*24)</f>
        <v/>
      </c>
      <c r="I1467" s="10" t="n"/>
      <c r="J1467" s="1">
        <f>IF(OR(tblDowntime[[#This Row],[Failure Type]]="Sawshop",tblDowntime[[#This Row],[Failure Type]]="Electrical",tblDowntime[[#This Row],[Failure Type]]="Mechanical"),tblDowntime[[#This Row],[Downtime Hours]],"")</f>
        <v/>
      </c>
      <c r="K1467" s="10" t="n"/>
      <c r="L1467" s="10" t="n"/>
      <c r="M1467">
        <f>IF(tblDowntime[[#This Row],[Maintenance Downtime Hours]]="","",tblDowntime[[#This Row],[Equipment ID]])</f>
        <v/>
      </c>
      <c r="N1467" s="1">
        <f>IF(tblDowntime[[#This Row],[Failure Type]]="Production",tblDowntime[[#This Row],[Downtime Hours]],"")</f>
        <v/>
      </c>
      <c r="O1467">
        <f>IF(tblDowntime[[#This Row],[Production Downtime Hours]]="","",tblDowntime[[#This Row],[Equipment ID]])</f>
        <v/>
      </c>
      <c r="P1467" s="10" t="n"/>
    </row>
    <row r="1468">
      <c r="B1468">
        <f t="array" ref="B1468">_xlfn.XLOOKUP(C1468,INDIRECT("tblEquipment[Equipment ID]"),INDIRECT("tblEquipment[Production Department]"),"")</f>
        <v/>
      </c>
      <c r="D1468">
        <f t="array" ref="D1468">_xlfn.XLOOKUP(C1468,INDIRECT("tblEquipment[Equipment ID]"),INDIRECT("tblEquipment[Equipment Name]"),"")</f>
        <v/>
      </c>
      <c r="F1468" s="16" t="n"/>
      <c r="G1468" s="16" t="n"/>
      <c r="H1468" s="1">
        <f>IF(OR(F1468=0,G1468=0),"",(G1468-F1468)*24)</f>
        <v/>
      </c>
      <c r="I1468" s="10" t="n"/>
      <c r="J1468" s="1">
        <f>IF(OR(tblDowntime[[#This Row],[Failure Type]]="Sawshop",tblDowntime[[#This Row],[Failure Type]]="Electrical",tblDowntime[[#This Row],[Failure Type]]="Mechanical"),tblDowntime[[#This Row],[Downtime Hours]],"")</f>
        <v/>
      </c>
      <c r="K1468" s="10" t="n"/>
      <c r="L1468" s="10" t="n"/>
      <c r="M1468">
        <f>IF(tblDowntime[[#This Row],[Maintenance Downtime Hours]]="","",tblDowntime[[#This Row],[Equipment ID]])</f>
        <v/>
      </c>
      <c r="N1468" s="1">
        <f>IF(tblDowntime[[#This Row],[Failure Type]]="Production",tblDowntime[[#This Row],[Downtime Hours]],"")</f>
        <v/>
      </c>
      <c r="O1468">
        <f>IF(tblDowntime[[#This Row],[Production Downtime Hours]]="","",tblDowntime[[#This Row],[Equipment ID]])</f>
        <v/>
      </c>
      <c r="P1468" s="10" t="n"/>
    </row>
    <row r="1469">
      <c r="B1469">
        <f t="array" ref="B1469">_xlfn.XLOOKUP(C1469,INDIRECT("tblEquipment[Equipment ID]"),INDIRECT("tblEquipment[Production Department]"),"")</f>
        <v/>
      </c>
      <c r="D1469">
        <f t="array" ref="D1469">_xlfn.XLOOKUP(C1469,INDIRECT("tblEquipment[Equipment ID]"),INDIRECT("tblEquipment[Equipment Name]"),"")</f>
        <v/>
      </c>
      <c r="F1469" s="16" t="n"/>
      <c r="G1469" s="16" t="n"/>
      <c r="H1469" s="1">
        <f>IF(OR(F1469=0,G1469=0),"",(G1469-F1469)*24)</f>
        <v/>
      </c>
      <c r="I1469" s="10" t="n"/>
      <c r="J1469" s="1">
        <f>IF(OR(tblDowntime[[#This Row],[Failure Type]]="Sawshop",tblDowntime[[#This Row],[Failure Type]]="Electrical",tblDowntime[[#This Row],[Failure Type]]="Mechanical"),tblDowntime[[#This Row],[Downtime Hours]],"")</f>
        <v/>
      </c>
      <c r="K1469" s="10" t="n"/>
      <c r="L1469" s="10" t="n"/>
      <c r="M1469">
        <f>IF(tblDowntime[[#This Row],[Maintenance Downtime Hours]]="","",tblDowntime[[#This Row],[Equipment ID]])</f>
        <v/>
      </c>
      <c r="N1469" s="1">
        <f>IF(tblDowntime[[#This Row],[Failure Type]]="Production",tblDowntime[[#This Row],[Downtime Hours]],"")</f>
        <v/>
      </c>
      <c r="O1469">
        <f>IF(tblDowntime[[#This Row],[Production Downtime Hours]]="","",tblDowntime[[#This Row],[Equipment ID]])</f>
        <v/>
      </c>
      <c r="P1469" s="10" t="n"/>
    </row>
    <row r="1470">
      <c r="B1470">
        <f t="array" ref="B1470">_xlfn.XLOOKUP(C1470,INDIRECT("tblEquipment[Equipment ID]"),INDIRECT("tblEquipment[Production Department]"),"")</f>
        <v/>
      </c>
      <c r="D1470">
        <f t="array" ref="D1470">_xlfn.XLOOKUP(C1470,INDIRECT("tblEquipment[Equipment ID]"),INDIRECT("tblEquipment[Equipment Name]"),"")</f>
        <v/>
      </c>
      <c r="F1470" s="16" t="n"/>
      <c r="G1470" s="16" t="n"/>
      <c r="H1470" s="1">
        <f>IF(OR(F1470=0,G1470=0),"",(G1470-F1470)*24)</f>
        <v/>
      </c>
      <c r="I1470" s="10" t="n"/>
      <c r="J1470" s="1">
        <f>IF(OR(tblDowntime[[#This Row],[Failure Type]]="Sawshop",tblDowntime[[#This Row],[Failure Type]]="Electrical",tblDowntime[[#This Row],[Failure Type]]="Mechanical"),tblDowntime[[#This Row],[Downtime Hours]],"")</f>
        <v/>
      </c>
      <c r="K1470" s="10" t="n"/>
      <c r="L1470" s="10" t="n"/>
      <c r="M1470">
        <f>IF(tblDowntime[[#This Row],[Maintenance Downtime Hours]]="","",tblDowntime[[#This Row],[Equipment ID]])</f>
        <v/>
      </c>
      <c r="N1470" s="1">
        <f>IF(tblDowntime[[#This Row],[Failure Type]]="Production",tblDowntime[[#This Row],[Downtime Hours]],"")</f>
        <v/>
      </c>
      <c r="O1470">
        <f>IF(tblDowntime[[#This Row],[Production Downtime Hours]]="","",tblDowntime[[#This Row],[Equipment ID]])</f>
        <v/>
      </c>
      <c r="P1470" s="10" t="n"/>
    </row>
    <row r="1471">
      <c r="B1471">
        <f t="array" ref="B1471">_xlfn.XLOOKUP(C1471,INDIRECT("tblEquipment[Equipment ID]"),INDIRECT("tblEquipment[Production Department]"),"")</f>
        <v/>
      </c>
      <c r="D1471">
        <f t="array" ref="D1471">_xlfn.XLOOKUP(C1471,INDIRECT("tblEquipment[Equipment ID]"),INDIRECT("tblEquipment[Equipment Name]"),"")</f>
        <v/>
      </c>
      <c r="F1471" s="16" t="n"/>
      <c r="G1471" s="16" t="n"/>
      <c r="H1471" s="1">
        <f>IF(OR(F1471=0,G1471=0),"",(G1471-F1471)*24)</f>
        <v/>
      </c>
      <c r="I1471" s="10" t="n"/>
      <c r="J1471" s="1">
        <f>IF(OR(tblDowntime[[#This Row],[Failure Type]]="Sawshop",tblDowntime[[#This Row],[Failure Type]]="Electrical",tblDowntime[[#This Row],[Failure Type]]="Mechanical"),tblDowntime[[#This Row],[Downtime Hours]],"")</f>
        <v/>
      </c>
      <c r="K1471" s="10" t="n"/>
      <c r="L1471" s="10" t="n"/>
      <c r="M1471">
        <f>IF(tblDowntime[[#This Row],[Maintenance Downtime Hours]]="","",tblDowntime[[#This Row],[Equipment ID]])</f>
        <v/>
      </c>
      <c r="N1471" s="1">
        <f>IF(tblDowntime[[#This Row],[Failure Type]]="Production",tblDowntime[[#This Row],[Downtime Hours]],"")</f>
        <v/>
      </c>
      <c r="O1471">
        <f>IF(tblDowntime[[#This Row],[Production Downtime Hours]]="","",tblDowntime[[#This Row],[Equipment ID]])</f>
        <v/>
      </c>
      <c r="P1471" s="10" t="n"/>
    </row>
    <row r="1472">
      <c r="B1472">
        <f t="array" ref="B1472">_xlfn.XLOOKUP(C1472,INDIRECT("tblEquipment[Equipment ID]"),INDIRECT("tblEquipment[Production Department]"),"")</f>
        <v/>
      </c>
      <c r="D1472">
        <f t="array" ref="D1472">_xlfn.XLOOKUP(C1472,INDIRECT("tblEquipment[Equipment ID]"),INDIRECT("tblEquipment[Equipment Name]"),"")</f>
        <v/>
      </c>
      <c r="F1472" s="16" t="n"/>
      <c r="G1472" s="16" t="n"/>
      <c r="H1472" s="1">
        <f>IF(OR(F1472=0,G1472=0),"",(G1472-F1472)*24)</f>
        <v/>
      </c>
      <c r="I1472" s="10" t="n"/>
      <c r="J1472" s="1">
        <f>IF(OR(tblDowntime[[#This Row],[Failure Type]]="Sawshop",tblDowntime[[#This Row],[Failure Type]]="Electrical",tblDowntime[[#This Row],[Failure Type]]="Mechanical"),tblDowntime[[#This Row],[Downtime Hours]],"")</f>
        <v/>
      </c>
      <c r="K1472" s="10" t="n"/>
      <c r="L1472" s="10" t="n"/>
      <c r="M1472">
        <f>IF(tblDowntime[[#This Row],[Maintenance Downtime Hours]]="","",tblDowntime[[#This Row],[Equipment ID]])</f>
        <v/>
      </c>
      <c r="N1472" s="1">
        <f>IF(tblDowntime[[#This Row],[Failure Type]]="Production",tblDowntime[[#This Row],[Downtime Hours]],"")</f>
        <v/>
      </c>
      <c r="O1472">
        <f>IF(tblDowntime[[#This Row],[Production Downtime Hours]]="","",tblDowntime[[#This Row],[Equipment ID]])</f>
        <v/>
      </c>
      <c r="P1472" s="10" t="n"/>
    </row>
    <row r="1473">
      <c r="B1473">
        <f t="array" ref="B1473">_xlfn.XLOOKUP(C1473,INDIRECT("tblEquipment[Equipment ID]"),INDIRECT("tblEquipment[Production Department]"),"")</f>
        <v/>
      </c>
      <c r="D1473">
        <f t="array" ref="D1473">_xlfn.XLOOKUP(C1473,INDIRECT("tblEquipment[Equipment ID]"),INDIRECT("tblEquipment[Equipment Name]"),"")</f>
        <v/>
      </c>
      <c r="F1473" s="16" t="n"/>
      <c r="G1473" s="16" t="n"/>
      <c r="H1473" s="1">
        <f>IF(OR(F1473=0,G1473=0),"",(G1473-F1473)*24)</f>
        <v/>
      </c>
      <c r="I1473" s="10" t="n"/>
      <c r="J1473" s="1">
        <f>IF(OR(tblDowntime[[#This Row],[Failure Type]]="Sawshop",tblDowntime[[#This Row],[Failure Type]]="Electrical",tblDowntime[[#This Row],[Failure Type]]="Mechanical"),tblDowntime[[#This Row],[Downtime Hours]],"")</f>
        <v/>
      </c>
      <c r="K1473" s="10" t="n"/>
      <c r="L1473" s="10" t="n"/>
      <c r="M1473">
        <f>IF(tblDowntime[[#This Row],[Maintenance Downtime Hours]]="","",tblDowntime[[#This Row],[Equipment ID]])</f>
        <v/>
      </c>
      <c r="N1473" s="1">
        <f>IF(tblDowntime[[#This Row],[Failure Type]]="Production",tblDowntime[[#This Row],[Downtime Hours]],"")</f>
        <v/>
      </c>
      <c r="O1473">
        <f>IF(tblDowntime[[#This Row],[Production Downtime Hours]]="","",tblDowntime[[#This Row],[Equipment ID]])</f>
        <v/>
      </c>
      <c r="P1473" s="10" t="n"/>
    </row>
    <row r="1474">
      <c r="B1474">
        <f t="array" ref="B1474">_xlfn.XLOOKUP(C1474,INDIRECT("tblEquipment[Equipment ID]"),INDIRECT("tblEquipment[Production Department]"),"")</f>
        <v/>
      </c>
      <c r="D1474">
        <f t="array" ref="D1474">_xlfn.XLOOKUP(C1474,INDIRECT("tblEquipment[Equipment ID]"),INDIRECT("tblEquipment[Equipment Name]"),"")</f>
        <v/>
      </c>
      <c r="F1474" s="16" t="n"/>
      <c r="G1474" s="16" t="n"/>
      <c r="H1474" s="1">
        <f>IF(OR(F1474=0,G1474=0),"",(G1474-F1474)*24)</f>
        <v/>
      </c>
      <c r="I1474" s="10" t="n"/>
      <c r="J1474" s="1">
        <f>IF(OR(tblDowntime[[#This Row],[Failure Type]]="Sawshop",tblDowntime[[#This Row],[Failure Type]]="Electrical",tblDowntime[[#This Row],[Failure Type]]="Mechanical"),tblDowntime[[#This Row],[Downtime Hours]],"")</f>
        <v/>
      </c>
      <c r="K1474" s="10" t="n"/>
      <c r="L1474" s="10" t="n"/>
      <c r="M1474">
        <f>IF(tblDowntime[[#This Row],[Maintenance Downtime Hours]]="","",tblDowntime[[#This Row],[Equipment ID]])</f>
        <v/>
      </c>
      <c r="N1474" s="1">
        <f>IF(tblDowntime[[#This Row],[Failure Type]]="Production",tblDowntime[[#This Row],[Downtime Hours]],"")</f>
        <v/>
      </c>
      <c r="O1474">
        <f>IF(tblDowntime[[#This Row],[Production Downtime Hours]]="","",tblDowntime[[#This Row],[Equipment ID]])</f>
        <v/>
      </c>
      <c r="P1474" s="10" t="n"/>
    </row>
    <row r="1475">
      <c r="B1475">
        <f t="array" ref="B1475">_xlfn.XLOOKUP(C1475,INDIRECT("tblEquipment[Equipment ID]"),INDIRECT("tblEquipment[Production Department]"),"")</f>
        <v/>
      </c>
      <c r="D1475">
        <f t="array" ref="D1475">_xlfn.XLOOKUP(C1475,INDIRECT("tblEquipment[Equipment ID]"),INDIRECT("tblEquipment[Equipment Name]"),"")</f>
        <v/>
      </c>
      <c r="F1475" s="16" t="n"/>
      <c r="G1475" s="16" t="n"/>
      <c r="H1475" s="1">
        <f>IF(OR(F1475=0,G1475=0),"",(G1475-F1475)*24)</f>
        <v/>
      </c>
      <c r="I1475" s="10" t="n"/>
      <c r="J1475" s="1">
        <f>IF(OR(tblDowntime[[#This Row],[Failure Type]]="Sawshop",tblDowntime[[#This Row],[Failure Type]]="Electrical",tblDowntime[[#This Row],[Failure Type]]="Mechanical"),tblDowntime[[#This Row],[Downtime Hours]],"")</f>
        <v/>
      </c>
      <c r="K1475" s="10" t="n"/>
      <c r="L1475" s="10" t="n"/>
      <c r="M1475">
        <f>IF(tblDowntime[[#This Row],[Maintenance Downtime Hours]]="","",tblDowntime[[#This Row],[Equipment ID]])</f>
        <v/>
      </c>
      <c r="N1475" s="1">
        <f>IF(tblDowntime[[#This Row],[Failure Type]]="Production",tblDowntime[[#This Row],[Downtime Hours]],"")</f>
        <v/>
      </c>
      <c r="O1475">
        <f>IF(tblDowntime[[#This Row],[Production Downtime Hours]]="","",tblDowntime[[#This Row],[Equipment ID]])</f>
        <v/>
      </c>
      <c r="P1475" s="10" t="n"/>
    </row>
    <row r="1476">
      <c r="B1476">
        <f t="array" ref="B1476">_xlfn.XLOOKUP(C1476,INDIRECT("tblEquipment[Equipment ID]"),INDIRECT("tblEquipment[Production Department]"),"")</f>
        <v/>
      </c>
      <c r="D1476">
        <f t="array" ref="D1476">_xlfn.XLOOKUP(C1476,INDIRECT("tblEquipment[Equipment ID]"),INDIRECT("tblEquipment[Equipment Name]"),"")</f>
        <v/>
      </c>
      <c r="F1476" s="16" t="n"/>
      <c r="G1476" s="16" t="n"/>
      <c r="H1476" s="1">
        <f>IF(OR(F1476=0,G1476=0),"",(G1476-F1476)*24)</f>
        <v/>
      </c>
      <c r="I1476" s="10" t="n"/>
      <c r="J1476" s="1">
        <f>IF(OR(tblDowntime[[#This Row],[Failure Type]]="Sawshop",tblDowntime[[#This Row],[Failure Type]]="Electrical",tblDowntime[[#This Row],[Failure Type]]="Mechanical"),tblDowntime[[#This Row],[Downtime Hours]],"")</f>
        <v/>
      </c>
      <c r="K1476" s="10" t="n"/>
      <c r="L1476" s="10" t="n"/>
      <c r="M1476">
        <f>IF(tblDowntime[[#This Row],[Maintenance Downtime Hours]]="","",tblDowntime[[#This Row],[Equipment ID]])</f>
        <v/>
      </c>
      <c r="N1476" s="1">
        <f>IF(tblDowntime[[#This Row],[Failure Type]]="Production",tblDowntime[[#This Row],[Downtime Hours]],"")</f>
        <v/>
      </c>
      <c r="O1476">
        <f>IF(tblDowntime[[#This Row],[Production Downtime Hours]]="","",tblDowntime[[#This Row],[Equipment ID]])</f>
        <v/>
      </c>
      <c r="P1476" s="10" t="n"/>
    </row>
    <row r="1477">
      <c r="B1477">
        <f t="array" ref="B1477">_xlfn.XLOOKUP(C1477,INDIRECT("tblEquipment[Equipment ID]"),INDIRECT("tblEquipment[Production Department]"),"")</f>
        <v/>
      </c>
      <c r="D1477">
        <f t="array" ref="D1477">_xlfn.XLOOKUP(C1477,INDIRECT("tblEquipment[Equipment ID]"),INDIRECT("tblEquipment[Equipment Name]"),"")</f>
        <v/>
      </c>
      <c r="F1477" s="16" t="n"/>
      <c r="G1477" s="16" t="n"/>
      <c r="H1477" s="1">
        <f>IF(OR(F1477=0,G1477=0),"",(G1477-F1477)*24)</f>
        <v/>
      </c>
      <c r="I1477" s="10" t="n"/>
      <c r="J1477" s="1">
        <f>IF(OR(tblDowntime[[#This Row],[Failure Type]]="Sawshop",tblDowntime[[#This Row],[Failure Type]]="Electrical",tblDowntime[[#This Row],[Failure Type]]="Mechanical"),tblDowntime[[#This Row],[Downtime Hours]],"")</f>
        <v/>
      </c>
      <c r="K1477" s="10" t="n"/>
      <c r="L1477" s="10" t="n"/>
      <c r="M1477">
        <f>IF(tblDowntime[[#This Row],[Maintenance Downtime Hours]]="","",tblDowntime[[#This Row],[Equipment ID]])</f>
        <v/>
      </c>
      <c r="N1477" s="1">
        <f>IF(tblDowntime[[#This Row],[Failure Type]]="Production",tblDowntime[[#This Row],[Downtime Hours]],"")</f>
        <v/>
      </c>
      <c r="O1477">
        <f>IF(tblDowntime[[#This Row],[Production Downtime Hours]]="","",tblDowntime[[#This Row],[Equipment ID]])</f>
        <v/>
      </c>
      <c r="P1477" s="10" t="n"/>
    </row>
    <row r="1478">
      <c r="B1478">
        <f t="array" ref="B1478">_xlfn.XLOOKUP(C1478,INDIRECT("tblEquipment[Equipment ID]"),INDIRECT("tblEquipment[Production Department]"),"")</f>
        <v/>
      </c>
      <c r="D1478">
        <f t="array" ref="D1478">_xlfn.XLOOKUP(C1478,INDIRECT("tblEquipment[Equipment ID]"),INDIRECT("tblEquipment[Equipment Name]"),"")</f>
        <v/>
      </c>
      <c r="F1478" s="16" t="n"/>
      <c r="G1478" s="16" t="n"/>
      <c r="H1478" s="1">
        <f>IF(OR(F1478=0,G1478=0),"",(G1478-F1478)*24)</f>
        <v/>
      </c>
      <c r="I1478" s="10" t="n"/>
      <c r="J1478" s="1">
        <f>IF(OR(tblDowntime[[#This Row],[Failure Type]]="Sawshop",tblDowntime[[#This Row],[Failure Type]]="Electrical",tblDowntime[[#This Row],[Failure Type]]="Mechanical"),tblDowntime[[#This Row],[Downtime Hours]],"")</f>
        <v/>
      </c>
      <c r="K1478" s="10" t="n"/>
      <c r="L1478" s="10" t="n"/>
      <c r="M1478">
        <f>IF(tblDowntime[[#This Row],[Maintenance Downtime Hours]]="","",tblDowntime[[#This Row],[Equipment ID]])</f>
        <v/>
      </c>
      <c r="N1478" s="1">
        <f>IF(tblDowntime[[#This Row],[Failure Type]]="Production",tblDowntime[[#This Row],[Downtime Hours]],"")</f>
        <v/>
      </c>
      <c r="O1478">
        <f>IF(tblDowntime[[#This Row],[Production Downtime Hours]]="","",tblDowntime[[#This Row],[Equipment ID]])</f>
        <v/>
      </c>
      <c r="P1478" s="10" t="n"/>
    </row>
    <row r="1479">
      <c r="B1479">
        <f t="array" ref="B1479">_xlfn.XLOOKUP(C1479,INDIRECT("tblEquipment[Equipment ID]"),INDIRECT("tblEquipment[Production Department]"),"")</f>
        <v/>
      </c>
      <c r="D1479">
        <f t="array" ref="D1479">_xlfn.XLOOKUP(C1479,INDIRECT("tblEquipment[Equipment ID]"),INDIRECT("tblEquipment[Equipment Name]"),"")</f>
        <v/>
      </c>
      <c r="F1479" s="16" t="n"/>
      <c r="G1479" s="16" t="n"/>
      <c r="H1479" s="1">
        <f>IF(OR(F1479=0,G1479=0),"",(G1479-F1479)*24)</f>
        <v/>
      </c>
      <c r="I1479" s="10" t="n"/>
      <c r="J1479" s="1">
        <f>IF(OR(tblDowntime[[#This Row],[Failure Type]]="Sawshop",tblDowntime[[#This Row],[Failure Type]]="Electrical",tblDowntime[[#This Row],[Failure Type]]="Mechanical"),tblDowntime[[#This Row],[Downtime Hours]],"")</f>
        <v/>
      </c>
      <c r="K1479" s="10" t="n"/>
      <c r="L1479" s="10" t="n"/>
      <c r="M1479">
        <f>IF(tblDowntime[[#This Row],[Maintenance Downtime Hours]]="","",tblDowntime[[#This Row],[Equipment ID]])</f>
        <v/>
      </c>
      <c r="N1479" s="1">
        <f>IF(tblDowntime[[#This Row],[Failure Type]]="Production",tblDowntime[[#This Row],[Downtime Hours]],"")</f>
        <v/>
      </c>
      <c r="O1479">
        <f>IF(tblDowntime[[#This Row],[Production Downtime Hours]]="","",tblDowntime[[#This Row],[Equipment ID]])</f>
        <v/>
      </c>
      <c r="P1479" s="10" t="n"/>
    </row>
    <row r="1480">
      <c r="B1480">
        <f t="array" ref="B1480">_xlfn.XLOOKUP(C1480,INDIRECT("tblEquipment[Equipment ID]"),INDIRECT("tblEquipment[Production Department]"),"")</f>
        <v/>
      </c>
      <c r="D1480">
        <f t="array" ref="D1480">_xlfn.XLOOKUP(C1480,INDIRECT("tblEquipment[Equipment ID]"),INDIRECT("tblEquipment[Equipment Name]"),"")</f>
        <v/>
      </c>
      <c r="F1480" s="16" t="n"/>
      <c r="G1480" s="16" t="n"/>
      <c r="H1480" s="1">
        <f>IF(OR(F1480=0,G1480=0),"",(G1480-F1480)*24)</f>
        <v/>
      </c>
      <c r="I1480" s="10" t="n"/>
      <c r="J1480" s="1">
        <f>IF(OR(tblDowntime[[#This Row],[Failure Type]]="Sawshop",tblDowntime[[#This Row],[Failure Type]]="Electrical",tblDowntime[[#This Row],[Failure Type]]="Mechanical"),tblDowntime[[#This Row],[Downtime Hours]],"")</f>
        <v/>
      </c>
      <c r="K1480" s="10" t="n"/>
      <c r="L1480" s="10" t="n"/>
      <c r="M1480">
        <f>IF(tblDowntime[[#This Row],[Maintenance Downtime Hours]]="","",tblDowntime[[#This Row],[Equipment ID]])</f>
        <v/>
      </c>
      <c r="N1480" s="1">
        <f>IF(tblDowntime[[#This Row],[Failure Type]]="Production",tblDowntime[[#This Row],[Downtime Hours]],"")</f>
        <v/>
      </c>
      <c r="O1480">
        <f>IF(tblDowntime[[#This Row],[Production Downtime Hours]]="","",tblDowntime[[#This Row],[Equipment ID]])</f>
        <v/>
      </c>
      <c r="P1480" s="10" t="n"/>
    </row>
    <row r="1481">
      <c r="B1481">
        <f t="array" ref="B1481">_xlfn.XLOOKUP(C1481,INDIRECT("tblEquipment[Equipment ID]"),INDIRECT("tblEquipment[Production Department]"),"")</f>
        <v/>
      </c>
      <c r="D1481">
        <f t="array" ref="D1481">_xlfn.XLOOKUP(C1481,INDIRECT("tblEquipment[Equipment ID]"),INDIRECT("tblEquipment[Equipment Name]"),"")</f>
        <v/>
      </c>
      <c r="F1481" s="16" t="n"/>
      <c r="G1481" s="16" t="n"/>
      <c r="H1481" s="1">
        <f>IF(OR(F1481=0,G1481=0),"",(G1481-F1481)*24)</f>
        <v/>
      </c>
      <c r="I1481" s="10" t="n"/>
      <c r="J1481" s="1">
        <f>IF(OR(tblDowntime[[#This Row],[Failure Type]]="Sawshop",tblDowntime[[#This Row],[Failure Type]]="Electrical",tblDowntime[[#This Row],[Failure Type]]="Mechanical"),tblDowntime[[#This Row],[Downtime Hours]],"")</f>
        <v/>
      </c>
      <c r="K1481" s="10" t="n"/>
      <c r="L1481" s="10" t="n"/>
      <c r="M1481">
        <f>IF(tblDowntime[[#This Row],[Maintenance Downtime Hours]]="","",tblDowntime[[#This Row],[Equipment ID]])</f>
        <v/>
      </c>
      <c r="N1481" s="1">
        <f>IF(tblDowntime[[#This Row],[Failure Type]]="Production",tblDowntime[[#This Row],[Downtime Hours]],"")</f>
        <v/>
      </c>
      <c r="O1481">
        <f>IF(tblDowntime[[#This Row],[Production Downtime Hours]]="","",tblDowntime[[#This Row],[Equipment ID]])</f>
        <v/>
      </c>
      <c r="P1481" s="10" t="n"/>
    </row>
    <row r="1482">
      <c r="B1482">
        <f t="array" ref="B1482">_xlfn.XLOOKUP(C1482,INDIRECT("tblEquipment[Equipment ID]"),INDIRECT("tblEquipment[Production Department]"),"")</f>
        <v/>
      </c>
      <c r="D1482">
        <f t="array" ref="D1482">_xlfn.XLOOKUP(C1482,INDIRECT("tblEquipment[Equipment ID]"),INDIRECT("tblEquipment[Equipment Name]"),"")</f>
        <v/>
      </c>
      <c r="F1482" s="16" t="n"/>
      <c r="G1482" s="16" t="n"/>
      <c r="H1482" s="1">
        <f>IF(OR(F1482=0,G1482=0),"",(G1482-F1482)*24)</f>
        <v/>
      </c>
      <c r="I1482" s="10" t="n"/>
      <c r="J1482" s="1">
        <f>IF(OR(tblDowntime[[#This Row],[Failure Type]]="Sawshop",tblDowntime[[#This Row],[Failure Type]]="Electrical",tblDowntime[[#This Row],[Failure Type]]="Mechanical"),tblDowntime[[#This Row],[Downtime Hours]],"")</f>
        <v/>
      </c>
      <c r="K1482" s="10" t="n"/>
      <c r="L1482" s="10" t="n"/>
      <c r="M1482">
        <f>IF(tblDowntime[[#This Row],[Maintenance Downtime Hours]]="","",tblDowntime[[#This Row],[Equipment ID]])</f>
        <v/>
      </c>
      <c r="N1482" s="1">
        <f>IF(tblDowntime[[#This Row],[Failure Type]]="Production",tblDowntime[[#This Row],[Downtime Hours]],"")</f>
        <v/>
      </c>
      <c r="O1482">
        <f>IF(tblDowntime[[#This Row],[Production Downtime Hours]]="","",tblDowntime[[#This Row],[Equipment ID]])</f>
        <v/>
      </c>
      <c r="P1482" s="10" t="n"/>
    </row>
    <row r="1483">
      <c r="B1483">
        <f t="array" ref="B1483">_xlfn.XLOOKUP(C1483,INDIRECT("tblEquipment[Equipment ID]"),INDIRECT("tblEquipment[Production Department]"),"")</f>
        <v/>
      </c>
      <c r="D1483">
        <f t="array" ref="D1483">_xlfn.XLOOKUP(C1483,INDIRECT("tblEquipment[Equipment ID]"),INDIRECT("tblEquipment[Equipment Name]"),"")</f>
        <v/>
      </c>
      <c r="F1483" s="16" t="n"/>
      <c r="G1483" s="16" t="n"/>
      <c r="H1483" s="1">
        <f>IF(OR(F1483=0,G1483=0),"",(G1483-F1483)*24)</f>
        <v/>
      </c>
      <c r="I1483" s="10" t="n"/>
      <c r="J1483" s="1">
        <f>IF(OR(tblDowntime[[#This Row],[Failure Type]]="Sawshop",tblDowntime[[#This Row],[Failure Type]]="Electrical",tblDowntime[[#This Row],[Failure Type]]="Mechanical"),tblDowntime[[#This Row],[Downtime Hours]],"")</f>
        <v/>
      </c>
      <c r="K1483" s="10" t="n"/>
      <c r="L1483" s="10" t="n"/>
      <c r="M1483">
        <f>IF(tblDowntime[[#This Row],[Maintenance Downtime Hours]]="","",tblDowntime[[#This Row],[Equipment ID]])</f>
        <v/>
      </c>
      <c r="N1483" s="1">
        <f>IF(tblDowntime[[#This Row],[Failure Type]]="Production",tblDowntime[[#This Row],[Downtime Hours]],"")</f>
        <v/>
      </c>
      <c r="O1483">
        <f>IF(tblDowntime[[#This Row],[Production Downtime Hours]]="","",tblDowntime[[#This Row],[Equipment ID]])</f>
        <v/>
      </c>
      <c r="P1483" s="10" t="n"/>
    </row>
    <row r="1484">
      <c r="B1484">
        <f t="array" ref="B1484">_xlfn.XLOOKUP(C1484,INDIRECT("tblEquipment[Equipment ID]"),INDIRECT("tblEquipment[Production Department]"),"")</f>
        <v/>
      </c>
      <c r="D1484">
        <f t="array" ref="D1484">_xlfn.XLOOKUP(C1484,INDIRECT("tblEquipment[Equipment ID]"),INDIRECT("tblEquipment[Equipment Name]"),"")</f>
        <v/>
      </c>
      <c r="F1484" s="16" t="n"/>
      <c r="G1484" s="16" t="n"/>
      <c r="H1484" s="1">
        <f>IF(OR(F1484=0,G1484=0),"",(G1484-F1484)*24)</f>
        <v/>
      </c>
      <c r="I1484" s="10" t="n"/>
      <c r="J1484" s="1">
        <f>IF(OR(tblDowntime[[#This Row],[Failure Type]]="Sawshop",tblDowntime[[#This Row],[Failure Type]]="Electrical",tblDowntime[[#This Row],[Failure Type]]="Mechanical"),tblDowntime[[#This Row],[Downtime Hours]],"")</f>
        <v/>
      </c>
      <c r="K1484" s="10" t="n"/>
      <c r="L1484" s="10" t="n"/>
      <c r="M1484">
        <f>IF(tblDowntime[[#This Row],[Maintenance Downtime Hours]]="","",tblDowntime[[#This Row],[Equipment ID]])</f>
        <v/>
      </c>
      <c r="N1484" s="1">
        <f>IF(tblDowntime[[#This Row],[Failure Type]]="Production",tblDowntime[[#This Row],[Downtime Hours]],"")</f>
        <v/>
      </c>
      <c r="O1484">
        <f>IF(tblDowntime[[#This Row],[Production Downtime Hours]]="","",tblDowntime[[#This Row],[Equipment ID]])</f>
        <v/>
      </c>
      <c r="P1484" s="10" t="n"/>
    </row>
    <row r="1485">
      <c r="B1485">
        <f t="array" ref="B1485">_xlfn.XLOOKUP(C1485,INDIRECT("tblEquipment[Equipment ID]"),INDIRECT("tblEquipment[Production Department]"),"")</f>
        <v/>
      </c>
      <c r="D1485">
        <f t="array" ref="D1485">_xlfn.XLOOKUP(C1485,INDIRECT("tblEquipment[Equipment ID]"),INDIRECT("tblEquipment[Equipment Name]"),"")</f>
        <v/>
      </c>
      <c r="F1485" s="16" t="n"/>
      <c r="G1485" s="16" t="n"/>
      <c r="H1485" s="1">
        <f>IF(OR(F1485=0,G1485=0),"",(G1485-F1485)*24)</f>
        <v/>
      </c>
      <c r="I1485" s="10" t="n"/>
      <c r="J1485" s="1">
        <f>IF(OR(tblDowntime[[#This Row],[Failure Type]]="Sawshop",tblDowntime[[#This Row],[Failure Type]]="Electrical",tblDowntime[[#This Row],[Failure Type]]="Mechanical"),tblDowntime[[#This Row],[Downtime Hours]],"")</f>
        <v/>
      </c>
      <c r="K1485" s="10" t="n"/>
      <c r="L1485" s="10" t="n"/>
      <c r="M1485">
        <f>IF(tblDowntime[[#This Row],[Maintenance Downtime Hours]]="","",tblDowntime[[#This Row],[Equipment ID]])</f>
        <v/>
      </c>
      <c r="N1485" s="1">
        <f>IF(tblDowntime[[#This Row],[Failure Type]]="Production",tblDowntime[[#This Row],[Downtime Hours]],"")</f>
        <v/>
      </c>
      <c r="O1485">
        <f>IF(tblDowntime[[#This Row],[Production Downtime Hours]]="","",tblDowntime[[#This Row],[Equipment ID]])</f>
        <v/>
      </c>
      <c r="P1485" s="10" t="n"/>
    </row>
    <row r="1486">
      <c r="B1486">
        <f t="array" ref="B1486">_xlfn.XLOOKUP(C1486,INDIRECT("tblEquipment[Equipment ID]"),INDIRECT("tblEquipment[Production Department]"),"")</f>
        <v/>
      </c>
      <c r="D1486">
        <f t="array" ref="D1486">_xlfn.XLOOKUP(C1486,INDIRECT("tblEquipment[Equipment ID]"),INDIRECT("tblEquipment[Equipment Name]"),"")</f>
        <v/>
      </c>
      <c r="F1486" s="16" t="n"/>
      <c r="G1486" s="16" t="n"/>
      <c r="H1486" s="1">
        <f>IF(OR(F1486=0,G1486=0),"",(G1486-F1486)*24)</f>
        <v/>
      </c>
      <c r="I1486" s="10" t="n"/>
      <c r="J1486" s="1">
        <f>IF(OR(tblDowntime[[#This Row],[Failure Type]]="Sawshop",tblDowntime[[#This Row],[Failure Type]]="Electrical",tblDowntime[[#This Row],[Failure Type]]="Mechanical"),tblDowntime[[#This Row],[Downtime Hours]],"")</f>
        <v/>
      </c>
      <c r="K1486" s="10" t="n"/>
      <c r="L1486" s="10" t="n"/>
      <c r="M1486">
        <f>IF(tblDowntime[[#This Row],[Maintenance Downtime Hours]]="","",tblDowntime[[#This Row],[Equipment ID]])</f>
        <v/>
      </c>
      <c r="N1486" s="1">
        <f>IF(tblDowntime[[#This Row],[Failure Type]]="Production",tblDowntime[[#This Row],[Downtime Hours]],"")</f>
        <v/>
      </c>
      <c r="O1486">
        <f>IF(tblDowntime[[#This Row],[Production Downtime Hours]]="","",tblDowntime[[#This Row],[Equipment ID]])</f>
        <v/>
      </c>
      <c r="P1486" s="10" t="n"/>
    </row>
    <row r="1487">
      <c r="B1487">
        <f t="array" ref="B1487">_xlfn.XLOOKUP(C1487,INDIRECT("tblEquipment[Equipment ID]"),INDIRECT("tblEquipment[Production Department]"),"")</f>
        <v/>
      </c>
      <c r="D1487">
        <f t="array" ref="D1487">_xlfn.XLOOKUP(C1487,INDIRECT("tblEquipment[Equipment ID]"),INDIRECT("tblEquipment[Equipment Name]"),"")</f>
        <v/>
      </c>
      <c r="F1487" s="16" t="n"/>
      <c r="G1487" s="16" t="n"/>
      <c r="H1487" s="1">
        <f>IF(OR(F1487=0,G1487=0),"",(G1487-F1487)*24)</f>
        <v/>
      </c>
      <c r="I1487" s="10" t="n"/>
      <c r="J1487" s="1">
        <f>IF(OR(tblDowntime[[#This Row],[Failure Type]]="Sawshop",tblDowntime[[#This Row],[Failure Type]]="Electrical",tblDowntime[[#This Row],[Failure Type]]="Mechanical"),tblDowntime[[#This Row],[Downtime Hours]],"")</f>
        <v/>
      </c>
      <c r="K1487" s="10" t="n"/>
      <c r="L1487" s="10" t="n"/>
      <c r="M1487">
        <f>IF(tblDowntime[[#This Row],[Maintenance Downtime Hours]]="","",tblDowntime[[#This Row],[Equipment ID]])</f>
        <v/>
      </c>
      <c r="N1487" s="1">
        <f>IF(tblDowntime[[#This Row],[Failure Type]]="Production",tblDowntime[[#This Row],[Downtime Hours]],"")</f>
        <v/>
      </c>
      <c r="O1487">
        <f>IF(tblDowntime[[#This Row],[Production Downtime Hours]]="","",tblDowntime[[#This Row],[Equipment ID]])</f>
        <v/>
      </c>
      <c r="P1487" s="10" t="n"/>
    </row>
    <row r="1488">
      <c r="B1488">
        <f t="array" ref="B1488">_xlfn.XLOOKUP(C1488,INDIRECT("tblEquipment[Equipment ID]"),INDIRECT("tblEquipment[Production Department]"),"")</f>
        <v/>
      </c>
      <c r="D1488">
        <f t="array" ref="D1488">_xlfn.XLOOKUP(C1488,INDIRECT("tblEquipment[Equipment ID]"),INDIRECT("tblEquipment[Equipment Name]"),"")</f>
        <v/>
      </c>
      <c r="F1488" s="16" t="n"/>
      <c r="G1488" s="16" t="n"/>
      <c r="H1488" s="1">
        <f>IF(OR(F1488=0,G1488=0),"",(G1488-F1488)*24)</f>
        <v/>
      </c>
      <c r="I1488" s="10" t="n"/>
      <c r="J1488" s="1">
        <f>IF(OR(tblDowntime[[#This Row],[Failure Type]]="Sawshop",tblDowntime[[#This Row],[Failure Type]]="Electrical",tblDowntime[[#This Row],[Failure Type]]="Mechanical"),tblDowntime[[#This Row],[Downtime Hours]],"")</f>
        <v/>
      </c>
      <c r="K1488" s="10" t="n"/>
      <c r="L1488" s="10" t="n"/>
      <c r="M1488">
        <f>IF(tblDowntime[[#This Row],[Maintenance Downtime Hours]]="","",tblDowntime[[#This Row],[Equipment ID]])</f>
        <v/>
      </c>
      <c r="N1488" s="1">
        <f>IF(tblDowntime[[#This Row],[Failure Type]]="Production",tblDowntime[[#This Row],[Downtime Hours]],"")</f>
        <v/>
      </c>
      <c r="O1488">
        <f>IF(tblDowntime[[#This Row],[Production Downtime Hours]]="","",tblDowntime[[#This Row],[Equipment ID]])</f>
        <v/>
      </c>
      <c r="P1488" s="10" t="n"/>
    </row>
    <row r="1489">
      <c r="B1489">
        <f t="array" ref="B1489">_xlfn.XLOOKUP(C1489,INDIRECT("tblEquipment[Equipment ID]"),INDIRECT("tblEquipment[Production Department]"),"")</f>
        <v/>
      </c>
      <c r="D1489">
        <f t="array" ref="D1489">_xlfn.XLOOKUP(C1489,INDIRECT("tblEquipment[Equipment ID]"),INDIRECT("tblEquipment[Equipment Name]"),"")</f>
        <v/>
      </c>
      <c r="F1489" s="16" t="n"/>
      <c r="G1489" s="16" t="n"/>
      <c r="H1489" s="1">
        <f>IF(OR(F1489=0,G1489=0),"",(G1489-F1489)*24)</f>
        <v/>
      </c>
      <c r="I1489" s="10" t="n"/>
      <c r="J1489" s="1">
        <f>IF(OR(tblDowntime[[#This Row],[Failure Type]]="Sawshop",tblDowntime[[#This Row],[Failure Type]]="Electrical",tblDowntime[[#This Row],[Failure Type]]="Mechanical"),tblDowntime[[#This Row],[Downtime Hours]],"")</f>
        <v/>
      </c>
      <c r="K1489" s="10" t="n"/>
      <c r="L1489" s="10" t="n"/>
      <c r="M1489">
        <f>IF(tblDowntime[[#This Row],[Maintenance Downtime Hours]]="","",tblDowntime[[#This Row],[Equipment ID]])</f>
        <v/>
      </c>
      <c r="N1489" s="1">
        <f>IF(tblDowntime[[#This Row],[Failure Type]]="Production",tblDowntime[[#This Row],[Downtime Hours]],"")</f>
        <v/>
      </c>
      <c r="O1489">
        <f>IF(tblDowntime[[#This Row],[Production Downtime Hours]]="","",tblDowntime[[#This Row],[Equipment ID]])</f>
        <v/>
      </c>
      <c r="P1489" s="10" t="n"/>
    </row>
    <row r="1490">
      <c r="B1490">
        <f t="array" ref="B1490">_xlfn.XLOOKUP(C1490,INDIRECT("tblEquipment[Equipment ID]"),INDIRECT("tblEquipment[Production Department]"),"")</f>
        <v/>
      </c>
      <c r="D1490">
        <f t="array" ref="D1490">_xlfn.XLOOKUP(C1490,INDIRECT("tblEquipment[Equipment ID]"),INDIRECT("tblEquipment[Equipment Name]"),"")</f>
        <v/>
      </c>
      <c r="F1490" s="16" t="n"/>
      <c r="G1490" s="16" t="n"/>
      <c r="H1490" s="1">
        <f>IF(OR(F1490=0,G1490=0),"",(G1490-F1490)*24)</f>
        <v/>
      </c>
      <c r="I1490" s="10" t="n"/>
      <c r="J1490" s="1">
        <f>IF(OR(tblDowntime[[#This Row],[Failure Type]]="Sawshop",tblDowntime[[#This Row],[Failure Type]]="Electrical",tblDowntime[[#This Row],[Failure Type]]="Mechanical"),tblDowntime[[#This Row],[Downtime Hours]],"")</f>
        <v/>
      </c>
      <c r="K1490" s="10" t="n"/>
      <c r="L1490" s="10" t="n"/>
      <c r="M1490">
        <f>IF(tblDowntime[[#This Row],[Maintenance Downtime Hours]]="","",tblDowntime[[#This Row],[Equipment ID]])</f>
        <v/>
      </c>
      <c r="N1490" s="1">
        <f>IF(tblDowntime[[#This Row],[Failure Type]]="Production",tblDowntime[[#This Row],[Downtime Hours]],"")</f>
        <v/>
      </c>
      <c r="O1490">
        <f>IF(tblDowntime[[#This Row],[Production Downtime Hours]]="","",tblDowntime[[#This Row],[Equipment ID]])</f>
        <v/>
      </c>
      <c r="P1490" s="10" t="n"/>
    </row>
    <row r="1491">
      <c r="B1491">
        <f t="array" ref="B1491">_xlfn.XLOOKUP(C1491,INDIRECT("tblEquipment[Equipment ID]"),INDIRECT("tblEquipment[Production Department]"),"")</f>
        <v/>
      </c>
      <c r="D1491">
        <f t="array" ref="D1491">_xlfn.XLOOKUP(C1491,INDIRECT("tblEquipment[Equipment ID]"),INDIRECT("tblEquipment[Equipment Name]"),"")</f>
        <v/>
      </c>
      <c r="F1491" s="16" t="n"/>
      <c r="G1491" s="16" t="n"/>
      <c r="H1491" s="1">
        <f>IF(OR(F1491=0,G1491=0),"",(G1491-F1491)*24)</f>
        <v/>
      </c>
      <c r="I1491" s="10" t="n"/>
      <c r="J1491" s="1">
        <f>IF(OR(tblDowntime[[#This Row],[Failure Type]]="Sawshop",tblDowntime[[#This Row],[Failure Type]]="Electrical",tblDowntime[[#This Row],[Failure Type]]="Mechanical"),tblDowntime[[#This Row],[Downtime Hours]],"")</f>
        <v/>
      </c>
      <c r="K1491" s="10" t="n"/>
      <c r="L1491" s="10" t="n"/>
      <c r="M1491">
        <f>IF(tblDowntime[[#This Row],[Maintenance Downtime Hours]]="","",tblDowntime[[#This Row],[Equipment ID]])</f>
        <v/>
      </c>
      <c r="N1491" s="1">
        <f>IF(tblDowntime[[#This Row],[Failure Type]]="Production",tblDowntime[[#This Row],[Downtime Hours]],"")</f>
        <v/>
      </c>
      <c r="O1491">
        <f>IF(tblDowntime[[#This Row],[Production Downtime Hours]]="","",tblDowntime[[#This Row],[Equipment ID]])</f>
        <v/>
      </c>
      <c r="P1491" s="10" t="n"/>
    </row>
    <row r="1492">
      <c r="B1492">
        <f t="array" ref="B1492">_xlfn.XLOOKUP(C1492,INDIRECT("tblEquipment[Equipment ID]"),INDIRECT("tblEquipment[Production Department]"),"")</f>
        <v/>
      </c>
      <c r="D1492">
        <f t="array" ref="D1492">_xlfn.XLOOKUP(C1492,INDIRECT("tblEquipment[Equipment ID]"),INDIRECT("tblEquipment[Equipment Name]"),"")</f>
        <v/>
      </c>
      <c r="F1492" s="16" t="n"/>
      <c r="G1492" s="16" t="n"/>
      <c r="H1492" s="1">
        <f>IF(OR(F1492=0,G1492=0),"",(G1492-F1492)*24)</f>
        <v/>
      </c>
      <c r="I1492" s="10" t="n"/>
      <c r="J1492" s="1">
        <f>IF(OR(tblDowntime[[#This Row],[Failure Type]]="Sawshop",tblDowntime[[#This Row],[Failure Type]]="Electrical",tblDowntime[[#This Row],[Failure Type]]="Mechanical"),tblDowntime[[#This Row],[Downtime Hours]],"")</f>
        <v/>
      </c>
      <c r="K1492" s="10" t="n"/>
      <c r="L1492" s="10" t="n"/>
      <c r="M1492">
        <f>IF(tblDowntime[[#This Row],[Maintenance Downtime Hours]]="","",tblDowntime[[#This Row],[Equipment ID]])</f>
        <v/>
      </c>
      <c r="N1492" s="1">
        <f>IF(tblDowntime[[#This Row],[Failure Type]]="Production",tblDowntime[[#This Row],[Downtime Hours]],"")</f>
        <v/>
      </c>
      <c r="O1492">
        <f>IF(tblDowntime[[#This Row],[Production Downtime Hours]]="","",tblDowntime[[#This Row],[Equipment ID]])</f>
        <v/>
      </c>
      <c r="P1492" s="10" t="n"/>
    </row>
    <row r="1493">
      <c r="B1493">
        <f t="array" ref="B1493">_xlfn.XLOOKUP(C1493,INDIRECT("tblEquipment[Equipment ID]"),INDIRECT("tblEquipment[Production Department]"),"")</f>
        <v/>
      </c>
      <c r="D1493">
        <f t="array" ref="D1493">_xlfn.XLOOKUP(C1493,INDIRECT("tblEquipment[Equipment ID]"),INDIRECT("tblEquipment[Equipment Name]"),"")</f>
        <v/>
      </c>
      <c r="F1493" s="16" t="n"/>
      <c r="G1493" s="16" t="n"/>
      <c r="H1493" s="1">
        <f>IF(OR(F1493=0,G1493=0),"",(G1493-F1493)*24)</f>
        <v/>
      </c>
      <c r="I1493" s="10" t="n"/>
      <c r="J1493" s="1">
        <f>IF(OR(tblDowntime[[#This Row],[Failure Type]]="Sawshop",tblDowntime[[#This Row],[Failure Type]]="Electrical",tblDowntime[[#This Row],[Failure Type]]="Mechanical"),tblDowntime[[#This Row],[Downtime Hours]],"")</f>
        <v/>
      </c>
      <c r="K1493" s="10" t="n"/>
      <c r="L1493" s="10" t="n"/>
      <c r="M1493">
        <f>IF(tblDowntime[[#This Row],[Maintenance Downtime Hours]]="","",tblDowntime[[#This Row],[Equipment ID]])</f>
        <v/>
      </c>
      <c r="N1493" s="1">
        <f>IF(tblDowntime[[#This Row],[Failure Type]]="Production",tblDowntime[[#This Row],[Downtime Hours]],"")</f>
        <v/>
      </c>
      <c r="O1493">
        <f>IF(tblDowntime[[#This Row],[Production Downtime Hours]]="","",tblDowntime[[#This Row],[Equipment ID]])</f>
        <v/>
      </c>
      <c r="P1493" s="10" t="n"/>
    </row>
    <row r="1494">
      <c r="B1494">
        <f t="array" ref="B1494">_xlfn.XLOOKUP(C1494,INDIRECT("tblEquipment[Equipment ID]"),INDIRECT("tblEquipment[Production Department]"),"")</f>
        <v/>
      </c>
      <c r="D1494">
        <f t="array" ref="D1494">_xlfn.XLOOKUP(C1494,INDIRECT("tblEquipment[Equipment ID]"),INDIRECT("tblEquipment[Equipment Name]"),"")</f>
        <v/>
      </c>
      <c r="F1494" s="16" t="n"/>
      <c r="G1494" s="16" t="n"/>
      <c r="H1494" s="1">
        <f>IF(OR(F1494=0,G1494=0),"",(G1494-F1494)*24)</f>
        <v/>
      </c>
      <c r="I1494" s="10" t="n"/>
      <c r="J1494" s="1">
        <f>IF(OR(tblDowntime[[#This Row],[Failure Type]]="Sawshop",tblDowntime[[#This Row],[Failure Type]]="Electrical",tblDowntime[[#This Row],[Failure Type]]="Mechanical"),tblDowntime[[#This Row],[Downtime Hours]],"")</f>
        <v/>
      </c>
      <c r="K1494" s="10" t="n"/>
      <c r="L1494" s="10" t="n"/>
      <c r="M1494">
        <f>IF(tblDowntime[[#This Row],[Maintenance Downtime Hours]]="","",tblDowntime[[#This Row],[Equipment ID]])</f>
        <v/>
      </c>
      <c r="N1494" s="1">
        <f>IF(tblDowntime[[#This Row],[Failure Type]]="Production",tblDowntime[[#This Row],[Downtime Hours]],"")</f>
        <v/>
      </c>
      <c r="O1494">
        <f>IF(tblDowntime[[#This Row],[Production Downtime Hours]]="","",tblDowntime[[#This Row],[Equipment ID]])</f>
        <v/>
      </c>
      <c r="P1494" s="10" t="n"/>
    </row>
    <row r="1495">
      <c r="B1495">
        <f t="array" ref="B1495">_xlfn.XLOOKUP(C1495,INDIRECT("tblEquipment[Equipment ID]"),INDIRECT("tblEquipment[Production Department]"),"")</f>
        <v/>
      </c>
      <c r="D1495">
        <f t="array" ref="D1495">_xlfn.XLOOKUP(C1495,INDIRECT("tblEquipment[Equipment ID]"),INDIRECT("tblEquipment[Equipment Name]"),"")</f>
        <v/>
      </c>
      <c r="F1495" s="16" t="n"/>
      <c r="G1495" s="16" t="n"/>
      <c r="H1495" s="1">
        <f>IF(OR(F1495=0,G1495=0),"",(G1495-F1495)*24)</f>
        <v/>
      </c>
      <c r="I1495" s="10" t="n"/>
      <c r="J1495" s="1">
        <f>IF(OR(tblDowntime[[#This Row],[Failure Type]]="Sawshop",tblDowntime[[#This Row],[Failure Type]]="Electrical",tblDowntime[[#This Row],[Failure Type]]="Mechanical"),tblDowntime[[#This Row],[Downtime Hours]],"")</f>
        <v/>
      </c>
      <c r="K1495" s="10" t="n"/>
      <c r="L1495" s="10" t="n"/>
      <c r="M1495">
        <f>IF(tblDowntime[[#This Row],[Maintenance Downtime Hours]]="","",tblDowntime[[#This Row],[Equipment ID]])</f>
        <v/>
      </c>
      <c r="N1495" s="1">
        <f>IF(tblDowntime[[#This Row],[Failure Type]]="Production",tblDowntime[[#This Row],[Downtime Hours]],"")</f>
        <v/>
      </c>
      <c r="O1495">
        <f>IF(tblDowntime[[#This Row],[Production Downtime Hours]]="","",tblDowntime[[#This Row],[Equipment ID]])</f>
        <v/>
      </c>
      <c r="P1495" s="10" t="n"/>
    </row>
    <row r="1496">
      <c r="B1496">
        <f t="array" ref="B1496">_xlfn.XLOOKUP(C1496,INDIRECT("tblEquipment[Equipment ID]"),INDIRECT("tblEquipment[Production Department]"),"")</f>
        <v/>
      </c>
      <c r="D1496">
        <f t="array" ref="D1496">_xlfn.XLOOKUP(C1496,INDIRECT("tblEquipment[Equipment ID]"),INDIRECT("tblEquipment[Equipment Name]"),"")</f>
        <v/>
      </c>
      <c r="F1496" s="16" t="n"/>
      <c r="G1496" s="16" t="n"/>
      <c r="H1496" s="1">
        <f>IF(OR(F1496=0,G1496=0),"",(G1496-F1496)*24)</f>
        <v/>
      </c>
      <c r="I1496" s="10" t="n"/>
      <c r="J1496" s="1">
        <f>IF(OR(tblDowntime[[#This Row],[Failure Type]]="Sawshop",tblDowntime[[#This Row],[Failure Type]]="Electrical",tblDowntime[[#This Row],[Failure Type]]="Mechanical"),tblDowntime[[#This Row],[Downtime Hours]],"")</f>
        <v/>
      </c>
      <c r="K1496" s="10" t="n"/>
      <c r="L1496" s="10" t="n"/>
      <c r="M1496">
        <f>IF(tblDowntime[[#This Row],[Maintenance Downtime Hours]]="","",tblDowntime[[#This Row],[Equipment ID]])</f>
        <v/>
      </c>
      <c r="N1496" s="1">
        <f>IF(tblDowntime[[#This Row],[Failure Type]]="Production",tblDowntime[[#This Row],[Downtime Hours]],"")</f>
        <v/>
      </c>
      <c r="O1496">
        <f>IF(tblDowntime[[#This Row],[Production Downtime Hours]]="","",tblDowntime[[#This Row],[Equipment ID]])</f>
        <v/>
      </c>
      <c r="P1496" s="10" t="n"/>
    </row>
    <row r="1497">
      <c r="B1497">
        <f t="array" ref="B1497">_xlfn.XLOOKUP(C1497,INDIRECT("tblEquipment[Equipment ID]"),INDIRECT("tblEquipment[Production Department]"),"")</f>
        <v/>
      </c>
      <c r="D1497">
        <f t="array" ref="D1497">_xlfn.XLOOKUP(C1497,INDIRECT("tblEquipment[Equipment ID]"),INDIRECT("tblEquipment[Equipment Name]"),"")</f>
        <v/>
      </c>
      <c r="F1497" s="16" t="n"/>
      <c r="G1497" s="16" t="n"/>
      <c r="H1497" s="1">
        <f>IF(OR(F1497=0,G1497=0),"",(G1497-F1497)*24)</f>
        <v/>
      </c>
      <c r="I1497" s="10" t="n"/>
      <c r="J1497" s="1">
        <f>IF(OR(tblDowntime[[#This Row],[Failure Type]]="Sawshop",tblDowntime[[#This Row],[Failure Type]]="Electrical",tblDowntime[[#This Row],[Failure Type]]="Mechanical"),tblDowntime[[#This Row],[Downtime Hours]],"")</f>
        <v/>
      </c>
      <c r="K1497" s="10" t="n"/>
      <c r="L1497" s="10" t="n"/>
      <c r="M1497">
        <f>IF(tblDowntime[[#This Row],[Maintenance Downtime Hours]]="","",tblDowntime[[#This Row],[Equipment ID]])</f>
        <v/>
      </c>
      <c r="N1497" s="1">
        <f>IF(tblDowntime[[#This Row],[Failure Type]]="Production",tblDowntime[[#This Row],[Downtime Hours]],"")</f>
        <v/>
      </c>
      <c r="O1497">
        <f>IF(tblDowntime[[#This Row],[Production Downtime Hours]]="","",tblDowntime[[#This Row],[Equipment ID]])</f>
        <v/>
      </c>
      <c r="P1497" s="10" t="n"/>
    </row>
    <row r="1498">
      <c r="B1498">
        <f t="array" ref="B1498">_xlfn.XLOOKUP(C1498,INDIRECT("tblEquipment[Equipment ID]"),INDIRECT("tblEquipment[Production Department]"),"")</f>
        <v/>
      </c>
      <c r="D1498">
        <f t="array" ref="D1498">_xlfn.XLOOKUP(C1498,INDIRECT("tblEquipment[Equipment ID]"),INDIRECT("tblEquipment[Equipment Name]"),"")</f>
        <v/>
      </c>
      <c r="F1498" s="16" t="n"/>
      <c r="G1498" s="16" t="n"/>
      <c r="H1498" s="1">
        <f>IF(OR(F1498=0,G1498=0),"",(G1498-F1498)*24)</f>
        <v/>
      </c>
      <c r="I1498" s="10" t="n"/>
      <c r="J1498" s="1">
        <f>IF(OR(tblDowntime[[#This Row],[Failure Type]]="Sawshop",tblDowntime[[#This Row],[Failure Type]]="Electrical",tblDowntime[[#This Row],[Failure Type]]="Mechanical"),tblDowntime[[#This Row],[Downtime Hours]],"")</f>
        <v/>
      </c>
      <c r="K1498" s="10" t="n"/>
      <c r="L1498" s="10" t="n"/>
      <c r="M1498">
        <f>IF(tblDowntime[[#This Row],[Maintenance Downtime Hours]]="","",tblDowntime[[#This Row],[Equipment ID]])</f>
        <v/>
      </c>
      <c r="N1498" s="1">
        <f>IF(tblDowntime[[#This Row],[Failure Type]]="Production",tblDowntime[[#This Row],[Downtime Hours]],"")</f>
        <v/>
      </c>
      <c r="O1498">
        <f>IF(tblDowntime[[#This Row],[Production Downtime Hours]]="","",tblDowntime[[#This Row],[Equipment ID]])</f>
        <v/>
      </c>
      <c r="P1498" s="10" t="n"/>
    </row>
    <row r="1499">
      <c r="B1499">
        <f t="array" ref="B1499">_xlfn.XLOOKUP(C1499,INDIRECT("tblEquipment[Equipment ID]"),INDIRECT("tblEquipment[Production Department]"),"")</f>
        <v/>
      </c>
      <c r="D1499">
        <f t="array" ref="D1499">_xlfn.XLOOKUP(C1499,INDIRECT("tblEquipment[Equipment ID]"),INDIRECT("tblEquipment[Equipment Name]"),"")</f>
        <v/>
      </c>
      <c r="F1499" s="16" t="n"/>
      <c r="G1499" s="16" t="n"/>
      <c r="H1499" s="1">
        <f>IF(OR(F1499=0,G1499=0),"",(G1499-F1499)*24)</f>
        <v/>
      </c>
      <c r="I1499" s="10" t="n"/>
      <c r="J1499" s="1">
        <f>IF(OR(tblDowntime[[#This Row],[Failure Type]]="Sawshop",tblDowntime[[#This Row],[Failure Type]]="Electrical",tblDowntime[[#This Row],[Failure Type]]="Mechanical"),tblDowntime[[#This Row],[Downtime Hours]],"")</f>
        <v/>
      </c>
      <c r="K1499" s="10" t="n"/>
      <c r="L1499" s="10" t="n"/>
      <c r="M1499">
        <f>IF(tblDowntime[[#This Row],[Maintenance Downtime Hours]]="","",tblDowntime[[#This Row],[Equipment ID]])</f>
        <v/>
      </c>
      <c r="N1499" s="1">
        <f>IF(tblDowntime[[#This Row],[Failure Type]]="Production",tblDowntime[[#This Row],[Downtime Hours]],"")</f>
        <v/>
      </c>
      <c r="O1499">
        <f>IF(tblDowntime[[#This Row],[Production Downtime Hours]]="","",tblDowntime[[#This Row],[Equipment ID]])</f>
        <v/>
      </c>
      <c r="P1499" s="10" t="n"/>
    </row>
    <row r="1500">
      <c r="B1500">
        <f t="array" ref="B1500">_xlfn.XLOOKUP(C1500,INDIRECT("tblEquipment[Equipment ID]"),INDIRECT("tblEquipment[Production Department]"),"")</f>
        <v/>
      </c>
      <c r="D1500">
        <f t="array" ref="D1500">_xlfn.XLOOKUP(C1500,INDIRECT("tblEquipment[Equipment ID]"),INDIRECT("tblEquipment[Equipment Name]"),"")</f>
        <v/>
      </c>
      <c r="F1500" s="16" t="n"/>
      <c r="G1500" s="16" t="n"/>
      <c r="H1500" s="1">
        <f>IF(OR(F1500=0,G1500=0),"",(G1500-F1500)*24)</f>
        <v/>
      </c>
      <c r="I1500" s="10" t="n"/>
      <c r="J1500" s="1">
        <f>IF(OR(tblDowntime[[#This Row],[Failure Type]]="Sawshop",tblDowntime[[#This Row],[Failure Type]]="Electrical",tblDowntime[[#This Row],[Failure Type]]="Mechanical"),tblDowntime[[#This Row],[Downtime Hours]],"")</f>
        <v/>
      </c>
      <c r="K1500" s="10" t="n"/>
      <c r="L1500" s="10" t="n"/>
      <c r="M1500">
        <f>IF(tblDowntime[[#This Row],[Maintenance Downtime Hours]]="","",tblDowntime[[#This Row],[Equipment ID]])</f>
        <v/>
      </c>
      <c r="N1500" s="1">
        <f>IF(tblDowntime[[#This Row],[Failure Type]]="Production",tblDowntime[[#This Row],[Downtime Hours]],"")</f>
        <v/>
      </c>
      <c r="O1500">
        <f>IF(tblDowntime[[#This Row],[Production Downtime Hours]]="","",tblDowntime[[#This Row],[Equipment ID]])</f>
        <v/>
      </c>
      <c r="P1500" s="10" t="n"/>
    </row>
    <row r="1501">
      <c r="B1501">
        <f t="array" ref="B1501">_xlfn.XLOOKUP(C1501,INDIRECT("tblEquipment[Equipment ID]"),INDIRECT("tblEquipment[Production Department]"),"")</f>
        <v/>
      </c>
      <c r="D1501">
        <f t="array" ref="D1501">_xlfn.XLOOKUP(C1501,INDIRECT("tblEquipment[Equipment ID]"),INDIRECT("tblEquipment[Equipment Name]"),"")</f>
        <v/>
      </c>
      <c r="F1501" s="16" t="n"/>
      <c r="G1501" s="16" t="n"/>
      <c r="H1501" s="1">
        <f>IF(OR(F1501=0,G1501=0),"",(G1501-F1501)*24)</f>
        <v/>
      </c>
      <c r="I1501" s="10" t="n"/>
      <c r="J1501" s="1">
        <f>IF(OR(tblDowntime[[#This Row],[Failure Type]]="Sawshop",tblDowntime[[#This Row],[Failure Type]]="Electrical",tblDowntime[[#This Row],[Failure Type]]="Mechanical"),tblDowntime[[#This Row],[Downtime Hours]],"")</f>
        <v/>
      </c>
      <c r="K1501" s="10" t="n"/>
      <c r="L1501" s="10" t="n"/>
      <c r="M1501">
        <f>IF(tblDowntime[[#This Row],[Maintenance Downtime Hours]]="","",tblDowntime[[#This Row],[Equipment ID]])</f>
        <v/>
      </c>
      <c r="N1501" s="1">
        <f>IF(tblDowntime[[#This Row],[Failure Type]]="Production",tblDowntime[[#This Row],[Downtime Hours]],"")</f>
        <v/>
      </c>
      <c r="O1501">
        <f>IF(tblDowntime[[#This Row],[Production Downtime Hours]]="","",tblDowntime[[#This Row],[Equipment ID]])</f>
        <v/>
      </c>
      <c r="P1501" s="10" t="n"/>
    </row>
    <row r="1502">
      <c r="B1502">
        <f t="array" ref="B1502">_xlfn.XLOOKUP(C1502,INDIRECT("tblEquipment[Equipment ID]"),INDIRECT("tblEquipment[Production Department]"),"")</f>
        <v/>
      </c>
      <c r="D1502">
        <f t="array" ref="D1502">_xlfn.XLOOKUP(C1502,INDIRECT("tblEquipment[Equipment ID]"),INDIRECT("tblEquipment[Equipment Name]"),"")</f>
        <v/>
      </c>
      <c r="F1502" s="16" t="n"/>
      <c r="G1502" s="16" t="n"/>
      <c r="H1502" s="1">
        <f>IF(OR(F1502=0,G1502=0),"",(G1502-F1502)*24)</f>
        <v/>
      </c>
      <c r="I1502" s="10" t="n"/>
      <c r="J1502" s="1">
        <f>IF(OR(tblDowntime[[#This Row],[Failure Type]]="Sawshop",tblDowntime[[#This Row],[Failure Type]]="Electrical",tblDowntime[[#This Row],[Failure Type]]="Mechanical"),tblDowntime[[#This Row],[Downtime Hours]],"")</f>
        <v/>
      </c>
      <c r="K1502" s="10" t="n"/>
      <c r="L1502" s="10" t="n"/>
      <c r="M1502">
        <f>IF(tblDowntime[[#This Row],[Maintenance Downtime Hours]]="","",tblDowntime[[#This Row],[Equipment ID]])</f>
        <v/>
      </c>
      <c r="N1502" s="1">
        <f>IF(tblDowntime[[#This Row],[Failure Type]]="Production",tblDowntime[[#This Row],[Downtime Hours]],"")</f>
        <v/>
      </c>
      <c r="O1502">
        <f>IF(tblDowntime[[#This Row],[Production Downtime Hours]]="","",tblDowntime[[#This Row],[Equipment ID]])</f>
        <v/>
      </c>
      <c r="P1502" s="10" t="n"/>
    </row>
    <row r="1503">
      <c r="B1503">
        <f t="array" ref="B1503">_xlfn.XLOOKUP(C1503,INDIRECT("tblEquipment[Equipment ID]"),INDIRECT("tblEquipment[Production Department]"),"")</f>
        <v/>
      </c>
      <c r="D1503">
        <f t="array" ref="D1503">_xlfn.XLOOKUP(C1503,INDIRECT("tblEquipment[Equipment ID]"),INDIRECT("tblEquipment[Equipment Name]"),"")</f>
        <v/>
      </c>
      <c r="F1503" s="16" t="n"/>
      <c r="G1503" s="16" t="n"/>
      <c r="H1503" s="1">
        <f>IF(OR(F1503=0,G1503=0),"",(G1503-F1503)*24)</f>
        <v/>
      </c>
      <c r="I1503" s="10" t="n"/>
      <c r="J1503" s="1">
        <f>IF(OR(tblDowntime[[#This Row],[Failure Type]]="Sawshop",tblDowntime[[#This Row],[Failure Type]]="Electrical",tblDowntime[[#This Row],[Failure Type]]="Mechanical"),tblDowntime[[#This Row],[Downtime Hours]],"")</f>
        <v/>
      </c>
      <c r="K1503" s="10" t="n"/>
      <c r="L1503" s="10" t="n"/>
      <c r="M1503">
        <f>IF(tblDowntime[[#This Row],[Maintenance Downtime Hours]]="","",tblDowntime[[#This Row],[Equipment ID]])</f>
        <v/>
      </c>
      <c r="N1503" s="1">
        <f>IF(tblDowntime[[#This Row],[Failure Type]]="Production",tblDowntime[[#This Row],[Downtime Hours]],"")</f>
        <v/>
      </c>
      <c r="O1503">
        <f>IF(tblDowntime[[#This Row],[Production Downtime Hours]]="","",tblDowntime[[#This Row],[Equipment ID]])</f>
        <v/>
      </c>
      <c r="P1503" s="10" t="n"/>
    </row>
    <row r="1504">
      <c r="B1504">
        <f t="array" ref="B1504">_xlfn.XLOOKUP(C1504,INDIRECT("tblEquipment[Equipment ID]"),INDIRECT("tblEquipment[Production Department]"),"")</f>
        <v/>
      </c>
      <c r="D1504">
        <f t="array" ref="D1504">_xlfn.XLOOKUP(C1504,INDIRECT("tblEquipment[Equipment ID]"),INDIRECT("tblEquipment[Equipment Name]"),"")</f>
        <v/>
      </c>
      <c r="F1504" s="16" t="n"/>
      <c r="G1504" s="16" t="n"/>
      <c r="H1504" s="1">
        <f>IF(OR(F1504=0,G1504=0),"",(G1504-F1504)*24)</f>
        <v/>
      </c>
      <c r="I1504" s="10" t="n"/>
      <c r="J1504" s="1">
        <f>IF(OR(tblDowntime[[#This Row],[Failure Type]]="Sawshop",tblDowntime[[#This Row],[Failure Type]]="Electrical",tblDowntime[[#This Row],[Failure Type]]="Mechanical"),tblDowntime[[#This Row],[Downtime Hours]],"")</f>
        <v/>
      </c>
      <c r="K1504" s="10" t="n"/>
      <c r="L1504" s="10" t="n"/>
      <c r="M1504">
        <f>IF(tblDowntime[[#This Row],[Maintenance Downtime Hours]]="","",tblDowntime[[#This Row],[Equipment ID]])</f>
        <v/>
      </c>
      <c r="N1504" s="1">
        <f>IF(tblDowntime[[#This Row],[Failure Type]]="Production",tblDowntime[[#This Row],[Downtime Hours]],"")</f>
        <v/>
      </c>
      <c r="O1504">
        <f>IF(tblDowntime[[#This Row],[Production Downtime Hours]]="","",tblDowntime[[#This Row],[Equipment ID]])</f>
        <v/>
      </c>
      <c r="P1504" s="10" t="n"/>
    </row>
    <row r="1505">
      <c r="B1505">
        <f t="array" ref="B1505">_xlfn.XLOOKUP(C1505,INDIRECT("tblEquipment[Equipment ID]"),INDIRECT("tblEquipment[Production Department]"),"")</f>
        <v/>
      </c>
      <c r="D1505">
        <f t="array" ref="D1505">_xlfn.XLOOKUP(C1505,INDIRECT("tblEquipment[Equipment ID]"),INDIRECT("tblEquipment[Equipment Name]"),"")</f>
        <v/>
      </c>
      <c r="F1505" s="16" t="n"/>
      <c r="G1505" s="16" t="n"/>
      <c r="H1505" s="1">
        <f>IF(OR(F1505=0,G1505=0),"",(G1505-F1505)*24)</f>
        <v/>
      </c>
      <c r="I1505" s="10" t="n"/>
      <c r="J1505" s="1">
        <f>IF(OR(tblDowntime[[#This Row],[Failure Type]]="Sawshop",tblDowntime[[#This Row],[Failure Type]]="Electrical",tblDowntime[[#This Row],[Failure Type]]="Mechanical"),tblDowntime[[#This Row],[Downtime Hours]],"")</f>
        <v/>
      </c>
      <c r="K1505" s="10" t="n"/>
      <c r="L1505" s="10" t="n"/>
      <c r="M1505">
        <f>IF(tblDowntime[[#This Row],[Maintenance Downtime Hours]]="","",tblDowntime[[#This Row],[Equipment ID]])</f>
        <v/>
      </c>
      <c r="N1505" s="1">
        <f>IF(tblDowntime[[#This Row],[Failure Type]]="Production",tblDowntime[[#This Row],[Downtime Hours]],"")</f>
        <v/>
      </c>
      <c r="O1505">
        <f>IF(tblDowntime[[#This Row],[Production Downtime Hours]]="","",tblDowntime[[#This Row],[Equipment ID]])</f>
        <v/>
      </c>
      <c r="P1505" s="10" t="n"/>
    </row>
    <row r="1506">
      <c r="B1506">
        <f t="array" ref="B1506">_xlfn.XLOOKUP(C1506,INDIRECT("tblEquipment[Equipment ID]"),INDIRECT("tblEquipment[Production Department]"),"")</f>
        <v/>
      </c>
      <c r="D1506">
        <f t="array" ref="D1506">_xlfn.XLOOKUP(C1506,INDIRECT("tblEquipment[Equipment ID]"),INDIRECT("tblEquipment[Equipment Name]"),"")</f>
        <v/>
      </c>
      <c r="F1506" s="16" t="n"/>
      <c r="G1506" s="16" t="n"/>
      <c r="H1506" s="1">
        <f>IF(OR(F1506=0,G1506=0),"",(G1506-F1506)*24)</f>
        <v/>
      </c>
      <c r="I1506" s="10" t="n"/>
      <c r="J1506" s="1">
        <f>IF(OR(tblDowntime[[#This Row],[Failure Type]]="Sawshop",tblDowntime[[#This Row],[Failure Type]]="Electrical",tblDowntime[[#This Row],[Failure Type]]="Mechanical"),tblDowntime[[#This Row],[Downtime Hours]],"")</f>
        <v/>
      </c>
      <c r="K1506" s="10" t="n"/>
      <c r="L1506" s="10" t="n"/>
      <c r="M1506">
        <f>IF(tblDowntime[[#This Row],[Maintenance Downtime Hours]]="","",tblDowntime[[#This Row],[Equipment ID]])</f>
        <v/>
      </c>
      <c r="N1506" s="1">
        <f>IF(tblDowntime[[#This Row],[Failure Type]]="Production",tblDowntime[[#This Row],[Downtime Hours]],"")</f>
        <v/>
      </c>
      <c r="O1506">
        <f>IF(tblDowntime[[#This Row],[Production Downtime Hours]]="","",tblDowntime[[#This Row],[Equipment ID]])</f>
        <v/>
      </c>
      <c r="P1506" s="10" t="n"/>
    </row>
    <row r="1507">
      <c r="B1507">
        <f t="array" ref="B1507">_xlfn.XLOOKUP(C1507,INDIRECT("tblEquipment[Equipment ID]"),INDIRECT("tblEquipment[Production Department]"),"")</f>
        <v/>
      </c>
      <c r="D1507">
        <f t="array" ref="D1507">_xlfn.XLOOKUP(C1507,INDIRECT("tblEquipment[Equipment ID]"),INDIRECT("tblEquipment[Equipment Name]"),"")</f>
        <v/>
      </c>
      <c r="F1507" s="16" t="n"/>
      <c r="G1507" s="16" t="n"/>
      <c r="H1507" s="1">
        <f>IF(OR(F1507=0,G1507=0),"",(G1507-F1507)*24)</f>
        <v/>
      </c>
      <c r="I1507" s="10" t="n"/>
      <c r="J1507" s="1">
        <f>IF(OR(tblDowntime[[#This Row],[Failure Type]]="Sawshop",tblDowntime[[#This Row],[Failure Type]]="Electrical",tblDowntime[[#This Row],[Failure Type]]="Mechanical"),tblDowntime[[#This Row],[Downtime Hours]],"")</f>
        <v/>
      </c>
      <c r="K1507" s="10" t="n"/>
      <c r="L1507" s="10" t="n"/>
      <c r="M1507">
        <f>IF(tblDowntime[[#This Row],[Maintenance Downtime Hours]]="","",tblDowntime[[#This Row],[Equipment ID]])</f>
        <v/>
      </c>
      <c r="N1507" s="1">
        <f>IF(tblDowntime[[#This Row],[Failure Type]]="Production",tblDowntime[[#This Row],[Downtime Hours]],"")</f>
        <v/>
      </c>
      <c r="O1507">
        <f>IF(tblDowntime[[#This Row],[Production Downtime Hours]]="","",tblDowntime[[#This Row],[Equipment ID]])</f>
        <v/>
      </c>
      <c r="P1507" s="10" t="n"/>
    </row>
    <row r="1508">
      <c r="B1508">
        <f t="array" ref="B1508">_xlfn.XLOOKUP(C1508,INDIRECT("tblEquipment[Equipment ID]"),INDIRECT("tblEquipment[Production Department]"),"")</f>
        <v/>
      </c>
      <c r="D1508">
        <f t="array" ref="D1508">_xlfn.XLOOKUP(C1508,INDIRECT("tblEquipment[Equipment ID]"),INDIRECT("tblEquipment[Equipment Name]"),"")</f>
        <v/>
      </c>
      <c r="F1508" s="16" t="n"/>
      <c r="G1508" s="16" t="n"/>
      <c r="H1508" s="1">
        <f>IF(OR(F1508=0,G1508=0),"",(G1508-F1508)*24)</f>
        <v/>
      </c>
      <c r="I1508" s="10" t="n"/>
      <c r="J1508" s="1">
        <f>IF(OR(tblDowntime[[#This Row],[Failure Type]]="Sawshop",tblDowntime[[#This Row],[Failure Type]]="Electrical",tblDowntime[[#This Row],[Failure Type]]="Mechanical"),tblDowntime[[#This Row],[Downtime Hours]],"")</f>
        <v/>
      </c>
      <c r="K1508" s="10" t="n"/>
      <c r="L1508" s="10" t="n"/>
      <c r="M1508">
        <f>IF(tblDowntime[[#This Row],[Maintenance Downtime Hours]]="","",tblDowntime[[#This Row],[Equipment ID]])</f>
        <v/>
      </c>
      <c r="N1508" s="1">
        <f>IF(tblDowntime[[#This Row],[Failure Type]]="Production",tblDowntime[[#This Row],[Downtime Hours]],"")</f>
        <v/>
      </c>
      <c r="O1508">
        <f>IF(tblDowntime[[#This Row],[Production Downtime Hours]]="","",tblDowntime[[#This Row],[Equipment ID]])</f>
        <v/>
      </c>
      <c r="P1508" s="10" t="n"/>
    </row>
    <row r="1509">
      <c r="B1509">
        <f t="array" ref="B1509">_xlfn.XLOOKUP(C1509,INDIRECT("tblEquipment[Equipment ID]"),INDIRECT("tblEquipment[Production Department]"),"")</f>
        <v/>
      </c>
      <c r="D1509">
        <f t="array" ref="D1509">_xlfn.XLOOKUP(C1509,INDIRECT("tblEquipment[Equipment ID]"),INDIRECT("tblEquipment[Equipment Name]"),"")</f>
        <v/>
      </c>
      <c r="F1509" s="16" t="n"/>
      <c r="G1509" s="16" t="n"/>
      <c r="H1509" s="1">
        <f>IF(OR(F1509=0,G1509=0),"",(G1509-F1509)*24)</f>
        <v/>
      </c>
      <c r="I1509" s="10" t="n"/>
      <c r="J1509" s="1">
        <f>IF(OR(tblDowntime[[#This Row],[Failure Type]]="Sawshop",tblDowntime[[#This Row],[Failure Type]]="Electrical",tblDowntime[[#This Row],[Failure Type]]="Mechanical"),tblDowntime[[#This Row],[Downtime Hours]],"")</f>
        <v/>
      </c>
      <c r="K1509" s="10" t="n"/>
      <c r="L1509" s="10" t="n"/>
      <c r="M1509">
        <f>IF(tblDowntime[[#This Row],[Maintenance Downtime Hours]]="","",tblDowntime[[#This Row],[Equipment ID]])</f>
        <v/>
      </c>
      <c r="N1509" s="1">
        <f>IF(tblDowntime[[#This Row],[Failure Type]]="Production",tblDowntime[[#This Row],[Downtime Hours]],"")</f>
        <v/>
      </c>
      <c r="O1509">
        <f>IF(tblDowntime[[#This Row],[Production Downtime Hours]]="","",tblDowntime[[#This Row],[Equipment ID]])</f>
        <v/>
      </c>
      <c r="P1509" s="10" t="n"/>
    </row>
    <row r="1510">
      <c r="B1510">
        <f t="array" ref="B1510">_xlfn.XLOOKUP(C1510,INDIRECT("tblEquipment[Equipment ID]"),INDIRECT("tblEquipment[Production Department]"),"")</f>
        <v/>
      </c>
      <c r="D1510">
        <f t="array" ref="D1510">_xlfn.XLOOKUP(C1510,INDIRECT("tblEquipment[Equipment ID]"),INDIRECT("tblEquipment[Equipment Name]"),"")</f>
        <v/>
      </c>
      <c r="F1510" s="16" t="n"/>
      <c r="G1510" s="16" t="n"/>
      <c r="H1510" s="1">
        <f>IF(OR(F1510=0,G1510=0),"",(G1510-F1510)*24)</f>
        <v/>
      </c>
      <c r="I1510" s="10" t="n"/>
      <c r="J1510" s="1">
        <f>IF(OR(tblDowntime[[#This Row],[Failure Type]]="Sawshop",tblDowntime[[#This Row],[Failure Type]]="Electrical",tblDowntime[[#This Row],[Failure Type]]="Mechanical"),tblDowntime[[#This Row],[Downtime Hours]],"")</f>
        <v/>
      </c>
      <c r="K1510" s="10" t="n"/>
      <c r="L1510" s="10" t="n"/>
      <c r="M1510">
        <f>IF(tblDowntime[[#This Row],[Maintenance Downtime Hours]]="","",tblDowntime[[#This Row],[Equipment ID]])</f>
        <v/>
      </c>
      <c r="N1510" s="1">
        <f>IF(tblDowntime[[#This Row],[Failure Type]]="Production",tblDowntime[[#This Row],[Downtime Hours]],"")</f>
        <v/>
      </c>
      <c r="O1510">
        <f>IF(tblDowntime[[#This Row],[Production Downtime Hours]]="","",tblDowntime[[#This Row],[Equipment ID]])</f>
        <v/>
      </c>
      <c r="P1510" s="10" t="n"/>
    </row>
    <row r="1511">
      <c r="B1511">
        <f t="array" ref="B1511">_xlfn.XLOOKUP(C1511,INDIRECT("tblEquipment[Equipment ID]"),INDIRECT("tblEquipment[Production Department]"),"")</f>
        <v/>
      </c>
      <c r="D1511">
        <f t="array" ref="D1511">_xlfn.XLOOKUP(C1511,INDIRECT("tblEquipment[Equipment ID]"),INDIRECT("tblEquipment[Equipment Name]"),"")</f>
        <v/>
      </c>
      <c r="F1511" s="16" t="n"/>
      <c r="G1511" s="16" t="n"/>
      <c r="H1511" s="1">
        <f>IF(OR(F1511=0,G1511=0),"",(G1511-F1511)*24)</f>
        <v/>
      </c>
      <c r="I1511" s="10" t="n"/>
      <c r="J1511" s="1">
        <f>IF(OR(tblDowntime[[#This Row],[Failure Type]]="Sawshop",tblDowntime[[#This Row],[Failure Type]]="Electrical",tblDowntime[[#This Row],[Failure Type]]="Mechanical"),tblDowntime[[#This Row],[Downtime Hours]],"")</f>
        <v/>
      </c>
      <c r="K1511" s="10" t="n"/>
      <c r="L1511" s="10" t="n"/>
      <c r="M1511">
        <f>IF(tblDowntime[[#This Row],[Maintenance Downtime Hours]]="","",tblDowntime[[#This Row],[Equipment ID]])</f>
        <v/>
      </c>
      <c r="N1511" s="1">
        <f>IF(tblDowntime[[#This Row],[Failure Type]]="Production",tblDowntime[[#This Row],[Downtime Hours]],"")</f>
        <v/>
      </c>
      <c r="O1511">
        <f>IF(tblDowntime[[#This Row],[Production Downtime Hours]]="","",tblDowntime[[#This Row],[Equipment ID]])</f>
        <v/>
      </c>
      <c r="P1511" s="10" t="n"/>
    </row>
    <row r="1512">
      <c r="B1512">
        <f t="array" ref="B1512">_xlfn.XLOOKUP(C1512,INDIRECT("tblEquipment[Equipment ID]"),INDIRECT("tblEquipment[Production Department]"),"")</f>
        <v/>
      </c>
      <c r="D1512">
        <f t="array" ref="D1512">_xlfn.XLOOKUP(C1512,INDIRECT("tblEquipment[Equipment ID]"),INDIRECT("tblEquipment[Equipment Name]"),"")</f>
        <v/>
      </c>
      <c r="F1512" s="16" t="n"/>
      <c r="G1512" s="16" t="n"/>
      <c r="H1512" s="1">
        <f>IF(OR(F1512=0,G1512=0),"",(G1512-F1512)*24)</f>
        <v/>
      </c>
      <c r="I1512" s="10" t="n"/>
      <c r="J1512" s="1">
        <f>IF(OR(tblDowntime[[#This Row],[Failure Type]]="Sawshop",tblDowntime[[#This Row],[Failure Type]]="Electrical",tblDowntime[[#This Row],[Failure Type]]="Mechanical"),tblDowntime[[#This Row],[Downtime Hours]],"")</f>
        <v/>
      </c>
      <c r="K1512" s="10" t="n"/>
      <c r="L1512" s="10" t="n"/>
      <c r="M1512">
        <f>IF(tblDowntime[[#This Row],[Maintenance Downtime Hours]]="","",tblDowntime[[#This Row],[Equipment ID]])</f>
        <v/>
      </c>
      <c r="N1512" s="1">
        <f>IF(tblDowntime[[#This Row],[Failure Type]]="Production",tblDowntime[[#This Row],[Downtime Hours]],"")</f>
        <v/>
      </c>
      <c r="O1512">
        <f>IF(tblDowntime[[#This Row],[Production Downtime Hours]]="","",tblDowntime[[#This Row],[Equipment ID]])</f>
        <v/>
      </c>
      <c r="P1512" s="10" t="n"/>
    </row>
    <row r="1513">
      <c r="B1513">
        <f t="array" ref="B1513">_xlfn.XLOOKUP(C1513,INDIRECT("tblEquipment[Equipment ID]"),INDIRECT("tblEquipment[Production Department]"),"")</f>
        <v/>
      </c>
      <c r="D1513">
        <f t="array" ref="D1513">_xlfn.XLOOKUP(C1513,INDIRECT("tblEquipment[Equipment ID]"),INDIRECT("tblEquipment[Equipment Name]"),"")</f>
        <v/>
      </c>
      <c r="F1513" s="16" t="n"/>
      <c r="G1513" s="16" t="n"/>
      <c r="H1513" s="1">
        <f>IF(OR(F1513=0,G1513=0),"",(G1513-F1513)*24)</f>
        <v/>
      </c>
      <c r="I1513" s="10" t="n"/>
      <c r="J1513" s="1">
        <f>IF(OR(tblDowntime[[#This Row],[Failure Type]]="Sawshop",tblDowntime[[#This Row],[Failure Type]]="Electrical",tblDowntime[[#This Row],[Failure Type]]="Mechanical"),tblDowntime[[#This Row],[Downtime Hours]],"")</f>
        <v/>
      </c>
      <c r="K1513" s="10" t="n"/>
      <c r="L1513" s="10" t="n"/>
      <c r="M1513">
        <f>IF(tblDowntime[[#This Row],[Maintenance Downtime Hours]]="","",tblDowntime[[#This Row],[Equipment ID]])</f>
        <v/>
      </c>
      <c r="N1513" s="1">
        <f>IF(tblDowntime[[#This Row],[Failure Type]]="Production",tblDowntime[[#This Row],[Downtime Hours]],"")</f>
        <v/>
      </c>
      <c r="O1513">
        <f>IF(tblDowntime[[#This Row],[Production Downtime Hours]]="","",tblDowntime[[#This Row],[Equipment ID]])</f>
        <v/>
      </c>
      <c r="P1513" s="10" t="n"/>
    </row>
    <row r="1514">
      <c r="B1514">
        <f t="array" ref="B1514">_xlfn.XLOOKUP(C1514,INDIRECT("tblEquipment[Equipment ID]"),INDIRECT("tblEquipment[Production Department]"),"")</f>
        <v/>
      </c>
      <c r="D1514">
        <f t="array" ref="D1514">_xlfn.XLOOKUP(C1514,INDIRECT("tblEquipment[Equipment ID]"),INDIRECT("tblEquipment[Equipment Name]"),"")</f>
        <v/>
      </c>
      <c r="F1514" s="16" t="n"/>
      <c r="G1514" s="16" t="n"/>
      <c r="H1514" s="1">
        <f>IF(OR(F1514=0,G1514=0),"",(G1514-F1514)*24)</f>
        <v/>
      </c>
      <c r="I1514" s="10" t="n"/>
      <c r="J1514" s="1">
        <f>IF(OR(tblDowntime[[#This Row],[Failure Type]]="Sawshop",tblDowntime[[#This Row],[Failure Type]]="Electrical",tblDowntime[[#This Row],[Failure Type]]="Mechanical"),tblDowntime[[#This Row],[Downtime Hours]],"")</f>
        <v/>
      </c>
      <c r="K1514" s="10" t="n"/>
      <c r="L1514" s="10" t="n"/>
      <c r="M1514">
        <f>IF(tblDowntime[[#This Row],[Maintenance Downtime Hours]]="","",tblDowntime[[#This Row],[Equipment ID]])</f>
        <v/>
      </c>
      <c r="N1514" s="1">
        <f>IF(tblDowntime[[#This Row],[Failure Type]]="Production",tblDowntime[[#This Row],[Downtime Hours]],"")</f>
        <v/>
      </c>
      <c r="O1514">
        <f>IF(tblDowntime[[#This Row],[Production Downtime Hours]]="","",tblDowntime[[#This Row],[Equipment ID]])</f>
        <v/>
      </c>
      <c r="P1514" s="10" t="n"/>
    </row>
    <row r="1515">
      <c r="B1515">
        <f t="array" ref="B1515">_xlfn.XLOOKUP(C1515,INDIRECT("tblEquipment[Equipment ID]"),INDIRECT("tblEquipment[Production Department]"),"")</f>
        <v/>
      </c>
      <c r="D1515">
        <f t="array" ref="D1515">_xlfn.XLOOKUP(C1515,INDIRECT("tblEquipment[Equipment ID]"),INDIRECT("tblEquipment[Equipment Name]"),"")</f>
        <v/>
      </c>
      <c r="F1515" s="16" t="n"/>
      <c r="G1515" s="16" t="n"/>
      <c r="H1515" s="1">
        <f>IF(OR(F1515=0,G1515=0),"",(G1515-F1515)*24)</f>
        <v/>
      </c>
      <c r="I1515" s="10" t="n"/>
      <c r="J1515" s="1">
        <f>IF(OR(tblDowntime[[#This Row],[Failure Type]]="Sawshop",tblDowntime[[#This Row],[Failure Type]]="Electrical",tblDowntime[[#This Row],[Failure Type]]="Mechanical"),tblDowntime[[#This Row],[Downtime Hours]],"")</f>
        <v/>
      </c>
      <c r="K1515" s="10" t="n"/>
      <c r="L1515" s="10" t="n"/>
      <c r="M1515">
        <f>IF(tblDowntime[[#This Row],[Maintenance Downtime Hours]]="","",tblDowntime[[#This Row],[Equipment ID]])</f>
        <v/>
      </c>
      <c r="N1515" s="1">
        <f>IF(tblDowntime[[#This Row],[Failure Type]]="Production",tblDowntime[[#This Row],[Downtime Hours]],"")</f>
        <v/>
      </c>
      <c r="O1515">
        <f>IF(tblDowntime[[#This Row],[Production Downtime Hours]]="","",tblDowntime[[#This Row],[Equipment ID]])</f>
        <v/>
      </c>
      <c r="P1515" s="10" t="n"/>
    </row>
    <row r="1516">
      <c r="B1516">
        <f t="array" ref="B1516">_xlfn.XLOOKUP(C1516,INDIRECT("tblEquipment[Equipment ID]"),INDIRECT("tblEquipment[Production Department]"),"")</f>
        <v/>
      </c>
      <c r="D1516">
        <f t="array" ref="D1516">_xlfn.XLOOKUP(C1516,INDIRECT("tblEquipment[Equipment ID]"),INDIRECT("tblEquipment[Equipment Name]"),"")</f>
        <v/>
      </c>
      <c r="F1516" s="16" t="n"/>
      <c r="G1516" s="16" t="n"/>
      <c r="H1516" s="1">
        <f>IF(OR(F1516=0,G1516=0),"",(G1516-F1516)*24)</f>
        <v/>
      </c>
      <c r="I1516" s="10" t="n"/>
      <c r="J1516" s="1">
        <f>IF(OR(tblDowntime[[#This Row],[Failure Type]]="Sawshop",tblDowntime[[#This Row],[Failure Type]]="Electrical",tblDowntime[[#This Row],[Failure Type]]="Mechanical"),tblDowntime[[#This Row],[Downtime Hours]],"")</f>
        <v/>
      </c>
      <c r="K1516" s="10" t="n"/>
      <c r="L1516" s="10" t="n"/>
      <c r="M1516">
        <f>IF(tblDowntime[[#This Row],[Maintenance Downtime Hours]]="","",tblDowntime[[#This Row],[Equipment ID]])</f>
        <v/>
      </c>
      <c r="N1516" s="1">
        <f>IF(tblDowntime[[#This Row],[Failure Type]]="Production",tblDowntime[[#This Row],[Downtime Hours]],"")</f>
        <v/>
      </c>
      <c r="O1516">
        <f>IF(tblDowntime[[#This Row],[Production Downtime Hours]]="","",tblDowntime[[#This Row],[Equipment ID]])</f>
        <v/>
      </c>
      <c r="P1516" s="10" t="n"/>
    </row>
    <row r="1517">
      <c r="B1517">
        <f t="array" ref="B1517">_xlfn.XLOOKUP(C1517,INDIRECT("tblEquipment[Equipment ID]"),INDIRECT("tblEquipment[Production Department]"),"")</f>
        <v/>
      </c>
      <c r="D1517">
        <f t="array" ref="D1517">_xlfn.XLOOKUP(C1517,INDIRECT("tblEquipment[Equipment ID]"),INDIRECT("tblEquipment[Equipment Name]"),"")</f>
        <v/>
      </c>
      <c r="F1517" s="16" t="n"/>
      <c r="G1517" s="16" t="n"/>
      <c r="H1517" s="1">
        <f>IF(OR(F1517=0,G1517=0),"",(G1517-F1517)*24)</f>
        <v/>
      </c>
      <c r="I1517" s="10" t="n"/>
      <c r="J1517" s="1">
        <f>IF(OR(tblDowntime[[#This Row],[Failure Type]]="Sawshop",tblDowntime[[#This Row],[Failure Type]]="Electrical",tblDowntime[[#This Row],[Failure Type]]="Mechanical"),tblDowntime[[#This Row],[Downtime Hours]],"")</f>
        <v/>
      </c>
      <c r="K1517" s="10" t="n"/>
      <c r="L1517" s="10" t="n"/>
      <c r="M1517">
        <f>IF(tblDowntime[[#This Row],[Maintenance Downtime Hours]]="","",tblDowntime[[#This Row],[Equipment ID]])</f>
        <v/>
      </c>
      <c r="N1517" s="1">
        <f>IF(tblDowntime[[#This Row],[Failure Type]]="Production",tblDowntime[[#This Row],[Downtime Hours]],"")</f>
        <v/>
      </c>
      <c r="O1517">
        <f>IF(tblDowntime[[#This Row],[Production Downtime Hours]]="","",tblDowntime[[#This Row],[Equipment ID]])</f>
        <v/>
      </c>
      <c r="P1517" s="10" t="n"/>
    </row>
    <row r="1518">
      <c r="B1518">
        <f t="array" ref="B1518">_xlfn.XLOOKUP(C1518,INDIRECT("tblEquipment[Equipment ID]"),INDIRECT("tblEquipment[Production Department]"),"")</f>
        <v/>
      </c>
      <c r="D1518">
        <f t="array" ref="D1518">_xlfn.XLOOKUP(C1518,INDIRECT("tblEquipment[Equipment ID]"),INDIRECT("tblEquipment[Equipment Name]"),"")</f>
        <v/>
      </c>
      <c r="F1518" s="16" t="n"/>
      <c r="G1518" s="16" t="n"/>
      <c r="H1518" s="1">
        <f>IF(OR(F1518=0,G1518=0),"",(G1518-F1518)*24)</f>
        <v/>
      </c>
      <c r="I1518" s="10" t="n"/>
      <c r="J1518" s="1">
        <f>IF(OR(tblDowntime[[#This Row],[Failure Type]]="Sawshop",tblDowntime[[#This Row],[Failure Type]]="Electrical",tblDowntime[[#This Row],[Failure Type]]="Mechanical"),tblDowntime[[#This Row],[Downtime Hours]],"")</f>
        <v/>
      </c>
      <c r="K1518" s="10" t="n"/>
      <c r="L1518" s="10" t="n"/>
      <c r="M1518">
        <f>IF(tblDowntime[[#This Row],[Maintenance Downtime Hours]]="","",tblDowntime[[#This Row],[Equipment ID]])</f>
        <v/>
      </c>
      <c r="N1518" s="1">
        <f>IF(tblDowntime[[#This Row],[Failure Type]]="Production",tblDowntime[[#This Row],[Downtime Hours]],"")</f>
        <v/>
      </c>
      <c r="O1518">
        <f>IF(tblDowntime[[#This Row],[Production Downtime Hours]]="","",tblDowntime[[#This Row],[Equipment ID]])</f>
        <v/>
      </c>
      <c r="P1518" s="10" t="n"/>
    </row>
    <row r="1519">
      <c r="B1519">
        <f t="array" ref="B1519">_xlfn.XLOOKUP(C1519,INDIRECT("tblEquipment[Equipment ID]"),INDIRECT("tblEquipment[Production Department]"),"")</f>
        <v/>
      </c>
      <c r="D1519">
        <f t="array" ref="D1519">_xlfn.XLOOKUP(C1519,INDIRECT("tblEquipment[Equipment ID]"),INDIRECT("tblEquipment[Equipment Name]"),"")</f>
        <v/>
      </c>
      <c r="F1519" s="16" t="n"/>
      <c r="G1519" s="16" t="n"/>
      <c r="H1519" s="1">
        <f>IF(OR(F1519=0,G1519=0),"",(G1519-F1519)*24)</f>
        <v/>
      </c>
      <c r="I1519" s="10" t="n"/>
      <c r="J1519" s="1">
        <f>IF(OR(tblDowntime[[#This Row],[Failure Type]]="Sawshop",tblDowntime[[#This Row],[Failure Type]]="Electrical",tblDowntime[[#This Row],[Failure Type]]="Mechanical"),tblDowntime[[#This Row],[Downtime Hours]],"")</f>
        <v/>
      </c>
      <c r="K1519" s="10" t="n"/>
      <c r="L1519" s="10" t="n"/>
      <c r="M1519">
        <f>IF(tblDowntime[[#This Row],[Maintenance Downtime Hours]]="","",tblDowntime[[#This Row],[Equipment ID]])</f>
        <v/>
      </c>
      <c r="N1519" s="1">
        <f>IF(tblDowntime[[#This Row],[Failure Type]]="Production",tblDowntime[[#This Row],[Downtime Hours]],"")</f>
        <v/>
      </c>
      <c r="O1519">
        <f>IF(tblDowntime[[#This Row],[Production Downtime Hours]]="","",tblDowntime[[#This Row],[Equipment ID]])</f>
        <v/>
      </c>
      <c r="P1519" s="10" t="n"/>
    </row>
    <row r="1520">
      <c r="B1520">
        <f t="array" ref="B1520">_xlfn.XLOOKUP(C1520,INDIRECT("tblEquipment[Equipment ID]"),INDIRECT("tblEquipment[Production Department]"),"")</f>
        <v/>
      </c>
      <c r="D1520">
        <f t="array" ref="D1520">_xlfn.XLOOKUP(C1520,INDIRECT("tblEquipment[Equipment ID]"),INDIRECT("tblEquipment[Equipment Name]"),"")</f>
        <v/>
      </c>
      <c r="F1520" s="16" t="n"/>
      <c r="G1520" s="16" t="n"/>
      <c r="H1520" s="1">
        <f>IF(OR(F1520=0,G1520=0),"",(G1520-F1520)*24)</f>
        <v/>
      </c>
      <c r="I1520" s="10" t="n"/>
      <c r="J1520" s="1">
        <f>IF(OR(tblDowntime[[#This Row],[Failure Type]]="Sawshop",tblDowntime[[#This Row],[Failure Type]]="Electrical",tblDowntime[[#This Row],[Failure Type]]="Mechanical"),tblDowntime[[#This Row],[Downtime Hours]],"")</f>
        <v/>
      </c>
      <c r="K1520" s="10" t="n"/>
      <c r="L1520" s="10" t="n"/>
      <c r="M1520">
        <f>IF(tblDowntime[[#This Row],[Maintenance Downtime Hours]]="","",tblDowntime[[#This Row],[Equipment ID]])</f>
        <v/>
      </c>
      <c r="N1520" s="1">
        <f>IF(tblDowntime[[#This Row],[Failure Type]]="Production",tblDowntime[[#This Row],[Downtime Hours]],"")</f>
        <v/>
      </c>
      <c r="O1520">
        <f>IF(tblDowntime[[#This Row],[Production Downtime Hours]]="","",tblDowntime[[#This Row],[Equipment ID]])</f>
        <v/>
      </c>
      <c r="P1520" s="10" t="n"/>
    </row>
    <row r="1521">
      <c r="B1521">
        <f t="array" ref="B1521">_xlfn.XLOOKUP(C1521,INDIRECT("tblEquipment[Equipment ID]"),INDIRECT("tblEquipment[Production Department]"),"")</f>
        <v/>
      </c>
      <c r="D1521">
        <f t="array" ref="D1521">_xlfn.XLOOKUP(C1521,INDIRECT("tblEquipment[Equipment ID]"),INDIRECT("tblEquipment[Equipment Name]"),"")</f>
        <v/>
      </c>
      <c r="F1521" s="16" t="n"/>
      <c r="G1521" s="16" t="n"/>
      <c r="H1521" s="1">
        <f>IF(OR(F1521=0,G1521=0),"",(G1521-F1521)*24)</f>
        <v/>
      </c>
      <c r="I1521" s="10" t="n"/>
      <c r="J1521" s="1">
        <f>IF(OR(tblDowntime[[#This Row],[Failure Type]]="Sawshop",tblDowntime[[#This Row],[Failure Type]]="Electrical",tblDowntime[[#This Row],[Failure Type]]="Mechanical"),tblDowntime[[#This Row],[Downtime Hours]],"")</f>
        <v/>
      </c>
      <c r="K1521" s="10" t="n"/>
      <c r="L1521" s="10" t="n"/>
      <c r="M1521">
        <f>IF(tblDowntime[[#This Row],[Maintenance Downtime Hours]]="","",tblDowntime[[#This Row],[Equipment ID]])</f>
        <v/>
      </c>
      <c r="N1521" s="1">
        <f>IF(tblDowntime[[#This Row],[Failure Type]]="Production",tblDowntime[[#This Row],[Downtime Hours]],"")</f>
        <v/>
      </c>
      <c r="O1521">
        <f>IF(tblDowntime[[#This Row],[Production Downtime Hours]]="","",tblDowntime[[#This Row],[Equipment ID]])</f>
        <v/>
      </c>
      <c r="P1521" s="10" t="n"/>
    </row>
    <row r="1522">
      <c r="B1522">
        <f t="array" ref="B1522">_xlfn.XLOOKUP(C1522,INDIRECT("tblEquipment[Equipment ID]"),INDIRECT("tblEquipment[Production Department]"),"")</f>
        <v/>
      </c>
      <c r="D1522">
        <f t="array" ref="D1522">_xlfn.XLOOKUP(C1522,INDIRECT("tblEquipment[Equipment ID]"),INDIRECT("tblEquipment[Equipment Name]"),"")</f>
        <v/>
      </c>
      <c r="F1522" s="16" t="n"/>
      <c r="G1522" s="16" t="n"/>
      <c r="H1522" s="1">
        <f>IF(OR(F1522=0,G1522=0),"",(G1522-F1522)*24)</f>
        <v/>
      </c>
      <c r="I1522" s="10" t="n"/>
      <c r="J1522" s="1">
        <f>IF(OR(tblDowntime[[#This Row],[Failure Type]]="Sawshop",tblDowntime[[#This Row],[Failure Type]]="Electrical",tblDowntime[[#This Row],[Failure Type]]="Mechanical"),tblDowntime[[#This Row],[Downtime Hours]],"")</f>
        <v/>
      </c>
      <c r="K1522" s="10" t="n"/>
      <c r="L1522" s="10" t="n"/>
      <c r="M1522">
        <f>IF(tblDowntime[[#This Row],[Maintenance Downtime Hours]]="","",tblDowntime[[#This Row],[Equipment ID]])</f>
        <v/>
      </c>
      <c r="N1522" s="1">
        <f>IF(tblDowntime[[#This Row],[Failure Type]]="Production",tblDowntime[[#This Row],[Downtime Hours]],"")</f>
        <v/>
      </c>
      <c r="O1522">
        <f>IF(tblDowntime[[#This Row],[Production Downtime Hours]]="","",tblDowntime[[#This Row],[Equipment ID]])</f>
        <v/>
      </c>
      <c r="P1522" s="10" t="n"/>
    </row>
    <row r="1523">
      <c r="B1523">
        <f t="array" ref="B1523">_xlfn.XLOOKUP(C1523,INDIRECT("tblEquipment[Equipment ID]"),INDIRECT("tblEquipment[Production Department]"),"")</f>
        <v/>
      </c>
      <c r="D1523">
        <f t="array" ref="D1523">_xlfn.XLOOKUP(C1523,INDIRECT("tblEquipment[Equipment ID]"),INDIRECT("tblEquipment[Equipment Name]"),"")</f>
        <v/>
      </c>
      <c r="F1523" s="16" t="n"/>
      <c r="G1523" s="16" t="n"/>
      <c r="H1523" s="1">
        <f>IF(OR(F1523=0,G1523=0),"",(G1523-F1523)*24)</f>
        <v/>
      </c>
      <c r="I1523" s="10" t="n"/>
      <c r="J1523" s="1">
        <f>IF(OR(tblDowntime[[#This Row],[Failure Type]]="Sawshop",tblDowntime[[#This Row],[Failure Type]]="Electrical",tblDowntime[[#This Row],[Failure Type]]="Mechanical"),tblDowntime[[#This Row],[Downtime Hours]],"")</f>
        <v/>
      </c>
      <c r="K1523" s="10" t="n"/>
      <c r="L1523" s="10" t="n"/>
      <c r="M1523">
        <f>IF(tblDowntime[[#This Row],[Maintenance Downtime Hours]]="","",tblDowntime[[#This Row],[Equipment ID]])</f>
        <v/>
      </c>
      <c r="N1523" s="1">
        <f>IF(tblDowntime[[#This Row],[Failure Type]]="Production",tblDowntime[[#This Row],[Downtime Hours]],"")</f>
        <v/>
      </c>
      <c r="O1523">
        <f>IF(tblDowntime[[#This Row],[Production Downtime Hours]]="","",tblDowntime[[#This Row],[Equipment ID]])</f>
        <v/>
      </c>
      <c r="P1523" s="10" t="n"/>
    </row>
    <row r="1524">
      <c r="B1524">
        <f t="array" ref="B1524">_xlfn.XLOOKUP(C1524,INDIRECT("tblEquipment[Equipment ID]"),INDIRECT("tblEquipment[Production Department]"),"")</f>
        <v/>
      </c>
      <c r="D1524">
        <f t="array" ref="D1524">_xlfn.XLOOKUP(C1524,INDIRECT("tblEquipment[Equipment ID]"),INDIRECT("tblEquipment[Equipment Name]"),"")</f>
        <v/>
      </c>
      <c r="F1524" s="16" t="n"/>
      <c r="G1524" s="16" t="n"/>
      <c r="H1524" s="1">
        <f>IF(OR(F1524=0,G1524=0),"",(G1524-F1524)*24)</f>
        <v/>
      </c>
      <c r="I1524" s="10" t="n"/>
      <c r="J1524" s="1">
        <f>IF(OR(tblDowntime[[#This Row],[Failure Type]]="Sawshop",tblDowntime[[#This Row],[Failure Type]]="Electrical",tblDowntime[[#This Row],[Failure Type]]="Mechanical"),tblDowntime[[#This Row],[Downtime Hours]],"")</f>
        <v/>
      </c>
      <c r="K1524" s="10" t="n"/>
      <c r="L1524" s="10" t="n"/>
      <c r="M1524">
        <f>IF(tblDowntime[[#This Row],[Maintenance Downtime Hours]]="","",tblDowntime[[#This Row],[Equipment ID]])</f>
        <v/>
      </c>
      <c r="N1524" s="1">
        <f>IF(tblDowntime[[#This Row],[Failure Type]]="Production",tblDowntime[[#This Row],[Downtime Hours]],"")</f>
        <v/>
      </c>
      <c r="O1524">
        <f>IF(tblDowntime[[#This Row],[Production Downtime Hours]]="","",tblDowntime[[#This Row],[Equipment ID]])</f>
        <v/>
      </c>
      <c r="P1524" s="10" t="n"/>
    </row>
    <row r="1525">
      <c r="B1525">
        <f t="array" ref="B1525">_xlfn.XLOOKUP(C1525,INDIRECT("tblEquipment[Equipment ID]"),INDIRECT("tblEquipment[Production Department]"),"")</f>
        <v/>
      </c>
      <c r="D1525">
        <f t="array" ref="D1525">_xlfn.XLOOKUP(C1525,INDIRECT("tblEquipment[Equipment ID]"),INDIRECT("tblEquipment[Equipment Name]"),"")</f>
        <v/>
      </c>
      <c r="F1525" s="16" t="n"/>
      <c r="G1525" s="16" t="n"/>
      <c r="H1525" s="1">
        <f>IF(OR(F1525=0,G1525=0),"",(G1525-F1525)*24)</f>
        <v/>
      </c>
      <c r="I1525" s="10" t="n"/>
      <c r="J1525" s="1">
        <f>IF(OR(tblDowntime[[#This Row],[Failure Type]]="Sawshop",tblDowntime[[#This Row],[Failure Type]]="Electrical",tblDowntime[[#This Row],[Failure Type]]="Mechanical"),tblDowntime[[#This Row],[Downtime Hours]],"")</f>
        <v/>
      </c>
      <c r="K1525" s="10" t="n"/>
      <c r="L1525" s="10" t="n"/>
      <c r="M1525">
        <f>IF(tblDowntime[[#This Row],[Maintenance Downtime Hours]]="","",tblDowntime[[#This Row],[Equipment ID]])</f>
        <v/>
      </c>
      <c r="N1525" s="1">
        <f>IF(tblDowntime[[#This Row],[Failure Type]]="Production",tblDowntime[[#This Row],[Downtime Hours]],"")</f>
        <v/>
      </c>
      <c r="O1525">
        <f>IF(tblDowntime[[#This Row],[Production Downtime Hours]]="","",tblDowntime[[#This Row],[Equipment ID]])</f>
        <v/>
      </c>
      <c r="P1525" s="10" t="n"/>
    </row>
    <row r="1526">
      <c r="B1526">
        <f t="array" ref="B1526">_xlfn.XLOOKUP(C1526,INDIRECT("tblEquipment[Equipment ID]"),INDIRECT("tblEquipment[Production Department]"),"")</f>
        <v/>
      </c>
      <c r="D1526">
        <f t="array" ref="D1526">_xlfn.XLOOKUP(C1526,INDIRECT("tblEquipment[Equipment ID]"),INDIRECT("tblEquipment[Equipment Name]"),"")</f>
        <v/>
      </c>
      <c r="F1526" s="16" t="n"/>
      <c r="G1526" s="16" t="n"/>
      <c r="H1526" s="1">
        <f>IF(OR(F1526=0,G1526=0),"",(G1526-F1526)*24)</f>
        <v/>
      </c>
      <c r="I1526" s="10" t="n"/>
      <c r="J1526" s="1">
        <f>IF(OR(tblDowntime[[#This Row],[Failure Type]]="Sawshop",tblDowntime[[#This Row],[Failure Type]]="Electrical",tblDowntime[[#This Row],[Failure Type]]="Mechanical"),tblDowntime[[#This Row],[Downtime Hours]],"")</f>
        <v/>
      </c>
      <c r="K1526" s="10" t="n"/>
      <c r="L1526" s="10" t="n"/>
      <c r="M1526">
        <f>IF(tblDowntime[[#This Row],[Maintenance Downtime Hours]]="","",tblDowntime[[#This Row],[Equipment ID]])</f>
        <v/>
      </c>
      <c r="N1526" s="1">
        <f>IF(tblDowntime[[#This Row],[Failure Type]]="Production",tblDowntime[[#This Row],[Downtime Hours]],"")</f>
        <v/>
      </c>
      <c r="O1526">
        <f>IF(tblDowntime[[#This Row],[Production Downtime Hours]]="","",tblDowntime[[#This Row],[Equipment ID]])</f>
        <v/>
      </c>
      <c r="P1526" s="10" t="n"/>
    </row>
    <row r="1527">
      <c r="B1527">
        <f t="array" ref="B1527">_xlfn.XLOOKUP(C1527,INDIRECT("tblEquipment[Equipment ID]"),INDIRECT("tblEquipment[Production Department]"),"")</f>
        <v/>
      </c>
      <c r="D1527">
        <f t="array" ref="D1527">_xlfn.XLOOKUP(C1527,INDIRECT("tblEquipment[Equipment ID]"),INDIRECT("tblEquipment[Equipment Name]"),"")</f>
        <v/>
      </c>
      <c r="F1527" s="16" t="n"/>
      <c r="G1527" s="16" t="n"/>
      <c r="H1527" s="1">
        <f>IF(OR(F1527=0,G1527=0),"",(G1527-F1527)*24)</f>
        <v/>
      </c>
      <c r="I1527" s="10" t="n"/>
      <c r="J1527" s="1">
        <f>IF(OR(tblDowntime[[#This Row],[Failure Type]]="Sawshop",tblDowntime[[#This Row],[Failure Type]]="Electrical",tblDowntime[[#This Row],[Failure Type]]="Mechanical"),tblDowntime[[#This Row],[Downtime Hours]],"")</f>
        <v/>
      </c>
      <c r="K1527" s="10" t="n"/>
      <c r="L1527" s="10" t="n"/>
      <c r="M1527">
        <f>IF(tblDowntime[[#This Row],[Maintenance Downtime Hours]]="","",tblDowntime[[#This Row],[Equipment ID]])</f>
        <v/>
      </c>
      <c r="N1527" s="1">
        <f>IF(tblDowntime[[#This Row],[Failure Type]]="Production",tblDowntime[[#This Row],[Downtime Hours]],"")</f>
        <v/>
      </c>
      <c r="O1527">
        <f>IF(tblDowntime[[#This Row],[Production Downtime Hours]]="","",tblDowntime[[#This Row],[Equipment ID]])</f>
        <v/>
      </c>
      <c r="P1527" s="10" t="n"/>
    </row>
    <row r="1528">
      <c r="B1528">
        <f t="array" ref="B1528">_xlfn.XLOOKUP(C1528,INDIRECT("tblEquipment[Equipment ID]"),INDIRECT("tblEquipment[Production Department]"),"")</f>
        <v/>
      </c>
      <c r="D1528">
        <f t="array" ref="D1528">_xlfn.XLOOKUP(C1528,INDIRECT("tblEquipment[Equipment ID]"),INDIRECT("tblEquipment[Equipment Name]"),"")</f>
        <v/>
      </c>
      <c r="F1528" s="16" t="n"/>
      <c r="G1528" s="16" t="n"/>
      <c r="H1528" s="1">
        <f>IF(OR(F1528=0,G1528=0),"",(G1528-F1528)*24)</f>
        <v/>
      </c>
      <c r="I1528" s="10" t="n"/>
      <c r="J1528" s="1">
        <f>IF(OR(tblDowntime[[#This Row],[Failure Type]]="Sawshop",tblDowntime[[#This Row],[Failure Type]]="Electrical",tblDowntime[[#This Row],[Failure Type]]="Mechanical"),tblDowntime[[#This Row],[Downtime Hours]],"")</f>
        <v/>
      </c>
      <c r="K1528" s="10" t="n"/>
      <c r="L1528" s="10" t="n"/>
      <c r="M1528">
        <f>IF(tblDowntime[[#This Row],[Maintenance Downtime Hours]]="","",tblDowntime[[#This Row],[Equipment ID]])</f>
        <v/>
      </c>
      <c r="N1528" s="1">
        <f>IF(tblDowntime[[#This Row],[Failure Type]]="Production",tblDowntime[[#This Row],[Downtime Hours]],"")</f>
        <v/>
      </c>
      <c r="O1528">
        <f>IF(tblDowntime[[#This Row],[Production Downtime Hours]]="","",tblDowntime[[#This Row],[Equipment ID]])</f>
        <v/>
      </c>
      <c r="P1528" s="10" t="n"/>
    </row>
    <row r="1529">
      <c r="B1529">
        <f t="array" ref="B1529">_xlfn.XLOOKUP(C1529,INDIRECT("tblEquipment[Equipment ID]"),INDIRECT("tblEquipment[Production Department]"),"")</f>
        <v/>
      </c>
      <c r="D1529">
        <f t="array" ref="D1529">_xlfn.XLOOKUP(C1529,INDIRECT("tblEquipment[Equipment ID]"),INDIRECT("tblEquipment[Equipment Name]"),"")</f>
        <v/>
      </c>
      <c r="F1529" s="16" t="n"/>
      <c r="G1529" s="16" t="n"/>
      <c r="H1529" s="1">
        <f>IF(OR(F1529=0,G1529=0),"",(G1529-F1529)*24)</f>
        <v/>
      </c>
      <c r="I1529" s="10" t="n"/>
      <c r="J1529" s="1">
        <f>IF(OR(tblDowntime[[#This Row],[Failure Type]]="Sawshop",tblDowntime[[#This Row],[Failure Type]]="Electrical",tblDowntime[[#This Row],[Failure Type]]="Mechanical"),tblDowntime[[#This Row],[Downtime Hours]],"")</f>
        <v/>
      </c>
      <c r="K1529" s="10" t="n"/>
      <c r="L1529" s="10" t="n"/>
      <c r="M1529">
        <f>IF(tblDowntime[[#This Row],[Maintenance Downtime Hours]]="","",tblDowntime[[#This Row],[Equipment ID]])</f>
        <v/>
      </c>
      <c r="N1529" s="1">
        <f>IF(tblDowntime[[#This Row],[Failure Type]]="Production",tblDowntime[[#This Row],[Downtime Hours]],"")</f>
        <v/>
      </c>
      <c r="O1529">
        <f>IF(tblDowntime[[#This Row],[Production Downtime Hours]]="","",tblDowntime[[#This Row],[Equipment ID]])</f>
        <v/>
      </c>
      <c r="P1529" s="10" t="n"/>
    </row>
    <row r="1530">
      <c r="B1530">
        <f t="array" ref="B1530">_xlfn.XLOOKUP(C1530,INDIRECT("tblEquipment[Equipment ID]"),INDIRECT("tblEquipment[Production Department]"),"")</f>
        <v/>
      </c>
      <c r="D1530">
        <f t="array" ref="D1530">_xlfn.XLOOKUP(C1530,INDIRECT("tblEquipment[Equipment ID]"),INDIRECT("tblEquipment[Equipment Name]"),"")</f>
        <v/>
      </c>
      <c r="F1530" s="16" t="n"/>
      <c r="G1530" s="16" t="n"/>
      <c r="H1530" s="1">
        <f>IF(OR(F1530=0,G1530=0),"",(G1530-F1530)*24)</f>
        <v/>
      </c>
      <c r="I1530" s="10" t="n"/>
      <c r="J1530" s="1">
        <f>IF(OR(tblDowntime[[#This Row],[Failure Type]]="Sawshop",tblDowntime[[#This Row],[Failure Type]]="Electrical",tblDowntime[[#This Row],[Failure Type]]="Mechanical"),tblDowntime[[#This Row],[Downtime Hours]],"")</f>
        <v/>
      </c>
      <c r="K1530" s="10" t="n"/>
      <c r="L1530" s="10" t="n"/>
      <c r="M1530">
        <f>IF(tblDowntime[[#This Row],[Maintenance Downtime Hours]]="","",tblDowntime[[#This Row],[Equipment ID]])</f>
        <v/>
      </c>
      <c r="N1530" s="1">
        <f>IF(tblDowntime[[#This Row],[Failure Type]]="Production",tblDowntime[[#This Row],[Downtime Hours]],"")</f>
        <v/>
      </c>
      <c r="O1530">
        <f>IF(tblDowntime[[#This Row],[Production Downtime Hours]]="","",tblDowntime[[#This Row],[Equipment ID]])</f>
        <v/>
      </c>
      <c r="P1530" s="10" t="n"/>
    </row>
    <row r="1531">
      <c r="B1531">
        <f t="array" ref="B1531">_xlfn.XLOOKUP(C1531,INDIRECT("tblEquipment[Equipment ID]"),INDIRECT("tblEquipment[Production Department]"),"")</f>
        <v/>
      </c>
      <c r="D1531">
        <f t="array" ref="D1531">_xlfn.XLOOKUP(C1531,INDIRECT("tblEquipment[Equipment ID]"),INDIRECT("tblEquipment[Equipment Name]"),"")</f>
        <v/>
      </c>
      <c r="F1531" s="16" t="n"/>
      <c r="G1531" s="16" t="n"/>
      <c r="H1531" s="1">
        <f>IF(OR(F1531=0,G1531=0),"",(G1531-F1531)*24)</f>
        <v/>
      </c>
      <c r="I1531" s="10" t="n"/>
      <c r="J1531" s="1">
        <f>IF(OR(tblDowntime[[#This Row],[Failure Type]]="Sawshop",tblDowntime[[#This Row],[Failure Type]]="Electrical",tblDowntime[[#This Row],[Failure Type]]="Mechanical"),tblDowntime[[#This Row],[Downtime Hours]],"")</f>
        <v/>
      </c>
      <c r="K1531" s="10" t="n"/>
      <c r="L1531" s="10" t="n"/>
      <c r="M1531">
        <f>IF(tblDowntime[[#This Row],[Maintenance Downtime Hours]]="","",tblDowntime[[#This Row],[Equipment ID]])</f>
        <v/>
      </c>
      <c r="N1531" s="1">
        <f>IF(tblDowntime[[#This Row],[Failure Type]]="Production",tblDowntime[[#This Row],[Downtime Hours]],"")</f>
        <v/>
      </c>
      <c r="O1531">
        <f>IF(tblDowntime[[#This Row],[Production Downtime Hours]]="","",tblDowntime[[#This Row],[Equipment ID]])</f>
        <v/>
      </c>
      <c r="P1531" s="10" t="n"/>
    </row>
    <row r="1532">
      <c r="B1532">
        <f t="array" ref="B1532">_xlfn.XLOOKUP(C1532,INDIRECT("tblEquipment[Equipment ID]"),INDIRECT("tblEquipment[Production Department]"),"")</f>
        <v/>
      </c>
      <c r="D1532">
        <f t="array" ref="D1532">_xlfn.XLOOKUP(C1532,INDIRECT("tblEquipment[Equipment ID]"),INDIRECT("tblEquipment[Equipment Name]"),"")</f>
        <v/>
      </c>
      <c r="F1532" s="16" t="n"/>
      <c r="G1532" s="16" t="n"/>
      <c r="H1532" s="1">
        <f>IF(OR(F1532=0,G1532=0),"",(G1532-F1532)*24)</f>
        <v/>
      </c>
      <c r="I1532" s="10" t="n"/>
      <c r="J1532" s="1">
        <f>IF(OR(tblDowntime[[#This Row],[Failure Type]]="Sawshop",tblDowntime[[#This Row],[Failure Type]]="Electrical",tblDowntime[[#This Row],[Failure Type]]="Mechanical"),tblDowntime[[#This Row],[Downtime Hours]],"")</f>
        <v/>
      </c>
      <c r="K1532" s="10" t="n"/>
      <c r="L1532" s="10" t="n"/>
      <c r="M1532">
        <f>IF(tblDowntime[[#This Row],[Maintenance Downtime Hours]]="","",tblDowntime[[#This Row],[Equipment ID]])</f>
        <v/>
      </c>
      <c r="N1532" s="1">
        <f>IF(tblDowntime[[#This Row],[Failure Type]]="Production",tblDowntime[[#This Row],[Downtime Hours]],"")</f>
        <v/>
      </c>
      <c r="O1532">
        <f>IF(tblDowntime[[#This Row],[Production Downtime Hours]]="","",tblDowntime[[#This Row],[Equipment ID]])</f>
        <v/>
      </c>
      <c r="P1532" s="10" t="n"/>
    </row>
    <row r="1533">
      <c r="B1533">
        <f t="array" ref="B1533">_xlfn.XLOOKUP(C1533,INDIRECT("tblEquipment[Equipment ID]"),INDIRECT("tblEquipment[Production Department]"),"")</f>
        <v/>
      </c>
      <c r="D1533">
        <f t="array" ref="D1533">_xlfn.XLOOKUP(C1533,INDIRECT("tblEquipment[Equipment ID]"),INDIRECT("tblEquipment[Equipment Name]"),"")</f>
        <v/>
      </c>
      <c r="F1533" s="16" t="n"/>
      <c r="G1533" s="16" t="n"/>
      <c r="H1533" s="1">
        <f>IF(OR(F1533=0,G1533=0),"",(G1533-F1533)*24)</f>
        <v/>
      </c>
      <c r="I1533" s="10" t="n"/>
      <c r="J1533" s="1">
        <f>IF(OR(tblDowntime[[#This Row],[Failure Type]]="Sawshop",tblDowntime[[#This Row],[Failure Type]]="Electrical",tblDowntime[[#This Row],[Failure Type]]="Mechanical"),tblDowntime[[#This Row],[Downtime Hours]],"")</f>
        <v/>
      </c>
      <c r="K1533" s="10" t="n"/>
      <c r="L1533" s="10" t="n"/>
      <c r="M1533">
        <f>IF(tblDowntime[[#This Row],[Maintenance Downtime Hours]]="","",tblDowntime[[#This Row],[Equipment ID]])</f>
        <v/>
      </c>
      <c r="N1533" s="1">
        <f>IF(tblDowntime[[#This Row],[Failure Type]]="Production",tblDowntime[[#This Row],[Downtime Hours]],"")</f>
        <v/>
      </c>
      <c r="O1533">
        <f>IF(tblDowntime[[#This Row],[Production Downtime Hours]]="","",tblDowntime[[#This Row],[Equipment ID]])</f>
        <v/>
      </c>
      <c r="P1533" s="10" t="n"/>
    </row>
    <row r="1534">
      <c r="B1534">
        <f t="array" ref="B1534">_xlfn.XLOOKUP(C1534,INDIRECT("tblEquipment[Equipment ID]"),INDIRECT("tblEquipment[Production Department]"),"")</f>
        <v/>
      </c>
      <c r="D1534">
        <f t="array" ref="D1534">_xlfn.XLOOKUP(C1534,INDIRECT("tblEquipment[Equipment ID]"),INDIRECT("tblEquipment[Equipment Name]"),"")</f>
        <v/>
      </c>
      <c r="F1534" s="16" t="n"/>
      <c r="G1534" s="16" t="n"/>
      <c r="H1534" s="1">
        <f>IF(OR(F1534=0,G1534=0),"",(G1534-F1534)*24)</f>
        <v/>
      </c>
      <c r="I1534" s="10" t="n"/>
      <c r="J1534" s="1">
        <f>IF(OR(tblDowntime[[#This Row],[Failure Type]]="Sawshop",tblDowntime[[#This Row],[Failure Type]]="Electrical",tblDowntime[[#This Row],[Failure Type]]="Mechanical"),tblDowntime[[#This Row],[Downtime Hours]],"")</f>
        <v/>
      </c>
      <c r="K1534" s="10" t="n"/>
      <c r="L1534" s="10" t="n"/>
      <c r="M1534">
        <f>IF(tblDowntime[[#This Row],[Maintenance Downtime Hours]]="","",tblDowntime[[#This Row],[Equipment ID]])</f>
        <v/>
      </c>
      <c r="N1534" s="1">
        <f>IF(tblDowntime[[#This Row],[Failure Type]]="Production",tblDowntime[[#This Row],[Downtime Hours]],"")</f>
        <v/>
      </c>
      <c r="O1534">
        <f>IF(tblDowntime[[#This Row],[Production Downtime Hours]]="","",tblDowntime[[#This Row],[Equipment ID]])</f>
        <v/>
      </c>
      <c r="P1534" s="10" t="n"/>
    </row>
    <row r="1535">
      <c r="B1535">
        <f t="array" ref="B1535">_xlfn.XLOOKUP(C1535,INDIRECT("tblEquipment[Equipment ID]"),INDIRECT("tblEquipment[Production Department]"),"")</f>
        <v/>
      </c>
      <c r="D1535">
        <f t="array" ref="D1535">_xlfn.XLOOKUP(C1535,INDIRECT("tblEquipment[Equipment ID]"),INDIRECT("tblEquipment[Equipment Name]"),"")</f>
        <v/>
      </c>
      <c r="F1535" s="16" t="n"/>
      <c r="G1535" s="16" t="n"/>
      <c r="H1535" s="1">
        <f>IF(OR(F1535=0,G1535=0),"",(G1535-F1535)*24)</f>
        <v/>
      </c>
      <c r="I1535" s="10" t="n"/>
      <c r="J1535" s="1">
        <f>IF(OR(tblDowntime[[#This Row],[Failure Type]]="Sawshop",tblDowntime[[#This Row],[Failure Type]]="Electrical",tblDowntime[[#This Row],[Failure Type]]="Mechanical"),tblDowntime[[#This Row],[Downtime Hours]],"")</f>
        <v/>
      </c>
      <c r="K1535" s="10" t="n"/>
      <c r="L1535" s="10" t="n"/>
      <c r="M1535">
        <f>IF(tblDowntime[[#This Row],[Maintenance Downtime Hours]]="","",tblDowntime[[#This Row],[Equipment ID]])</f>
        <v/>
      </c>
      <c r="N1535" s="1">
        <f>IF(tblDowntime[[#This Row],[Failure Type]]="Production",tblDowntime[[#This Row],[Downtime Hours]],"")</f>
        <v/>
      </c>
      <c r="O1535">
        <f>IF(tblDowntime[[#This Row],[Production Downtime Hours]]="","",tblDowntime[[#This Row],[Equipment ID]])</f>
        <v/>
      </c>
      <c r="P1535" s="10" t="n"/>
    </row>
    <row r="1536">
      <c r="B1536">
        <f t="array" ref="B1536">_xlfn.XLOOKUP(C1536,INDIRECT("tblEquipment[Equipment ID]"),INDIRECT("tblEquipment[Production Department]"),"")</f>
        <v/>
      </c>
      <c r="D1536">
        <f t="array" ref="D1536">_xlfn.XLOOKUP(C1536,INDIRECT("tblEquipment[Equipment ID]"),INDIRECT("tblEquipment[Equipment Name]"),"")</f>
        <v/>
      </c>
      <c r="F1536" s="16" t="n"/>
      <c r="G1536" s="16" t="n"/>
      <c r="H1536" s="1">
        <f>IF(OR(F1536=0,G1536=0),"",(G1536-F1536)*24)</f>
        <v/>
      </c>
      <c r="I1536" s="10" t="n"/>
      <c r="J1536" s="1">
        <f>IF(OR(tblDowntime[[#This Row],[Failure Type]]="Sawshop",tblDowntime[[#This Row],[Failure Type]]="Electrical",tblDowntime[[#This Row],[Failure Type]]="Mechanical"),tblDowntime[[#This Row],[Downtime Hours]],"")</f>
        <v/>
      </c>
      <c r="K1536" s="10" t="n"/>
      <c r="L1536" s="10" t="n"/>
      <c r="M1536">
        <f>IF(tblDowntime[[#This Row],[Maintenance Downtime Hours]]="","",tblDowntime[[#This Row],[Equipment ID]])</f>
        <v/>
      </c>
      <c r="N1536" s="1">
        <f>IF(tblDowntime[[#This Row],[Failure Type]]="Production",tblDowntime[[#This Row],[Downtime Hours]],"")</f>
        <v/>
      </c>
      <c r="O1536">
        <f>IF(tblDowntime[[#This Row],[Production Downtime Hours]]="","",tblDowntime[[#This Row],[Equipment ID]])</f>
        <v/>
      </c>
      <c r="P1536" s="10" t="n"/>
    </row>
    <row r="1537">
      <c r="B1537">
        <f t="array" ref="B1537">_xlfn.XLOOKUP(C1537,INDIRECT("tblEquipment[Equipment ID]"),INDIRECT("tblEquipment[Production Department]"),"")</f>
        <v/>
      </c>
      <c r="D1537">
        <f t="array" ref="D1537">_xlfn.XLOOKUP(C1537,INDIRECT("tblEquipment[Equipment ID]"),INDIRECT("tblEquipment[Equipment Name]"),"")</f>
        <v/>
      </c>
      <c r="F1537" s="16" t="n"/>
      <c r="G1537" s="16" t="n"/>
      <c r="H1537" s="1">
        <f>IF(OR(F1537=0,G1537=0),"",(G1537-F1537)*24)</f>
        <v/>
      </c>
      <c r="I1537" s="10" t="n"/>
      <c r="J1537" s="1">
        <f>IF(OR(tblDowntime[[#This Row],[Failure Type]]="Sawshop",tblDowntime[[#This Row],[Failure Type]]="Electrical",tblDowntime[[#This Row],[Failure Type]]="Mechanical"),tblDowntime[[#This Row],[Downtime Hours]],"")</f>
        <v/>
      </c>
      <c r="K1537" s="10" t="n"/>
      <c r="L1537" s="10" t="n"/>
      <c r="M1537">
        <f>IF(tblDowntime[[#This Row],[Maintenance Downtime Hours]]="","",tblDowntime[[#This Row],[Equipment ID]])</f>
        <v/>
      </c>
      <c r="N1537" s="1">
        <f>IF(tblDowntime[[#This Row],[Failure Type]]="Production",tblDowntime[[#This Row],[Downtime Hours]],"")</f>
        <v/>
      </c>
      <c r="O1537">
        <f>IF(tblDowntime[[#This Row],[Production Downtime Hours]]="","",tblDowntime[[#This Row],[Equipment ID]])</f>
        <v/>
      </c>
      <c r="P1537" s="10" t="n"/>
    </row>
    <row r="1538">
      <c r="B1538">
        <f t="array" ref="B1538">_xlfn.XLOOKUP(C1538,INDIRECT("tblEquipment[Equipment ID]"),INDIRECT("tblEquipment[Production Department]"),"")</f>
        <v/>
      </c>
      <c r="D1538">
        <f t="array" ref="D1538">_xlfn.XLOOKUP(C1538,INDIRECT("tblEquipment[Equipment ID]"),INDIRECT("tblEquipment[Equipment Name]"),"")</f>
        <v/>
      </c>
      <c r="F1538" s="16" t="n"/>
      <c r="G1538" s="16" t="n"/>
      <c r="H1538" s="1">
        <f>IF(OR(F1538=0,G1538=0),"",(G1538-F1538)*24)</f>
        <v/>
      </c>
      <c r="I1538" s="10" t="n"/>
      <c r="J1538" s="1">
        <f>IF(OR(tblDowntime[[#This Row],[Failure Type]]="Sawshop",tblDowntime[[#This Row],[Failure Type]]="Electrical",tblDowntime[[#This Row],[Failure Type]]="Mechanical"),tblDowntime[[#This Row],[Downtime Hours]],"")</f>
        <v/>
      </c>
      <c r="K1538" s="10" t="n"/>
      <c r="L1538" s="10" t="n"/>
      <c r="M1538">
        <f>IF(tblDowntime[[#This Row],[Maintenance Downtime Hours]]="","",tblDowntime[[#This Row],[Equipment ID]])</f>
        <v/>
      </c>
      <c r="N1538" s="1">
        <f>IF(tblDowntime[[#This Row],[Failure Type]]="Production",tblDowntime[[#This Row],[Downtime Hours]],"")</f>
        <v/>
      </c>
      <c r="O1538">
        <f>IF(tblDowntime[[#This Row],[Production Downtime Hours]]="","",tblDowntime[[#This Row],[Equipment ID]])</f>
        <v/>
      </c>
      <c r="P1538" s="10" t="n"/>
    </row>
    <row r="1539">
      <c r="B1539">
        <f t="array" ref="B1539">_xlfn.XLOOKUP(C1539,INDIRECT("tblEquipment[Equipment ID]"),INDIRECT("tblEquipment[Production Department]"),"")</f>
        <v/>
      </c>
      <c r="D1539">
        <f t="array" ref="D1539">_xlfn.XLOOKUP(C1539,INDIRECT("tblEquipment[Equipment ID]"),INDIRECT("tblEquipment[Equipment Name]"),"")</f>
        <v/>
      </c>
      <c r="F1539" s="16" t="n"/>
      <c r="G1539" s="16" t="n"/>
      <c r="H1539" s="1">
        <f>IF(OR(F1539=0,G1539=0),"",(G1539-F1539)*24)</f>
        <v/>
      </c>
      <c r="I1539" s="10" t="n"/>
      <c r="J1539" s="1">
        <f>IF(OR(tblDowntime[[#This Row],[Failure Type]]="Sawshop",tblDowntime[[#This Row],[Failure Type]]="Electrical",tblDowntime[[#This Row],[Failure Type]]="Mechanical"),tblDowntime[[#This Row],[Downtime Hours]],"")</f>
        <v/>
      </c>
      <c r="K1539" s="10" t="n"/>
      <c r="L1539" s="10" t="n"/>
      <c r="M1539">
        <f>IF(tblDowntime[[#This Row],[Maintenance Downtime Hours]]="","",tblDowntime[[#This Row],[Equipment ID]])</f>
        <v/>
      </c>
      <c r="N1539" s="1">
        <f>IF(tblDowntime[[#This Row],[Failure Type]]="Production",tblDowntime[[#This Row],[Downtime Hours]],"")</f>
        <v/>
      </c>
      <c r="O1539">
        <f>IF(tblDowntime[[#This Row],[Production Downtime Hours]]="","",tblDowntime[[#This Row],[Equipment ID]])</f>
        <v/>
      </c>
      <c r="P1539" s="10" t="n"/>
    </row>
    <row r="1540">
      <c r="B1540">
        <f t="array" ref="B1540">_xlfn.XLOOKUP(C1540,INDIRECT("tblEquipment[Equipment ID]"),INDIRECT("tblEquipment[Production Department]"),"")</f>
        <v/>
      </c>
      <c r="D1540">
        <f t="array" ref="D1540">_xlfn.XLOOKUP(C1540,INDIRECT("tblEquipment[Equipment ID]"),INDIRECT("tblEquipment[Equipment Name]"),"")</f>
        <v/>
      </c>
      <c r="F1540" s="16" t="n"/>
      <c r="G1540" s="16" t="n"/>
      <c r="H1540" s="1">
        <f>IF(OR(F1540=0,G1540=0),"",(G1540-F1540)*24)</f>
        <v/>
      </c>
      <c r="I1540" s="10" t="n"/>
      <c r="J1540" s="1">
        <f>IF(OR(tblDowntime[[#This Row],[Failure Type]]="Sawshop",tblDowntime[[#This Row],[Failure Type]]="Electrical",tblDowntime[[#This Row],[Failure Type]]="Mechanical"),tblDowntime[[#This Row],[Downtime Hours]],"")</f>
        <v/>
      </c>
      <c r="K1540" s="10" t="n"/>
      <c r="L1540" s="10" t="n"/>
      <c r="M1540">
        <f>IF(tblDowntime[[#This Row],[Maintenance Downtime Hours]]="","",tblDowntime[[#This Row],[Equipment ID]])</f>
        <v/>
      </c>
      <c r="N1540" s="1">
        <f>IF(tblDowntime[[#This Row],[Failure Type]]="Production",tblDowntime[[#This Row],[Downtime Hours]],"")</f>
        <v/>
      </c>
      <c r="O1540">
        <f>IF(tblDowntime[[#This Row],[Production Downtime Hours]]="","",tblDowntime[[#This Row],[Equipment ID]])</f>
        <v/>
      </c>
      <c r="P1540" s="10" t="n"/>
    </row>
    <row r="1541">
      <c r="B1541">
        <f t="array" ref="B1541">_xlfn.XLOOKUP(C1541,INDIRECT("tblEquipment[Equipment ID]"),INDIRECT("tblEquipment[Production Department]"),"")</f>
        <v/>
      </c>
      <c r="D1541">
        <f t="array" ref="D1541">_xlfn.XLOOKUP(C1541,INDIRECT("tblEquipment[Equipment ID]"),INDIRECT("tblEquipment[Equipment Name]"),"")</f>
        <v/>
      </c>
      <c r="F1541" s="16" t="n"/>
      <c r="G1541" s="16" t="n"/>
      <c r="H1541" s="1">
        <f>IF(OR(F1541=0,G1541=0),"",(G1541-F1541)*24)</f>
        <v/>
      </c>
      <c r="I1541" s="10" t="n"/>
      <c r="J1541" s="1">
        <f>IF(OR(tblDowntime[[#This Row],[Failure Type]]="Sawshop",tblDowntime[[#This Row],[Failure Type]]="Electrical",tblDowntime[[#This Row],[Failure Type]]="Mechanical"),tblDowntime[[#This Row],[Downtime Hours]],"")</f>
        <v/>
      </c>
      <c r="K1541" s="10" t="n"/>
      <c r="L1541" s="10" t="n"/>
      <c r="M1541">
        <f>IF(tblDowntime[[#This Row],[Maintenance Downtime Hours]]="","",tblDowntime[[#This Row],[Equipment ID]])</f>
        <v/>
      </c>
      <c r="N1541" s="1">
        <f>IF(tblDowntime[[#This Row],[Failure Type]]="Production",tblDowntime[[#This Row],[Downtime Hours]],"")</f>
        <v/>
      </c>
      <c r="O1541">
        <f>IF(tblDowntime[[#This Row],[Production Downtime Hours]]="","",tblDowntime[[#This Row],[Equipment ID]])</f>
        <v/>
      </c>
      <c r="P1541" s="10" t="n"/>
    </row>
    <row r="1542">
      <c r="B1542">
        <f t="array" ref="B1542">_xlfn.XLOOKUP(C1542,INDIRECT("tblEquipment[Equipment ID]"),INDIRECT("tblEquipment[Production Department]"),"")</f>
        <v/>
      </c>
      <c r="D1542">
        <f t="array" ref="D1542">_xlfn.XLOOKUP(C1542,INDIRECT("tblEquipment[Equipment ID]"),INDIRECT("tblEquipment[Equipment Name]"),"")</f>
        <v/>
      </c>
      <c r="F1542" s="16" t="n"/>
      <c r="G1542" s="16" t="n"/>
      <c r="H1542" s="1">
        <f>IF(OR(F1542=0,G1542=0),"",(G1542-F1542)*24)</f>
        <v/>
      </c>
      <c r="I1542" s="10" t="n"/>
      <c r="J1542" s="1">
        <f>IF(OR(tblDowntime[[#This Row],[Failure Type]]="Sawshop",tblDowntime[[#This Row],[Failure Type]]="Electrical",tblDowntime[[#This Row],[Failure Type]]="Mechanical"),tblDowntime[[#This Row],[Downtime Hours]],"")</f>
        <v/>
      </c>
      <c r="K1542" s="10" t="n"/>
      <c r="L1542" s="10" t="n"/>
      <c r="M1542">
        <f>IF(tblDowntime[[#This Row],[Maintenance Downtime Hours]]="","",tblDowntime[[#This Row],[Equipment ID]])</f>
        <v/>
      </c>
      <c r="N1542" s="1">
        <f>IF(tblDowntime[[#This Row],[Failure Type]]="Production",tblDowntime[[#This Row],[Downtime Hours]],"")</f>
        <v/>
      </c>
      <c r="O1542">
        <f>IF(tblDowntime[[#This Row],[Production Downtime Hours]]="","",tblDowntime[[#This Row],[Equipment ID]])</f>
        <v/>
      </c>
      <c r="P1542" s="10" t="n"/>
    </row>
    <row r="1543">
      <c r="B1543">
        <f t="array" ref="B1543">_xlfn.XLOOKUP(C1543,INDIRECT("tblEquipment[Equipment ID]"),INDIRECT("tblEquipment[Production Department]"),"")</f>
        <v/>
      </c>
      <c r="D1543">
        <f t="array" ref="D1543">_xlfn.XLOOKUP(C1543,INDIRECT("tblEquipment[Equipment ID]"),INDIRECT("tblEquipment[Equipment Name]"),"")</f>
        <v/>
      </c>
      <c r="F1543" s="16" t="n"/>
      <c r="G1543" s="16" t="n"/>
      <c r="H1543" s="1">
        <f>IF(OR(F1543=0,G1543=0),"",(G1543-F1543)*24)</f>
        <v/>
      </c>
      <c r="I1543" s="10" t="n"/>
      <c r="J1543" s="1">
        <f>IF(OR(tblDowntime[[#This Row],[Failure Type]]="Sawshop",tblDowntime[[#This Row],[Failure Type]]="Electrical",tblDowntime[[#This Row],[Failure Type]]="Mechanical"),tblDowntime[[#This Row],[Downtime Hours]],"")</f>
        <v/>
      </c>
      <c r="K1543" s="10" t="n"/>
      <c r="L1543" s="10" t="n"/>
      <c r="M1543">
        <f>IF(tblDowntime[[#This Row],[Maintenance Downtime Hours]]="","",tblDowntime[[#This Row],[Equipment ID]])</f>
        <v/>
      </c>
      <c r="N1543" s="1">
        <f>IF(tblDowntime[[#This Row],[Failure Type]]="Production",tblDowntime[[#This Row],[Downtime Hours]],"")</f>
        <v/>
      </c>
      <c r="O1543">
        <f>IF(tblDowntime[[#This Row],[Production Downtime Hours]]="","",tblDowntime[[#This Row],[Equipment ID]])</f>
        <v/>
      </c>
      <c r="P1543" s="10" t="n"/>
    </row>
    <row r="1544">
      <c r="B1544">
        <f t="array" ref="B1544">_xlfn.XLOOKUP(C1544,INDIRECT("tblEquipment[Equipment ID]"),INDIRECT("tblEquipment[Production Department]"),"")</f>
        <v/>
      </c>
      <c r="D1544">
        <f t="array" ref="D1544">_xlfn.XLOOKUP(C1544,INDIRECT("tblEquipment[Equipment ID]"),INDIRECT("tblEquipment[Equipment Name]"),"")</f>
        <v/>
      </c>
      <c r="F1544" s="16" t="n"/>
      <c r="G1544" s="16" t="n"/>
      <c r="H1544" s="1">
        <f>IF(OR(F1544=0,G1544=0),"",(G1544-F1544)*24)</f>
        <v/>
      </c>
      <c r="I1544" s="10" t="n"/>
      <c r="J1544" s="1">
        <f>IF(OR(tblDowntime[[#This Row],[Failure Type]]="Sawshop",tblDowntime[[#This Row],[Failure Type]]="Electrical",tblDowntime[[#This Row],[Failure Type]]="Mechanical"),tblDowntime[[#This Row],[Downtime Hours]],"")</f>
        <v/>
      </c>
      <c r="K1544" s="10" t="n"/>
      <c r="L1544" s="10" t="n"/>
      <c r="M1544">
        <f>IF(tblDowntime[[#This Row],[Maintenance Downtime Hours]]="","",tblDowntime[[#This Row],[Equipment ID]])</f>
        <v/>
      </c>
      <c r="N1544" s="1">
        <f>IF(tblDowntime[[#This Row],[Failure Type]]="Production",tblDowntime[[#This Row],[Downtime Hours]],"")</f>
        <v/>
      </c>
      <c r="O1544">
        <f>IF(tblDowntime[[#This Row],[Production Downtime Hours]]="","",tblDowntime[[#This Row],[Equipment ID]])</f>
        <v/>
      </c>
      <c r="P1544" s="10" t="n"/>
    </row>
    <row r="1545">
      <c r="B1545">
        <f t="array" ref="B1545">_xlfn.XLOOKUP(C1545,INDIRECT("tblEquipment[Equipment ID]"),INDIRECT("tblEquipment[Production Department]"),"")</f>
        <v/>
      </c>
      <c r="D1545">
        <f t="array" ref="D1545">_xlfn.XLOOKUP(C1545,INDIRECT("tblEquipment[Equipment ID]"),INDIRECT("tblEquipment[Equipment Name]"),"")</f>
        <v/>
      </c>
      <c r="F1545" s="16" t="n"/>
      <c r="G1545" s="16" t="n"/>
      <c r="H1545" s="1">
        <f>IF(OR(F1545=0,G1545=0),"",(G1545-F1545)*24)</f>
        <v/>
      </c>
      <c r="I1545" s="10" t="n"/>
      <c r="J1545" s="1">
        <f>IF(OR(tblDowntime[[#This Row],[Failure Type]]="Sawshop",tblDowntime[[#This Row],[Failure Type]]="Electrical",tblDowntime[[#This Row],[Failure Type]]="Mechanical"),tblDowntime[[#This Row],[Downtime Hours]],"")</f>
        <v/>
      </c>
      <c r="K1545" s="10" t="n"/>
      <c r="L1545" s="10" t="n"/>
      <c r="M1545">
        <f>IF(tblDowntime[[#This Row],[Maintenance Downtime Hours]]="","",tblDowntime[[#This Row],[Equipment ID]])</f>
        <v/>
      </c>
      <c r="N1545" s="1">
        <f>IF(tblDowntime[[#This Row],[Failure Type]]="Production",tblDowntime[[#This Row],[Downtime Hours]],"")</f>
        <v/>
      </c>
      <c r="O1545">
        <f>IF(tblDowntime[[#This Row],[Production Downtime Hours]]="","",tblDowntime[[#This Row],[Equipment ID]])</f>
        <v/>
      </c>
      <c r="P1545" s="10" t="n"/>
    </row>
    <row r="1546">
      <c r="B1546">
        <f t="array" ref="B1546">_xlfn.XLOOKUP(C1546,INDIRECT("tblEquipment[Equipment ID]"),INDIRECT("tblEquipment[Production Department]"),"")</f>
        <v/>
      </c>
      <c r="D1546">
        <f t="array" ref="D1546">_xlfn.XLOOKUP(C1546,INDIRECT("tblEquipment[Equipment ID]"),INDIRECT("tblEquipment[Equipment Name]"),"")</f>
        <v/>
      </c>
      <c r="F1546" s="16" t="n"/>
      <c r="G1546" s="16" t="n"/>
      <c r="H1546" s="1">
        <f>IF(OR(F1546=0,G1546=0),"",(G1546-F1546)*24)</f>
        <v/>
      </c>
      <c r="I1546" s="10" t="n"/>
      <c r="J1546" s="1">
        <f>IF(OR(tblDowntime[[#This Row],[Failure Type]]="Sawshop",tblDowntime[[#This Row],[Failure Type]]="Electrical",tblDowntime[[#This Row],[Failure Type]]="Mechanical"),tblDowntime[[#This Row],[Downtime Hours]],"")</f>
        <v/>
      </c>
      <c r="K1546" s="10" t="n"/>
      <c r="L1546" s="10" t="n"/>
      <c r="M1546">
        <f>IF(tblDowntime[[#This Row],[Maintenance Downtime Hours]]="","",tblDowntime[[#This Row],[Equipment ID]])</f>
        <v/>
      </c>
      <c r="N1546" s="1">
        <f>IF(tblDowntime[[#This Row],[Failure Type]]="Production",tblDowntime[[#This Row],[Downtime Hours]],"")</f>
        <v/>
      </c>
      <c r="O1546">
        <f>IF(tblDowntime[[#This Row],[Production Downtime Hours]]="","",tblDowntime[[#This Row],[Equipment ID]])</f>
        <v/>
      </c>
      <c r="P1546" s="10" t="n"/>
    </row>
    <row r="1547">
      <c r="B1547">
        <f t="array" ref="B1547">_xlfn.XLOOKUP(C1547,INDIRECT("tblEquipment[Equipment ID]"),INDIRECT("tblEquipment[Production Department]"),"")</f>
        <v/>
      </c>
      <c r="D1547">
        <f t="array" ref="D1547">_xlfn.XLOOKUP(C1547,INDIRECT("tblEquipment[Equipment ID]"),INDIRECT("tblEquipment[Equipment Name]"),"")</f>
        <v/>
      </c>
      <c r="F1547" s="16" t="n"/>
      <c r="G1547" s="16" t="n"/>
      <c r="H1547" s="1">
        <f>IF(OR(F1547=0,G1547=0),"",(G1547-F1547)*24)</f>
        <v/>
      </c>
      <c r="I1547" s="10" t="n"/>
      <c r="J1547" s="1">
        <f>IF(OR(tblDowntime[[#This Row],[Failure Type]]="Sawshop",tblDowntime[[#This Row],[Failure Type]]="Electrical",tblDowntime[[#This Row],[Failure Type]]="Mechanical"),tblDowntime[[#This Row],[Downtime Hours]],"")</f>
        <v/>
      </c>
      <c r="K1547" s="10" t="n"/>
      <c r="L1547" s="10" t="n"/>
      <c r="M1547">
        <f>IF(tblDowntime[[#This Row],[Maintenance Downtime Hours]]="","",tblDowntime[[#This Row],[Equipment ID]])</f>
        <v/>
      </c>
      <c r="N1547" s="1">
        <f>IF(tblDowntime[[#This Row],[Failure Type]]="Production",tblDowntime[[#This Row],[Downtime Hours]],"")</f>
        <v/>
      </c>
      <c r="O1547">
        <f>IF(tblDowntime[[#This Row],[Production Downtime Hours]]="","",tblDowntime[[#This Row],[Equipment ID]])</f>
        <v/>
      </c>
      <c r="P1547" s="10" t="n"/>
    </row>
    <row r="1548">
      <c r="B1548">
        <f t="array" ref="B1548">_xlfn.XLOOKUP(C1548,INDIRECT("tblEquipment[Equipment ID]"),INDIRECT("tblEquipment[Production Department]"),"")</f>
        <v/>
      </c>
      <c r="D1548">
        <f t="array" ref="D1548">_xlfn.XLOOKUP(C1548,INDIRECT("tblEquipment[Equipment ID]"),INDIRECT("tblEquipment[Equipment Name]"),"")</f>
        <v/>
      </c>
      <c r="F1548" s="16" t="n"/>
      <c r="G1548" s="16" t="n"/>
      <c r="H1548" s="1">
        <f>IF(OR(F1548=0,G1548=0),"",(G1548-F1548)*24)</f>
        <v/>
      </c>
      <c r="I1548" s="10" t="n"/>
      <c r="J1548" s="1">
        <f>IF(OR(tblDowntime[[#This Row],[Failure Type]]="Sawshop",tblDowntime[[#This Row],[Failure Type]]="Electrical",tblDowntime[[#This Row],[Failure Type]]="Mechanical"),tblDowntime[[#This Row],[Downtime Hours]],"")</f>
        <v/>
      </c>
      <c r="K1548" s="10" t="n"/>
      <c r="L1548" s="10" t="n"/>
      <c r="M1548">
        <f>IF(tblDowntime[[#This Row],[Maintenance Downtime Hours]]="","",tblDowntime[[#This Row],[Equipment ID]])</f>
        <v/>
      </c>
      <c r="N1548" s="1">
        <f>IF(tblDowntime[[#This Row],[Failure Type]]="Production",tblDowntime[[#This Row],[Downtime Hours]],"")</f>
        <v/>
      </c>
      <c r="O1548">
        <f>IF(tblDowntime[[#This Row],[Production Downtime Hours]]="","",tblDowntime[[#This Row],[Equipment ID]])</f>
        <v/>
      </c>
      <c r="P1548" s="10" t="n"/>
    </row>
    <row r="1549">
      <c r="B1549">
        <f t="array" ref="B1549">_xlfn.XLOOKUP(C1549,INDIRECT("tblEquipment[Equipment ID]"),INDIRECT("tblEquipment[Production Department]"),"")</f>
        <v/>
      </c>
      <c r="D1549">
        <f t="array" ref="D1549">_xlfn.XLOOKUP(C1549,INDIRECT("tblEquipment[Equipment ID]"),INDIRECT("tblEquipment[Equipment Name]"),"")</f>
        <v/>
      </c>
      <c r="F1549" s="16" t="n"/>
      <c r="G1549" s="16" t="n"/>
      <c r="H1549" s="1">
        <f>IF(OR(F1549=0,G1549=0),"",(G1549-F1549)*24)</f>
        <v/>
      </c>
      <c r="I1549" s="10" t="n"/>
      <c r="J1549" s="1">
        <f>IF(OR(tblDowntime[[#This Row],[Failure Type]]="Sawshop",tblDowntime[[#This Row],[Failure Type]]="Electrical",tblDowntime[[#This Row],[Failure Type]]="Mechanical"),tblDowntime[[#This Row],[Downtime Hours]],"")</f>
        <v/>
      </c>
      <c r="K1549" s="10" t="n"/>
      <c r="L1549" s="10" t="n"/>
      <c r="M1549">
        <f>IF(tblDowntime[[#This Row],[Maintenance Downtime Hours]]="","",tblDowntime[[#This Row],[Equipment ID]])</f>
        <v/>
      </c>
      <c r="N1549" s="1">
        <f>IF(tblDowntime[[#This Row],[Failure Type]]="Production",tblDowntime[[#This Row],[Downtime Hours]],"")</f>
        <v/>
      </c>
      <c r="O1549">
        <f>IF(tblDowntime[[#This Row],[Production Downtime Hours]]="","",tblDowntime[[#This Row],[Equipment ID]])</f>
        <v/>
      </c>
      <c r="P1549" s="10" t="n"/>
    </row>
    <row r="1550">
      <c r="B1550">
        <f t="array" ref="B1550">_xlfn.XLOOKUP(C1550,INDIRECT("tblEquipment[Equipment ID]"),INDIRECT("tblEquipment[Production Department]"),"")</f>
        <v/>
      </c>
      <c r="D1550">
        <f t="array" ref="D1550">_xlfn.XLOOKUP(C1550,INDIRECT("tblEquipment[Equipment ID]"),INDIRECT("tblEquipment[Equipment Name]"),"")</f>
        <v/>
      </c>
      <c r="F1550" s="16" t="n"/>
      <c r="G1550" s="16" t="n"/>
      <c r="H1550" s="1">
        <f>IF(OR(F1550=0,G1550=0),"",(G1550-F1550)*24)</f>
        <v/>
      </c>
      <c r="I1550" s="10" t="n"/>
      <c r="J1550" s="1">
        <f>IF(OR(tblDowntime[[#This Row],[Failure Type]]="Sawshop",tblDowntime[[#This Row],[Failure Type]]="Electrical",tblDowntime[[#This Row],[Failure Type]]="Mechanical"),tblDowntime[[#This Row],[Downtime Hours]],"")</f>
        <v/>
      </c>
      <c r="K1550" s="10" t="n"/>
      <c r="L1550" s="10" t="n"/>
      <c r="M1550">
        <f>IF(tblDowntime[[#This Row],[Maintenance Downtime Hours]]="","",tblDowntime[[#This Row],[Equipment ID]])</f>
        <v/>
      </c>
      <c r="N1550" s="1">
        <f>IF(tblDowntime[[#This Row],[Failure Type]]="Production",tblDowntime[[#This Row],[Downtime Hours]],"")</f>
        <v/>
      </c>
      <c r="O1550">
        <f>IF(tblDowntime[[#This Row],[Production Downtime Hours]]="","",tblDowntime[[#This Row],[Equipment ID]])</f>
        <v/>
      </c>
      <c r="P1550" s="10" t="n"/>
    </row>
    <row r="1551">
      <c r="B1551">
        <f t="array" ref="B1551">_xlfn.XLOOKUP(C1551,INDIRECT("tblEquipment[Equipment ID]"),INDIRECT("tblEquipment[Production Department]"),"")</f>
        <v/>
      </c>
      <c r="D1551">
        <f t="array" ref="D1551">_xlfn.XLOOKUP(C1551,INDIRECT("tblEquipment[Equipment ID]"),INDIRECT("tblEquipment[Equipment Name]"),"")</f>
        <v/>
      </c>
      <c r="F1551" s="16" t="n"/>
      <c r="G1551" s="16" t="n"/>
      <c r="H1551" s="1">
        <f>IF(OR(F1551=0,G1551=0),"",(G1551-F1551)*24)</f>
        <v/>
      </c>
      <c r="I1551" s="10" t="n"/>
      <c r="J1551" s="1">
        <f>IF(OR(tblDowntime[[#This Row],[Failure Type]]="Sawshop",tblDowntime[[#This Row],[Failure Type]]="Electrical",tblDowntime[[#This Row],[Failure Type]]="Mechanical"),tblDowntime[[#This Row],[Downtime Hours]],"")</f>
        <v/>
      </c>
      <c r="K1551" s="10" t="n"/>
      <c r="L1551" s="10" t="n"/>
      <c r="M1551">
        <f>IF(tblDowntime[[#This Row],[Maintenance Downtime Hours]]="","",tblDowntime[[#This Row],[Equipment ID]])</f>
        <v/>
      </c>
      <c r="N1551" s="1">
        <f>IF(tblDowntime[[#This Row],[Failure Type]]="Production",tblDowntime[[#This Row],[Downtime Hours]],"")</f>
        <v/>
      </c>
      <c r="O1551">
        <f>IF(tblDowntime[[#This Row],[Production Downtime Hours]]="","",tblDowntime[[#This Row],[Equipment ID]])</f>
        <v/>
      </c>
      <c r="P1551" s="10" t="n"/>
    </row>
    <row r="1552">
      <c r="B1552">
        <f t="array" ref="B1552">_xlfn.XLOOKUP(C1552,INDIRECT("tblEquipment[Equipment ID]"),INDIRECT("tblEquipment[Production Department]"),"")</f>
        <v/>
      </c>
      <c r="D1552">
        <f t="array" ref="D1552">_xlfn.XLOOKUP(C1552,INDIRECT("tblEquipment[Equipment ID]"),INDIRECT("tblEquipment[Equipment Name]"),"")</f>
        <v/>
      </c>
      <c r="F1552" s="16" t="n"/>
      <c r="G1552" s="16" t="n"/>
      <c r="H1552" s="1">
        <f>IF(OR(F1552=0,G1552=0),"",(G1552-F1552)*24)</f>
        <v/>
      </c>
      <c r="I1552" s="10" t="n"/>
      <c r="J1552" s="1">
        <f>IF(OR(tblDowntime[[#This Row],[Failure Type]]="Sawshop",tblDowntime[[#This Row],[Failure Type]]="Electrical",tblDowntime[[#This Row],[Failure Type]]="Mechanical"),tblDowntime[[#This Row],[Downtime Hours]],"")</f>
        <v/>
      </c>
      <c r="K1552" s="10" t="n"/>
      <c r="L1552" s="10" t="n"/>
      <c r="M1552">
        <f>IF(tblDowntime[[#This Row],[Maintenance Downtime Hours]]="","",tblDowntime[[#This Row],[Equipment ID]])</f>
        <v/>
      </c>
      <c r="N1552" s="1">
        <f>IF(tblDowntime[[#This Row],[Failure Type]]="Production",tblDowntime[[#This Row],[Downtime Hours]],"")</f>
        <v/>
      </c>
      <c r="O1552">
        <f>IF(tblDowntime[[#This Row],[Production Downtime Hours]]="","",tblDowntime[[#This Row],[Equipment ID]])</f>
        <v/>
      </c>
      <c r="P1552" s="10" t="n"/>
    </row>
    <row r="1553">
      <c r="B1553">
        <f t="array" ref="B1553">_xlfn.XLOOKUP(C1553,INDIRECT("tblEquipment[Equipment ID]"),INDIRECT("tblEquipment[Production Department]"),"")</f>
        <v/>
      </c>
      <c r="D1553">
        <f t="array" ref="D1553">_xlfn.XLOOKUP(C1553,INDIRECT("tblEquipment[Equipment ID]"),INDIRECT("tblEquipment[Equipment Name]"),"")</f>
        <v/>
      </c>
      <c r="F1553" s="16" t="n"/>
      <c r="G1553" s="16" t="n"/>
      <c r="H1553" s="1">
        <f>IF(OR(F1553=0,G1553=0),"",(G1553-F1553)*24)</f>
        <v/>
      </c>
      <c r="I1553" s="10" t="n"/>
      <c r="J1553" s="1">
        <f>IF(OR(tblDowntime[[#This Row],[Failure Type]]="Sawshop",tblDowntime[[#This Row],[Failure Type]]="Electrical",tblDowntime[[#This Row],[Failure Type]]="Mechanical"),tblDowntime[[#This Row],[Downtime Hours]],"")</f>
        <v/>
      </c>
      <c r="K1553" s="10" t="n"/>
      <c r="L1553" s="10" t="n"/>
      <c r="M1553">
        <f>IF(tblDowntime[[#This Row],[Maintenance Downtime Hours]]="","",tblDowntime[[#This Row],[Equipment ID]])</f>
        <v/>
      </c>
      <c r="N1553" s="1">
        <f>IF(tblDowntime[[#This Row],[Failure Type]]="Production",tblDowntime[[#This Row],[Downtime Hours]],"")</f>
        <v/>
      </c>
      <c r="O1553">
        <f>IF(tblDowntime[[#This Row],[Production Downtime Hours]]="","",tblDowntime[[#This Row],[Equipment ID]])</f>
        <v/>
      </c>
      <c r="P1553" s="10" t="n"/>
    </row>
    <row r="1554">
      <c r="B1554">
        <f t="array" ref="B1554">_xlfn.XLOOKUP(C1554,INDIRECT("tblEquipment[Equipment ID]"),INDIRECT("tblEquipment[Production Department]"),"")</f>
        <v/>
      </c>
      <c r="D1554">
        <f t="array" ref="D1554">_xlfn.XLOOKUP(C1554,INDIRECT("tblEquipment[Equipment ID]"),INDIRECT("tblEquipment[Equipment Name]"),"")</f>
        <v/>
      </c>
      <c r="F1554" s="16" t="n"/>
      <c r="G1554" s="16" t="n"/>
      <c r="H1554" s="1">
        <f>IF(OR(F1554=0,G1554=0),"",(G1554-F1554)*24)</f>
        <v/>
      </c>
      <c r="I1554" s="10" t="n"/>
      <c r="J1554" s="1">
        <f>IF(OR(tblDowntime[[#This Row],[Failure Type]]="Sawshop",tblDowntime[[#This Row],[Failure Type]]="Electrical",tblDowntime[[#This Row],[Failure Type]]="Mechanical"),tblDowntime[[#This Row],[Downtime Hours]],"")</f>
        <v/>
      </c>
      <c r="K1554" s="10" t="n"/>
      <c r="L1554" s="10" t="n"/>
      <c r="M1554">
        <f>IF(tblDowntime[[#This Row],[Maintenance Downtime Hours]]="","",tblDowntime[[#This Row],[Equipment ID]])</f>
        <v/>
      </c>
      <c r="N1554" s="1">
        <f>IF(tblDowntime[[#This Row],[Failure Type]]="Production",tblDowntime[[#This Row],[Downtime Hours]],"")</f>
        <v/>
      </c>
      <c r="O1554">
        <f>IF(tblDowntime[[#This Row],[Production Downtime Hours]]="","",tblDowntime[[#This Row],[Equipment ID]])</f>
        <v/>
      </c>
      <c r="P1554" s="10" t="n"/>
    </row>
    <row r="1555">
      <c r="B1555">
        <f t="array" ref="B1555">_xlfn.XLOOKUP(C1555,INDIRECT("tblEquipment[Equipment ID]"),INDIRECT("tblEquipment[Production Department]"),"")</f>
        <v/>
      </c>
      <c r="D1555">
        <f t="array" ref="D1555">_xlfn.XLOOKUP(C1555,INDIRECT("tblEquipment[Equipment ID]"),INDIRECT("tblEquipment[Equipment Name]"),"")</f>
        <v/>
      </c>
      <c r="F1555" s="16" t="n"/>
      <c r="G1555" s="16" t="n"/>
      <c r="H1555" s="1">
        <f>IF(OR(F1555=0,G1555=0),"",(G1555-F1555)*24)</f>
        <v/>
      </c>
      <c r="I1555" s="10" t="n"/>
      <c r="J1555" s="1">
        <f>IF(OR(tblDowntime[[#This Row],[Failure Type]]="Sawshop",tblDowntime[[#This Row],[Failure Type]]="Electrical",tblDowntime[[#This Row],[Failure Type]]="Mechanical"),tblDowntime[[#This Row],[Downtime Hours]],"")</f>
        <v/>
      </c>
      <c r="K1555" s="10" t="n"/>
      <c r="L1555" s="10" t="n"/>
      <c r="M1555">
        <f>IF(tblDowntime[[#This Row],[Maintenance Downtime Hours]]="","",tblDowntime[[#This Row],[Equipment ID]])</f>
        <v/>
      </c>
      <c r="N1555" s="1">
        <f>IF(tblDowntime[[#This Row],[Failure Type]]="Production",tblDowntime[[#This Row],[Downtime Hours]],"")</f>
        <v/>
      </c>
      <c r="O1555">
        <f>IF(tblDowntime[[#This Row],[Production Downtime Hours]]="","",tblDowntime[[#This Row],[Equipment ID]])</f>
        <v/>
      </c>
      <c r="P1555" s="10" t="n"/>
    </row>
    <row r="1556">
      <c r="B1556">
        <f t="array" ref="B1556">_xlfn.XLOOKUP(C1556,INDIRECT("tblEquipment[Equipment ID]"),INDIRECT("tblEquipment[Production Department]"),"")</f>
        <v/>
      </c>
      <c r="D1556">
        <f t="array" ref="D1556">_xlfn.XLOOKUP(C1556,INDIRECT("tblEquipment[Equipment ID]"),INDIRECT("tblEquipment[Equipment Name]"),"")</f>
        <v/>
      </c>
      <c r="F1556" s="16" t="n"/>
      <c r="G1556" s="16" t="n"/>
      <c r="H1556" s="1">
        <f>IF(OR(F1556=0,G1556=0),"",(G1556-F1556)*24)</f>
        <v/>
      </c>
      <c r="I1556" s="10" t="n"/>
      <c r="J1556" s="1">
        <f>IF(OR(tblDowntime[[#This Row],[Failure Type]]="Sawshop",tblDowntime[[#This Row],[Failure Type]]="Electrical",tblDowntime[[#This Row],[Failure Type]]="Mechanical"),tblDowntime[[#This Row],[Downtime Hours]],"")</f>
        <v/>
      </c>
      <c r="K1556" s="10" t="n"/>
      <c r="L1556" s="10" t="n"/>
      <c r="M1556">
        <f>IF(tblDowntime[[#This Row],[Maintenance Downtime Hours]]="","",tblDowntime[[#This Row],[Equipment ID]])</f>
        <v/>
      </c>
      <c r="N1556" s="1">
        <f>IF(tblDowntime[[#This Row],[Failure Type]]="Production",tblDowntime[[#This Row],[Downtime Hours]],"")</f>
        <v/>
      </c>
      <c r="O1556">
        <f>IF(tblDowntime[[#This Row],[Production Downtime Hours]]="","",tblDowntime[[#This Row],[Equipment ID]])</f>
        <v/>
      </c>
      <c r="P1556" s="10" t="n"/>
    </row>
    <row r="1557">
      <c r="B1557">
        <f t="array" ref="B1557">_xlfn.XLOOKUP(C1557,INDIRECT("tblEquipment[Equipment ID]"),INDIRECT("tblEquipment[Production Department]"),"")</f>
        <v/>
      </c>
      <c r="D1557">
        <f t="array" ref="D1557">_xlfn.XLOOKUP(C1557,INDIRECT("tblEquipment[Equipment ID]"),INDIRECT("tblEquipment[Equipment Name]"),"")</f>
        <v/>
      </c>
      <c r="F1557" s="16" t="n"/>
      <c r="G1557" s="16" t="n"/>
      <c r="H1557" s="1">
        <f>IF(OR(F1557=0,G1557=0),"",(G1557-F1557)*24)</f>
        <v/>
      </c>
      <c r="I1557" s="10" t="n"/>
      <c r="J1557" s="1">
        <f>IF(OR(tblDowntime[[#This Row],[Failure Type]]="Sawshop",tblDowntime[[#This Row],[Failure Type]]="Electrical",tblDowntime[[#This Row],[Failure Type]]="Mechanical"),tblDowntime[[#This Row],[Downtime Hours]],"")</f>
        <v/>
      </c>
      <c r="K1557" s="10" t="n"/>
      <c r="L1557" s="10" t="n"/>
      <c r="M1557">
        <f>IF(tblDowntime[[#This Row],[Maintenance Downtime Hours]]="","",tblDowntime[[#This Row],[Equipment ID]])</f>
        <v/>
      </c>
      <c r="N1557" s="1">
        <f>IF(tblDowntime[[#This Row],[Failure Type]]="Production",tblDowntime[[#This Row],[Downtime Hours]],"")</f>
        <v/>
      </c>
      <c r="O1557">
        <f>IF(tblDowntime[[#This Row],[Production Downtime Hours]]="","",tblDowntime[[#This Row],[Equipment ID]])</f>
        <v/>
      </c>
      <c r="P1557" s="10" t="n"/>
    </row>
    <row r="1558">
      <c r="B1558">
        <f t="array" ref="B1558">_xlfn.XLOOKUP(C1558,INDIRECT("tblEquipment[Equipment ID]"),INDIRECT("tblEquipment[Production Department]"),"")</f>
        <v/>
      </c>
      <c r="D1558">
        <f t="array" ref="D1558">_xlfn.XLOOKUP(C1558,INDIRECT("tblEquipment[Equipment ID]"),INDIRECT("tblEquipment[Equipment Name]"),"")</f>
        <v/>
      </c>
      <c r="F1558" s="16" t="n"/>
      <c r="G1558" s="16" t="n"/>
      <c r="H1558" s="1">
        <f>IF(OR(F1558=0,G1558=0),"",(G1558-F1558)*24)</f>
        <v/>
      </c>
      <c r="I1558" s="10" t="n"/>
      <c r="J1558" s="1">
        <f>IF(OR(tblDowntime[[#This Row],[Failure Type]]="Sawshop",tblDowntime[[#This Row],[Failure Type]]="Electrical",tblDowntime[[#This Row],[Failure Type]]="Mechanical"),tblDowntime[[#This Row],[Downtime Hours]],"")</f>
        <v/>
      </c>
      <c r="K1558" s="10" t="n"/>
      <c r="L1558" s="10" t="n"/>
      <c r="M1558">
        <f>IF(tblDowntime[[#This Row],[Maintenance Downtime Hours]]="","",tblDowntime[[#This Row],[Equipment ID]])</f>
        <v/>
      </c>
      <c r="N1558" s="1">
        <f>IF(tblDowntime[[#This Row],[Failure Type]]="Production",tblDowntime[[#This Row],[Downtime Hours]],"")</f>
        <v/>
      </c>
      <c r="O1558">
        <f>IF(tblDowntime[[#This Row],[Production Downtime Hours]]="","",tblDowntime[[#This Row],[Equipment ID]])</f>
        <v/>
      </c>
      <c r="P1558" s="10" t="n"/>
    </row>
    <row r="1559">
      <c r="B1559">
        <f t="array" ref="B1559">_xlfn.XLOOKUP(C1559,INDIRECT("tblEquipment[Equipment ID]"),INDIRECT("tblEquipment[Production Department]"),"")</f>
        <v/>
      </c>
      <c r="D1559">
        <f t="array" ref="D1559">_xlfn.XLOOKUP(C1559,INDIRECT("tblEquipment[Equipment ID]"),INDIRECT("tblEquipment[Equipment Name]"),"")</f>
        <v/>
      </c>
      <c r="F1559" s="16" t="n"/>
      <c r="G1559" s="16" t="n"/>
      <c r="H1559" s="1">
        <f>IF(OR(F1559=0,G1559=0),"",(G1559-F1559)*24)</f>
        <v/>
      </c>
      <c r="I1559" s="10" t="n"/>
      <c r="J1559" s="1">
        <f>IF(OR(tblDowntime[[#This Row],[Failure Type]]="Sawshop",tblDowntime[[#This Row],[Failure Type]]="Electrical",tblDowntime[[#This Row],[Failure Type]]="Mechanical"),tblDowntime[[#This Row],[Downtime Hours]],"")</f>
        <v/>
      </c>
      <c r="K1559" s="10" t="n"/>
      <c r="L1559" s="10" t="n"/>
      <c r="M1559">
        <f>IF(tblDowntime[[#This Row],[Maintenance Downtime Hours]]="","",tblDowntime[[#This Row],[Equipment ID]])</f>
        <v/>
      </c>
      <c r="N1559" s="1">
        <f>IF(tblDowntime[[#This Row],[Failure Type]]="Production",tblDowntime[[#This Row],[Downtime Hours]],"")</f>
        <v/>
      </c>
      <c r="O1559">
        <f>IF(tblDowntime[[#This Row],[Production Downtime Hours]]="","",tblDowntime[[#This Row],[Equipment ID]])</f>
        <v/>
      </c>
      <c r="P1559" s="10" t="n"/>
    </row>
    <row r="1560">
      <c r="B1560">
        <f t="array" ref="B1560">_xlfn.XLOOKUP(C1560,INDIRECT("tblEquipment[Equipment ID]"),INDIRECT("tblEquipment[Production Department]"),"")</f>
        <v/>
      </c>
      <c r="D1560">
        <f t="array" ref="D1560">_xlfn.XLOOKUP(C1560,INDIRECT("tblEquipment[Equipment ID]"),INDIRECT("tblEquipment[Equipment Name]"),"")</f>
        <v/>
      </c>
      <c r="F1560" s="16" t="n"/>
      <c r="G1560" s="16" t="n"/>
      <c r="H1560" s="1">
        <f>IF(OR(F1560=0,G1560=0),"",(G1560-F1560)*24)</f>
        <v/>
      </c>
      <c r="I1560" s="10" t="n"/>
      <c r="J1560" s="1">
        <f>IF(OR(tblDowntime[[#This Row],[Failure Type]]="Sawshop",tblDowntime[[#This Row],[Failure Type]]="Electrical",tblDowntime[[#This Row],[Failure Type]]="Mechanical"),tblDowntime[[#This Row],[Downtime Hours]],"")</f>
        <v/>
      </c>
      <c r="K1560" s="10" t="n"/>
      <c r="L1560" s="10" t="n"/>
      <c r="M1560">
        <f>IF(tblDowntime[[#This Row],[Maintenance Downtime Hours]]="","",tblDowntime[[#This Row],[Equipment ID]])</f>
        <v/>
      </c>
      <c r="N1560" s="1">
        <f>IF(tblDowntime[[#This Row],[Failure Type]]="Production",tblDowntime[[#This Row],[Downtime Hours]],"")</f>
        <v/>
      </c>
      <c r="O1560">
        <f>IF(tblDowntime[[#This Row],[Production Downtime Hours]]="","",tblDowntime[[#This Row],[Equipment ID]])</f>
        <v/>
      </c>
      <c r="P1560" s="10" t="n"/>
    </row>
    <row r="1561">
      <c r="B1561">
        <f t="array" ref="B1561">_xlfn.XLOOKUP(C1561,INDIRECT("tblEquipment[Equipment ID]"),INDIRECT("tblEquipment[Production Department]"),"")</f>
        <v/>
      </c>
      <c r="D1561">
        <f t="array" ref="D1561">_xlfn.XLOOKUP(C1561,INDIRECT("tblEquipment[Equipment ID]"),INDIRECT("tblEquipment[Equipment Name]"),"")</f>
        <v/>
      </c>
      <c r="F1561" s="16" t="n"/>
      <c r="G1561" s="16" t="n"/>
      <c r="H1561" s="1">
        <f>IF(OR(F1561=0,G1561=0),"",(G1561-F1561)*24)</f>
        <v/>
      </c>
      <c r="I1561" s="10" t="n"/>
      <c r="J1561" s="1">
        <f>IF(OR(tblDowntime[[#This Row],[Failure Type]]="Sawshop",tblDowntime[[#This Row],[Failure Type]]="Electrical",tblDowntime[[#This Row],[Failure Type]]="Mechanical"),tblDowntime[[#This Row],[Downtime Hours]],"")</f>
        <v/>
      </c>
      <c r="K1561" s="10" t="n"/>
      <c r="L1561" s="10" t="n"/>
      <c r="M1561">
        <f>IF(tblDowntime[[#This Row],[Maintenance Downtime Hours]]="","",tblDowntime[[#This Row],[Equipment ID]])</f>
        <v/>
      </c>
      <c r="N1561" s="1">
        <f>IF(tblDowntime[[#This Row],[Failure Type]]="Production",tblDowntime[[#This Row],[Downtime Hours]],"")</f>
        <v/>
      </c>
      <c r="O1561">
        <f>IF(tblDowntime[[#This Row],[Production Downtime Hours]]="","",tblDowntime[[#This Row],[Equipment ID]])</f>
        <v/>
      </c>
      <c r="P1561" s="10" t="n"/>
    </row>
    <row r="1562">
      <c r="B1562">
        <f t="array" ref="B1562">_xlfn.XLOOKUP(C1562,INDIRECT("tblEquipment[Equipment ID]"),INDIRECT("tblEquipment[Production Department]"),"")</f>
        <v/>
      </c>
      <c r="D1562">
        <f t="array" ref="D1562">_xlfn.XLOOKUP(C1562,INDIRECT("tblEquipment[Equipment ID]"),INDIRECT("tblEquipment[Equipment Name]"),"")</f>
        <v/>
      </c>
      <c r="F1562" s="16" t="n"/>
      <c r="G1562" s="16" t="n"/>
      <c r="H1562" s="1">
        <f>IF(OR(F1562=0,G1562=0),"",(G1562-F1562)*24)</f>
        <v/>
      </c>
      <c r="I1562" s="10" t="n"/>
      <c r="J1562" s="1">
        <f>IF(OR(tblDowntime[[#This Row],[Failure Type]]="Sawshop",tblDowntime[[#This Row],[Failure Type]]="Electrical",tblDowntime[[#This Row],[Failure Type]]="Mechanical"),tblDowntime[[#This Row],[Downtime Hours]],"")</f>
        <v/>
      </c>
      <c r="K1562" s="10" t="n"/>
      <c r="L1562" s="10" t="n"/>
      <c r="M1562">
        <f>IF(tblDowntime[[#This Row],[Maintenance Downtime Hours]]="","",tblDowntime[[#This Row],[Equipment ID]])</f>
        <v/>
      </c>
      <c r="N1562" s="1">
        <f>IF(tblDowntime[[#This Row],[Failure Type]]="Production",tblDowntime[[#This Row],[Downtime Hours]],"")</f>
        <v/>
      </c>
      <c r="O1562">
        <f>IF(tblDowntime[[#This Row],[Production Downtime Hours]]="","",tblDowntime[[#This Row],[Equipment ID]])</f>
        <v/>
      </c>
      <c r="P1562" s="10" t="n"/>
    </row>
    <row r="1563">
      <c r="B1563">
        <f t="array" ref="B1563">_xlfn.XLOOKUP(C1563,INDIRECT("tblEquipment[Equipment ID]"),INDIRECT("tblEquipment[Production Department]"),"")</f>
        <v/>
      </c>
      <c r="D1563">
        <f t="array" ref="D1563">_xlfn.XLOOKUP(C1563,INDIRECT("tblEquipment[Equipment ID]"),INDIRECT("tblEquipment[Equipment Name]"),"")</f>
        <v/>
      </c>
      <c r="F1563" s="16" t="n"/>
      <c r="G1563" s="16" t="n"/>
      <c r="H1563" s="1">
        <f>IF(OR(F1563=0,G1563=0),"",(G1563-F1563)*24)</f>
        <v/>
      </c>
      <c r="I1563" s="10" t="n"/>
      <c r="J1563" s="1">
        <f>IF(OR(tblDowntime[[#This Row],[Failure Type]]="Sawshop",tblDowntime[[#This Row],[Failure Type]]="Electrical",tblDowntime[[#This Row],[Failure Type]]="Mechanical"),tblDowntime[[#This Row],[Downtime Hours]],"")</f>
        <v/>
      </c>
      <c r="K1563" s="10" t="n"/>
      <c r="L1563" s="10" t="n"/>
      <c r="M1563">
        <f>IF(tblDowntime[[#This Row],[Maintenance Downtime Hours]]="","",tblDowntime[[#This Row],[Equipment ID]])</f>
        <v/>
      </c>
      <c r="N1563" s="1">
        <f>IF(tblDowntime[[#This Row],[Failure Type]]="Production",tblDowntime[[#This Row],[Downtime Hours]],"")</f>
        <v/>
      </c>
      <c r="O1563">
        <f>IF(tblDowntime[[#This Row],[Production Downtime Hours]]="","",tblDowntime[[#This Row],[Equipment ID]])</f>
        <v/>
      </c>
      <c r="P1563" s="10" t="n"/>
    </row>
    <row r="1564">
      <c r="B1564">
        <f t="array" ref="B1564">_xlfn.XLOOKUP(C1564,INDIRECT("tblEquipment[Equipment ID]"),INDIRECT("tblEquipment[Production Department]"),"")</f>
        <v/>
      </c>
      <c r="D1564">
        <f t="array" ref="D1564">_xlfn.XLOOKUP(C1564,INDIRECT("tblEquipment[Equipment ID]"),INDIRECT("tblEquipment[Equipment Name]"),"")</f>
        <v/>
      </c>
      <c r="F1564" s="16" t="n"/>
      <c r="G1564" s="16" t="n"/>
      <c r="H1564" s="1">
        <f>IF(OR(F1564=0,G1564=0),"",(G1564-F1564)*24)</f>
        <v/>
      </c>
      <c r="I1564" s="10" t="n"/>
      <c r="J1564" s="1">
        <f>IF(OR(tblDowntime[[#This Row],[Failure Type]]="Sawshop",tblDowntime[[#This Row],[Failure Type]]="Electrical",tblDowntime[[#This Row],[Failure Type]]="Mechanical"),tblDowntime[[#This Row],[Downtime Hours]],"")</f>
        <v/>
      </c>
      <c r="K1564" s="10" t="n"/>
      <c r="L1564" s="10" t="n"/>
      <c r="M1564">
        <f>IF(tblDowntime[[#This Row],[Maintenance Downtime Hours]]="","",tblDowntime[[#This Row],[Equipment ID]])</f>
        <v/>
      </c>
      <c r="N1564" s="1">
        <f>IF(tblDowntime[[#This Row],[Failure Type]]="Production",tblDowntime[[#This Row],[Downtime Hours]],"")</f>
        <v/>
      </c>
      <c r="O1564">
        <f>IF(tblDowntime[[#This Row],[Production Downtime Hours]]="","",tblDowntime[[#This Row],[Equipment ID]])</f>
        <v/>
      </c>
      <c r="P1564" s="10" t="n"/>
    </row>
    <row r="1565">
      <c r="B1565">
        <f t="array" ref="B1565">_xlfn.XLOOKUP(C1565,INDIRECT("tblEquipment[Equipment ID]"),INDIRECT("tblEquipment[Production Department]"),"")</f>
        <v/>
      </c>
      <c r="D1565">
        <f t="array" ref="D1565">_xlfn.XLOOKUP(C1565,INDIRECT("tblEquipment[Equipment ID]"),INDIRECT("tblEquipment[Equipment Name]"),"")</f>
        <v/>
      </c>
      <c r="F1565" s="16" t="n"/>
      <c r="G1565" s="16" t="n"/>
      <c r="H1565" s="1">
        <f>IF(OR(F1565=0,G1565=0),"",(G1565-F1565)*24)</f>
        <v/>
      </c>
      <c r="I1565" s="10" t="n"/>
      <c r="J1565" s="1">
        <f>IF(OR(tblDowntime[[#This Row],[Failure Type]]="Sawshop",tblDowntime[[#This Row],[Failure Type]]="Electrical",tblDowntime[[#This Row],[Failure Type]]="Mechanical"),tblDowntime[[#This Row],[Downtime Hours]],"")</f>
        <v/>
      </c>
      <c r="K1565" s="10" t="n"/>
      <c r="L1565" s="10" t="n"/>
      <c r="M1565">
        <f>IF(tblDowntime[[#This Row],[Maintenance Downtime Hours]]="","",tblDowntime[[#This Row],[Equipment ID]])</f>
        <v/>
      </c>
      <c r="N1565" s="1">
        <f>IF(tblDowntime[[#This Row],[Failure Type]]="Production",tblDowntime[[#This Row],[Downtime Hours]],"")</f>
        <v/>
      </c>
      <c r="O1565">
        <f>IF(tblDowntime[[#This Row],[Production Downtime Hours]]="","",tblDowntime[[#This Row],[Equipment ID]])</f>
        <v/>
      </c>
      <c r="P1565" s="10" t="n"/>
    </row>
    <row r="1566">
      <c r="B1566">
        <f t="array" ref="B1566">_xlfn.XLOOKUP(C1566,INDIRECT("tblEquipment[Equipment ID]"),INDIRECT("tblEquipment[Production Department]"),"")</f>
        <v/>
      </c>
      <c r="D1566">
        <f t="array" ref="D1566">_xlfn.XLOOKUP(C1566,INDIRECT("tblEquipment[Equipment ID]"),INDIRECT("tblEquipment[Equipment Name]"),"")</f>
        <v/>
      </c>
      <c r="F1566" s="16" t="n"/>
      <c r="G1566" s="16" t="n"/>
      <c r="H1566" s="1">
        <f>IF(OR(F1566=0,G1566=0),"",(G1566-F1566)*24)</f>
        <v/>
      </c>
      <c r="I1566" s="10" t="n"/>
      <c r="J1566" s="1">
        <f>IF(OR(tblDowntime[[#This Row],[Failure Type]]="Sawshop",tblDowntime[[#This Row],[Failure Type]]="Electrical",tblDowntime[[#This Row],[Failure Type]]="Mechanical"),tblDowntime[[#This Row],[Downtime Hours]],"")</f>
        <v/>
      </c>
      <c r="K1566" s="10" t="n"/>
      <c r="L1566" s="10" t="n"/>
      <c r="M1566">
        <f>IF(tblDowntime[[#This Row],[Maintenance Downtime Hours]]="","",tblDowntime[[#This Row],[Equipment ID]])</f>
        <v/>
      </c>
      <c r="N1566" s="1">
        <f>IF(tblDowntime[[#This Row],[Failure Type]]="Production",tblDowntime[[#This Row],[Downtime Hours]],"")</f>
        <v/>
      </c>
      <c r="O1566">
        <f>IF(tblDowntime[[#This Row],[Production Downtime Hours]]="","",tblDowntime[[#This Row],[Equipment ID]])</f>
        <v/>
      </c>
      <c r="P1566" s="10" t="n"/>
    </row>
    <row r="1567">
      <c r="B1567">
        <f t="array" ref="B1567">_xlfn.XLOOKUP(C1567,INDIRECT("tblEquipment[Equipment ID]"),INDIRECT("tblEquipment[Production Department]"),"")</f>
        <v/>
      </c>
      <c r="D1567">
        <f t="array" ref="D1567">_xlfn.XLOOKUP(C1567,INDIRECT("tblEquipment[Equipment ID]"),INDIRECT("tblEquipment[Equipment Name]"),"")</f>
        <v/>
      </c>
      <c r="F1567" s="16" t="n"/>
      <c r="G1567" s="16" t="n"/>
      <c r="H1567" s="1">
        <f>IF(OR(F1567=0,G1567=0),"",(G1567-F1567)*24)</f>
        <v/>
      </c>
      <c r="I1567" s="10" t="n"/>
      <c r="J1567" s="1">
        <f>IF(OR(tblDowntime[[#This Row],[Failure Type]]="Sawshop",tblDowntime[[#This Row],[Failure Type]]="Electrical",tblDowntime[[#This Row],[Failure Type]]="Mechanical"),tblDowntime[[#This Row],[Downtime Hours]],"")</f>
        <v/>
      </c>
      <c r="K1567" s="10" t="n"/>
      <c r="L1567" s="10" t="n"/>
      <c r="M1567">
        <f>IF(tblDowntime[[#This Row],[Maintenance Downtime Hours]]="","",tblDowntime[[#This Row],[Equipment ID]])</f>
        <v/>
      </c>
      <c r="N1567" s="1">
        <f>IF(tblDowntime[[#This Row],[Failure Type]]="Production",tblDowntime[[#This Row],[Downtime Hours]],"")</f>
        <v/>
      </c>
      <c r="O1567">
        <f>IF(tblDowntime[[#This Row],[Production Downtime Hours]]="","",tblDowntime[[#This Row],[Equipment ID]])</f>
        <v/>
      </c>
      <c r="P1567" s="10" t="n"/>
    </row>
    <row r="1568">
      <c r="B1568">
        <f t="array" ref="B1568">_xlfn.XLOOKUP(C1568,INDIRECT("tblEquipment[Equipment ID]"),INDIRECT("tblEquipment[Production Department]"),"")</f>
        <v/>
      </c>
      <c r="D1568">
        <f t="array" ref="D1568">_xlfn.XLOOKUP(C1568,INDIRECT("tblEquipment[Equipment ID]"),INDIRECT("tblEquipment[Equipment Name]"),"")</f>
        <v/>
      </c>
      <c r="F1568" s="16" t="n"/>
      <c r="G1568" s="16" t="n"/>
      <c r="H1568" s="1">
        <f>IF(OR(F1568=0,G1568=0),"",(G1568-F1568)*24)</f>
        <v/>
      </c>
      <c r="I1568" s="10" t="n"/>
      <c r="J1568" s="1">
        <f>IF(OR(tblDowntime[[#This Row],[Failure Type]]="Sawshop",tblDowntime[[#This Row],[Failure Type]]="Electrical",tblDowntime[[#This Row],[Failure Type]]="Mechanical"),tblDowntime[[#This Row],[Downtime Hours]],"")</f>
        <v/>
      </c>
      <c r="K1568" s="10" t="n"/>
      <c r="L1568" s="10" t="n"/>
      <c r="M1568">
        <f>IF(tblDowntime[[#This Row],[Maintenance Downtime Hours]]="","",tblDowntime[[#This Row],[Equipment ID]])</f>
        <v/>
      </c>
      <c r="N1568" s="1">
        <f>IF(tblDowntime[[#This Row],[Failure Type]]="Production",tblDowntime[[#This Row],[Downtime Hours]],"")</f>
        <v/>
      </c>
      <c r="O1568">
        <f>IF(tblDowntime[[#This Row],[Production Downtime Hours]]="","",tblDowntime[[#This Row],[Equipment ID]])</f>
        <v/>
      </c>
      <c r="P1568" s="10" t="n"/>
    </row>
    <row r="1569">
      <c r="B1569">
        <f t="array" ref="B1569">_xlfn.XLOOKUP(C1569,INDIRECT("tblEquipment[Equipment ID]"),INDIRECT("tblEquipment[Production Department]"),"")</f>
        <v/>
      </c>
      <c r="D1569">
        <f t="array" ref="D1569">_xlfn.XLOOKUP(C1569,INDIRECT("tblEquipment[Equipment ID]"),INDIRECT("tblEquipment[Equipment Name]"),"")</f>
        <v/>
      </c>
      <c r="F1569" s="16" t="n"/>
      <c r="G1569" s="16" t="n"/>
      <c r="H1569" s="1">
        <f>IF(OR(F1569=0,G1569=0),"",(G1569-F1569)*24)</f>
        <v/>
      </c>
      <c r="I1569" s="10" t="n"/>
      <c r="J1569" s="1">
        <f>IF(OR(tblDowntime[[#This Row],[Failure Type]]="Sawshop",tblDowntime[[#This Row],[Failure Type]]="Electrical",tblDowntime[[#This Row],[Failure Type]]="Mechanical"),tblDowntime[[#This Row],[Downtime Hours]],"")</f>
        <v/>
      </c>
      <c r="K1569" s="10" t="n"/>
      <c r="L1569" s="10" t="n"/>
      <c r="M1569">
        <f>IF(tblDowntime[[#This Row],[Maintenance Downtime Hours]]="","",tblDowntime[[#This Row],[Equipment ID]])</f>
        <v/>
      </c>
      <c r="N1569" s="1">
        <f>IF(tblDowntime[[#This Row],[Failure Type]]="Production",tblDowntime[[#This Row],[Downtime Hours]],"")</f>
        <v/>
      </c>
      <c r="O1569">
        <f>IF(tblDowntime[[#This Row],[Production Downtime Hours]]="","",tblDowntime[[#This Row],[Equipment ID]])</f>
        <v/>
      </c>
      <c r="P1569" s="10" t="n"/>
    </row>
    <row r="1570">
      <c r="B1570">
        <f t="array" ref="B1570">_xlfn.XLOOKUP(C1570,INDIRECT("tblEquipment[Equipment ID]"),INDIRECT("tblEquipment[Production Department]"),"")</f>
        <v/>
      </c>
      <c r="D1570">
        <f t="array" ref="D1570">_xlfn.XLOOKUP(C1570,INDIRECT("tblEquipment[Equipment ID]"),INDIRECT("tblEquipment[Equipment Name]"),"")</f>
        <v/>
      </c>
      <c r="F1570" s="16" t="n"/>
      <c r="G1570" s="16" t="n"/>
      <c r="H1570" s="1">
        <f>IF(OR(F1570=0,G1570=0),"",(G1570-F1570)*24)</f>
        <v/>
      </c>
      <c r="I1570" s="10" t="n"/>
      <c r="J1570" s="1">
        <f>IF(OR(tblDowntime[[#This Row],[Failure Type]]="Sawshop",tblDowntime[[#This Row],[Failure Type]]="Electrical",tblDowntime[[#This Row],[Failure Type]]="Mechanical"),tblDowntime[[#This Row],[Downtime Hours]],"")</f>
        <v/>
      </c>
      <c r="K1570" s="10" t="n"/>
      <c r="L1570" s="10" t="n"/>
      <c r="M1570">
        <f>IF(tblDowntime[[#This Row],[Maintenance Downtime Hours]]="","",tblDowntime[[#This Row],[Equipment ID]])</f>
        <v/>
      </c>
      <c r="N1570" s="1">
        <f>IF(tblDowntime[[#This Row],[Failure Type]]="Production",tblDowntime[[#This Row],[Downtime Hours]],"")</f>
        <v/>
      </c>
      <c r="O1570">
        <f>IF(tblDowntime[[#This Row],[Production Downtime Hours]]="","",tblDowntime[[#This Row],[Equipment ID]])</f>
        <v/>
      </c>
      <c r="P1570" s="10" t="n"/>
    </row>
    <row r="1571">
      <c r="B1571">
        <f t="array" ref="B1571">_xlfn.XLOOKUP(C1571,INDIRECT("tblEquipment[Equipment ID]"),INDIRECT("tblEquipment[Production Department]"),"")</f>
        <v/>
      </c>
      <c r="D1571">
        <f t="array" ref="D1571">_xlfn.XLOOKUP(C1571,INDIRECT("tblEquipment[Equipment ID]"),INDIRECT("tblEquipment[Equipment Name]"),"")</f>
        <v/>
      </c>
      <c r="F1571" s="16" t="n"/>
      <c r="G1571" s="16" t="n"/>
      <c r="H1571" s="1">
        <f>IF(OR(F1571=0,G1571=0),"",(G1571-F1571)*24)</f>
        <v/>
      </c>
      <c r="I1571" s="10" t="n"/>
      <c r="J1571" s="1">
        <f>IF(OR(tblDowntime[[#This Row],[Failure Type]]="Sawshop",tblDowntime[[#This Row],[Failure Type]]="Electrical",tblDowntime[[#This Row],[Failure Type]]="Mechanical"),tblDowntime[[#This Row],[Downtime Hours]],"")</f>
        <v/>
      </c>
      <c r="K1571" s="10" t="n"/>
      <c r="L1571" s="10" t="n"/>
      <c r="M1571">
        <f>IF(tblDowntime[[#This Row],[Maintenance Downtime Hours]]="","",tblDowntime[[#This Row],[Equipment ID]])</f>
        <v/>
      </c>
      <c r="N1571" s="1">
        <f>IF(tblDowntime[[#This Row],[Failure Type]]="Production",tblDowntime[[#This Row],[Downtime Hours]],"")</f>
        <v/>
      </c>
      <c r="O1571">
        <f>IF(tblDowntime[[#This Row],[Production Downtime Hours]]="","",tblDowntime[[#This Row],[Equipment ID]])</f>
        <v/>
      </c>
      <c r="P1571" s="10" t="n"/>
    </row>
    <row r="1572">
      <c r="B1572">
        <f t="array" ref="B1572">_xlfn.XLOOKUP(C1572,INDIRECT("tblEquipment[Equipment ID]"),INDIRECT("tblEquipment[Production Department]"),"")</f>
        <v/>
      </c>
      <c r="D1572">
        <f t="array" ref="D1572">_xlfn.XLOOKUP(C1572,INDIRECT("tblEquipment[Equipment ID]"),INDIRECT("tblEquipment[Equipment Name]"),"")</f>
        <v/>
      </c>
      <c r="F1572" s="16" t="n"/>
      <c r="G1572" s="16" t="n"/>
      <c r="H1572" s="1">
        <f>IF(OR(F1572=0,G1572=0),"",(G1572-F1572)*24)</f>
        <v/>
      </c>
      <c r="I1572" s="10" t="n"/>
      <c r="J1572" s="1">
        <f>IF(OR(tblDowntime[[#This Row],[Failure Type]]="Sawshop",tblDowntime[[#This Row],[Failure Type]]="Electrical",tblDowntime[[#This Row],[Failure Type]]="Mechanical"),tblDowntime[[#This Row],[Downtime Hours]],"")</f>
        <v/>
      </c>
      <c r="K1572" s="10" t="n"/>
      <c r="L1572" s="10" t="n"/>
      <c r="M1572">
        <f>IF(tblDowntime[[#This Row],[Maintenance Downtime Hours]]="","",tblDowntime[[#This Row],[Equipment ID]])</f>
        <v/>
      </c>
      <c r="N1572" s="1">
        <f>IF(tblDowntime[[#This Row],[Failure Type]]="Production",tblDowntime[[#This Row],[Downtime Hours]],"")</f>
        <v/>
      </c>
      <c r="O1572">
        <f>IF(tblDowntime[[#This Row],[Production Downtime Hours]]="","",tblDowntime[[#This Row],[Equipment ID]])</f>
        <v/>
      </c>
      <c r="P1572" s="10" t="n"/>
    </row>
    <row r="1573">
      <c r="B1573">
        <f t="array" ref="B1573">_xlfn.XLOOKUP(C1573,INDIRECT("tblEquipment[Equipment ID]"),INDIRECT("tblEquipment[Production Department]"),"")</f>
        <v/>
      </c>
      <c r="D1573">
        <f t="array" ref="D1573">_xlfn.XLOOKUP(C1573,INDIRECT("tblEquipment[Equipment ID]"),INDIRECT("tblEquipment[Equipment Name]"),"")</f>
        <v/>
      </c>
      <c r="F1573" s="16" t="n"/>
      <c r="G1573" s="16" t="n"/>
      <c r="H1573" s="1">
        <f>IF(OR(F1573=0,G1573=0),"",(G1573-F1573)*24)</f>
        <v/>
      </c>
      <c r="I1573" s="10" t="n"/>
      <c r="J1573" s="1">
        <f>IF(OR(tblDowntime[[#This Row],[Failure Type]]="Sawshop",tblDowntime[[#This Row],[Failure Type]]="Electrical",tblDowntime[[#This Row],[Failure Type]]="Mechanical"),tblDowntime[[#This Row],[Downtime Hours]],"")</f>
        <v/>
      </c>
      <c r="K1573" s="10" t="n"/>
      <c r="L1573" s="10" t="n"/>
      <c r="M1573">
        <f>IF(tblDowntime[[#This Row],[Maintenance Downtime Hours]]="","",tblDowntime[[#This Row],[Equipment ID]])</f>
        <v/>
      </c>
      <c r="N1573" s="1">
        <f>IF(tblDowntime[[#This Row],[Failure Type]]="Production",tblDowntime[[#This Row],[Downtime Hours]],"")</f>
        <v/>
      </c>
      <c r="O1573">
        <f>IF(tblDowntime[[#This Row],[Production Downtime Hours]]="","",tblDowntime[[#This Row],[Equipment ID]])</f>
        <v/>
      </c>
      <c r="P1573" s="10" t="n"/>
    </row>
    <row r="1574">
      <c r="B1574">
        <f t="array" ref="B1574">_xlfn.XLOOKUP(C1574,INDIRECT("tblEquipment[Equipment ID]"),INDIRECT("tblEquipment[Production Department]"),"")</f>
        <v/>
      </c>
      <c r="D1574">
        <f t="array" ref="D1574">_xlfn.XLOOKUP(C1574,INDIRECT("tblEquipment[Equipment ID]"),INDIRECT("tblEquipment[Equipment Name]"),"")</f>
        <v/>
      </c>
      <c r="F1574" s="16" t="n"/>
      <c r="G1574" s="16" t="n"/>
      <c r="H1574" s="1">
        <f>IF(OR(F1574=0,G1574=0),"",(G1574-F1574)*24)</f>
        <v/>
      </c>
      <c r="I1574" s="10" t="n"/>
      <c r="J1574" s="1">
        <f>IF(OR(tblDowntime[[#This Row],[Failure Type]]="Sawshop",tblDowntime[[#This Row],[Failure Type]]="Electrical",tblDowntime[[#This Row],[Failure Type]]="Mechanical"),tblDowntime[[#This Row],[Downtime Hours]],"")</f>
        <v/>
      </c>
      <c r="K1574" s="10" t="n"/>
      <c r="L1574" s="10" t="n"/>
      <c r="M1574">
        <f>IF(tblDowntime[[#This Row],[Maintenance Downtime Hours]]="","",tblDowntime[[#This Row],[Equipment ID]])</f>
        <v/>
      </c>
      <c r="N1574" s="1">
        <f>IF(tblDowntime[[#This Row],[Failure Type]]="Production",tblDowntime[[#This Row],[Downtime Hours]],"")</f>
        <v/>
      </c>
      <c r="O1574">
        <f>IF(tblDowntime[[#This Row],[Production Downtime Hours]]="","",tblDowntime[[#This Row],[Equipment ID]])</f>
        <v/>
      </c>
      <c r="P1574" s="10" t="n"/>
    </row>
    <row r="1575">
      <c r="B1575">
        <f t="array" ref="B1575">_xlfn.XLOOKUP(C1575,INDIRECT("tblEquipment[Equipment ID]"),INDIRECT("tblEquipment[Production Department]"),"")</f>
        <v/>
      </c>
      <c r="D1575">
        <f t="array" ref="D1575">_xlfn.XLOOKUP(C1575,INDIRECT("tblEquipment[Equipment ID]"),INDIRECT("tblEquipment[Equipment Name]"),"")</f>
        <v/>
      </c>
      <c r="F1575" s="16" t="n"/>
      <c r="G1575" s="16" t="n"/>
      <c r="H1575" s="1">
        <f>IF(OR(F1575=0,G1575=0),"",(G1575-F1575)*24)</f>
        <v/>
      </c>
      <c r="I1575" s="10" t="n"/>
      <c r="J1575" s="1">
        <f>IF(OR(tblDowntime[[#This Row],[Failure Type]]="Sawshop",tblDowntime[[#This Row],[Failure Type]]="Electrical",tblDowntime[[#This Row],[Failure Type]]="Mechanical"),tblDowntime[[#This Row],[Downtime Hours]],"")</f>
        <v/>
      </c>
      <c r="K1575" s="10" t="n"/>
      <c r="L1575" s="10" t="n"/>
      <c r="M1575">
        <f>IF(tblDowntime[[#This Row],[Maintenance Downtime Hours]]="","",tblDowntime[[#This Row],[Equipment ID]])</f>
        <v/>
      </c>
      <c r="N1575" s="1">
        <f>IF(tblDowntime[[#This Row],[Failure Type]]="Production",tblDowntime[[#This Row],[Downtime Hours]],"")</f>
        <v/>
      </c>
      <c r="O1575">
        <f>IF(tblDowntime[[#This Row],[Production Downtime Hours]]="","",tblDowntime[[#This Row],[Equipment ID]])</f>
        <v/>
      </c>
      <c r="P1575" s="10" t="n"/>
    </row>
    <row r="1576">
      <c r="B1576">
        <f t="array" ref="B1576">_xlfn.XLOOKUP(C1576,INDIRECT("tblEquipment[Equipment ID]"),INDIRECT("tblEquipment[Production Department]"),"")</f>
        <v/>
      </c>
      <c r="D1576">
        <f t="array" ref="D1576">_xlfn.XLOOKUP(C1576,INDIRECT("tblEquipment[Equipment ID]"),INDIRECT("tblEquipment[Equipment Name]"),"")</f>
        <v/>
      </c>
      <c r="F1576" s="16" t="n"/>
      <c r="G1576" s="16" t="n"/>
      <c r="H1576" s="1">
        <f>IF(OR(F1576=0,G1576=0),"",(G1576-F1576)*24)</f>
        <v/>
      </c>
      <c r="I1576" s="10" t="n"/>
      <c r="J1576" s="1">
        <f>IF(OR(tblDowntime[[#This Row],[Failure Type]]="Sawshop",tblDowntime[[#This Row],[Failure Type]]="Electrical",tblDowntime[[#This Row],[Failure Type]]="Mechanical"),tblDowntime[[#This Row],[Downtime Hours]],"")</f>
        <v/>
      </c>
      <c r="K1576" s="10" t="n"/>
      <c r="L1576" s="10" t="n"/>
      <c r="M1576">
        <f>IF(tblDowntime[[#This Row],[Maintenance Downtime Hours]]="","",tblDowntime[[#This Row],[Equipment ID]])</f>
        <v/>
      </c>
      <c r="N1576" s="1">
        <f>IF(tblDowntime[[#This Row],[Failure Type]]="Production",tblDowntime[[#This Row],[Downtime Hours]],"")</f>
        <v/>
      </c>
      <c r="O1576">
        <f>IF(tblDowntime[[#This Row],[Production Downtime Hours]]="","",tblDowntime[[#This Row],[Equipment ID]])</f>
        <v/>
      </c>
      <c r="P1576" s="10" t="n"/>
    </row>
    <row r="1577">
      <c r="B1577">
        <f t="array" ref="B1577">_xlfn.XLOOKUP(C1577,INDIRECT("tblEquipment[Equipment ID]"),INDIRECT("tblEquipment[Production Department]"),"")</f>
        <v/>
      </c>
      <c r="D1577">
        <f t="array" ref="D1577">_xlfn.XLOOKUP(C1577,INDIRECT("tblEquipment[Equipment ID]"),INDIRECT("tblEquipment[Equipment Name]"),"")</f>
        <v/>
      </c>
      <c r="F1577" s="16" t="n"/>
      <c r="G1577" s="16" t="n"/>
      <c r="H1577" s="1">
        <f>IF(OR(F1577=0,G1577=0),"",(G1577-F1577)*24)</f>
        <v/>
      </c>
      <c r="I1577" s="10" t="n"/>
      <c r="J1577" s="1">
        <f>IF(OR(tblDowntime[[#This Row],[Failure Type]]="Sawshop",tblDowntime[[#This Row],[Failure Type]]="Electrical",tblDowntime[[#This Row],[Failure Type]]="Mechanical"),tblDowntime[[#This Row],[Downtime Hours]],"")</f>
        <v/>
      </c>
      <c r="K1577" s="10" t="n"/>
      <c r="L1577" s="10" t="n"/>
      <c r="M1577">
        <f>IF(tblDowntime[[#This Row],[Maintenance Downtime Hours]]="","",tblDowntime[[#This Row],[Equipment ID]])</f>
        <v/>
      </c>
      <c r="N1577" s="1">
        <f>IF(tblDowntime[[#This Row],[Failure Type]]="Production",tblDowntime[[#This Row],[Downtime Hours]],"")</f>
        <v/>
      </c>
      <c r="O1577">
        <f>IF(tblDowntime[[#This Row],[Production Downtime Hours]]="","",tblDowntime[[#This Row],[Equipment ID]])</f>
        <v/>
      </c>
      <c r="P1577" s="10" t="n"/>
    </row>
    <row r="1578">
      <c r="B1578">
        <f t="array" ref="B1578">_xlfn.XLOOKUP(C1578,INDIRECT("tblEquipment[Equipment ID]"),INDIRECT("tblEquipment[Production Department]"),"")</f>
        <v/>
      </c>
      <c r="D1578">
        <f t="array" ref="D1578">_xlfn.XLOOKUP(C1578,INDIRECT("tblEquipment[Equipment ID]"),INDIRECT("tblEquipment[Equipment Name]"),"")</f>
        <v/>
      </c>
      <c r="F1578" s="16" t="n"/>
      <c r="G1578" s="16" t="n"/>
      <c r="H1578" s="1">
        <f>IF(OR(F1578=0,G1578=0),"",(G1578-F1578)*24)</f>
        <v/>
      </c>
      <c r="I1578" s="10" t="n"/>
      <c r="J1578" s="1">
        <f>IF(OR(tblDowntime[[#This Row],[Failure Type]]="Sawshop",tblDowntime[[#This Row],[Failure Type]]="Electrical",tblDowntime[[#This Row],[Failure Type]]="Mechanical"),tblDowntime[[#This Row],[Downtime Hours]],"")</f>
        <v/>
      </c>
      <c r="K1578" s="10" t="n"/>
      <c r="L1578" s="10" t="n"/>
      <c r="M1578">
        <f>IF(tblDowntime[[#This Row],[Maintenance Downtime Hours]]="","",tblDowntime[[#This Row],[Equipment ID]])</f>
        <v/>
      </c>
      <c r="N1578" s="1">
        <f>IF(tblDowntime[[#This Row],[Failure Type]]="Production",tblDowntime[[#This Row],[Downtime Hours]],"")</f>
        <v/>
      </c>
      <c r="O1578">
        <f>IF(tblDowntime[[#This Row],[Production Downtime Hours]]="","",tblDowntime[[#This Row],[Equipment ID]])</f>
        <v/>
      </c>
      <c r="P1578" s="10" t="n"/>
    </row>
    <row r="1579">
      <c r="B1579">
        <f t="array" ref="B1579">_xlfn.XLOOKUP(C1579,INDIRECT("tblEquipment[Equipment ID]"),INDIRECT("tblEquipment[Production Department]"),"")</f>
        <v/>
      </c>
      <c r="D1579">
        <f t="array" ref="D1579">_xlfn.XLOOKUP(C1579,INDIRECT("tblEquipment[Equipment ID]"),INDIRECT("tblEquipment[Equipment Name]"),"")</f>
        <v/>
      </c>
      <c r="F1579" s="16" t="n"/>
      <c r="G1579" s="16" t="n"/>
      <c r="H1579" s="1">
        <f>IF(OR(F1579=0,G1579=0),"",(G1579-F1579)*24)</f>
        <v/>
      </c>
      <c r="I1579" s="10" t="n"/>
      <c r="J1579" s="1">
        <f>IF(OR(tblDowntime[[#This Row],[Failure Type]]="Sawshop",tblDowntime[[#This Row],[Failure Type]]="Electrical",tblDowntime[[#This Row],[Failure Type]]="Mechanical"),tblDowntime[[#This Row],[Downtime Hours]],"")</f>
        <v/>
      </c>
      <c r="K1579" s="10" t="n"/>
      <c r="L1579" s="10" t="n"/>
      <c r="M1579">
        <f>IF(tblDowntime[[#This Row],[Maintenance Downtime Hours]]="","",tblDowntime[[#This Row],[Equipment ID]])</f>
        <v/>
      </c>
      <c r="N1579" s="1">
        <f>IF(tblDowntime[[#This Row],[Failure Type]]="Production",tblDowntime[[#This Row],[Downtime Hours]],"")</f>
        <v/>
      </c>
      <c r="O1579">
        <f>IF(tblDowntime[[#This Row],[Production Downtime Hours]]="","",tblDowntime[[#This Row],[Equipment ID]])</f>
        <v/>
      </c>
      <c r="P1579" s="10" t="n"/>
    </row>
    <row r="1580">
      <c r="B1580">
        <f t="array" ref="B1580">_xlfn.XLOOKUP(C1580,INDIRECT("tblEquipment[Equipment ID]"),INDIRECT("tblEquipment[Production Department]"),"")</f>
        <v/>
      </c>
      <c r="D1580">
        <f t="array" ref="D1580">_xlfn.XLOOKUP(C1580,INDIRECT("tblEquipment[Equipment ID]"),INDIRECT("tblEquipment[Equipment Name]"),"")</f>
        <v/>
      </c>
      <c r="F1580" s="16" t="n"/>
      <c r="G1580" s="16" t="n"/>
      <c r="H1580" s="1">
        <f>IF(OR(F1580=0,G1580=0),"",(G1580-F1580)*24)</f>
        <v/>
      </c>
      <c r="I1580" s="10" t="n"/>
      <c r="J1580" s="1">
        <f>IF(OR(tblDowntime[[#This Row],[Failure Type]]="Sawshop",tblDowntime[[#This Row],[Failure Type]]="Electrical",tblDowntime[[#This Row],[Failure Type]]="Mechanical"),tblDowntime[[#This Row],[Downtime Hours]],"")</f>
        <v/>
      </c>
      <c r="K1580" s="10" t="n"/>
      <c r="L1580" s="10" t="n"/>
      <c r="M1580">
        <f>IF(tblDowntime[[#This Row],[Maintenance Downtime Hours]]="","",tblDowntime[[#This Row],[Equipment ID]])</f>
        <v/>
      </c>
      <c r="N1580" s="1">
        <f>IF(tblDowntime[[#This Row],[Failure Type]]="Production",tblDowntime[[#This Row],[Downtime Hours]],"")</f>
        <v/>
      </c>
      <c r="O1580">
        <f>IF(tblDowntime[[#This Row],[Production Downtime Hours]]="","",tblDowntime[[#This Row],[Equipment ID]])</f>
        <v/>
      </c>
      <c r="P1580" s="10" t="n"/>
    </row>
    <row r="1581">
      <c r="B1581">
        <f t="array" ref="B1581">_xlfn.XLOOKUP(C1581,INDIRECT("tblEquipment[Equipment ID]"),INDIRECT("tblEquipment[Production Department]"),"")</f>
        <v/>
      </c>
      <c r="D1581">
        <f t="array" ref="D1581">_xlfn.XLOOKUP(C1581,INDIRECT("tblEquipment[Equipment ID]"),INDIRECT("tblEquipment[Equipment Name]"),"")</f>
        <v/>
      </c>
      <c r="F1581" s="16" t="n"/>
      <c r="G1581" s="16" t="n"/>
      <c r="H1581" s="1">
        <f>IF(OR(F1581=0,G1581=0),"",(G1581-F1581)*24)</f>
        <v/>
      </c>
      <c r="I1581" s="10" t="n"/>
      <c r="J1581" s="1">
        <f>IF(OR(tblDowntime[[#This Row],[Failure Type]]="Sawshop",tblDowntime[[#This Row],[Failure Type]]="Electrical",tblDowntime[[#This Row],[Failure Type]]="Mechanical"),tblDowntime[[#This Row],[Downtime Hours]],"")</f>
        <v/>
      </c>
      <c r="K1581" s="10" t="n"/>
      <c r="L1581" s="10" t="n"/>
      <c r="M1581">
        <f>IF(tblDowntime[[#This Row],[Maintenance Downtime Hours]]="","",tblDowntime[[#This Row],[Equipment ID]])</f>
        <v/>
      </c>
      <c r="N1581" s="1">
        <f>IF(tblDowntime[[#This Row],[Failure Type]]="Production",tblDowntime[[#This Row],[Downtime Hours]],"")</f>
        <v/>
      </c>
      <c r="O1581">
        <f>IF(tblDowntime[[#This Row],[Production Downtime Hours]]="","",tblDowntime[[#This Row],[Equipment ID]])</f>
        <v/>
      </c>
      <c r="P1581" s="10" t="n"/>
    </row>
    <row r="1582">
      <c r="B1582">
        <f t="array" ref="B1582">_xlfn.XLOOKUP(C1582,INDIRECT("tblEquipment[Equipment ID]"),INDIRECT("tblEquipment[Production Department]"),"")</f>
        <v/>
      </c>
      <c r="D1582">
        <f t="array" ref="D1582">_xlfn.XLOOKUP(C1582,INDIRECT("tblEquipment[Equipment ID]"),INDIRECT("tblEquipment[Equipment Name]"),"")</f>
        <v/>
      </c>
      <c r="F1582" s="16" t="n"/>
      <c r="G1582" s="16" t="n"/>
      <c r="H1582" s="1">
        <f>IF(OR(F1582=0,G1582=0),"",(G1582-F1582)*24)</f>
        <v/>
      </c>
      <c r="I1582" s="10" t="n"/>
      <c r="J1582" s="1">
        <f>IF(OR(tblDowntime[[#This Row],[Failure Type]]="Sawshop",tblDowntime[[#This Row],[Failure Type]]="Electrical",tblDowntime[[#This Row],[Failure Type]]="Mechanical"),tblDowntime[[#This Row],[Downtime Hours]],"")</f>
        <v/>
      </c>
      <c r="K1582" s="10" t="n"/>
      <c r="L1582" s="10" t="n"/>
      <c r="M1582">
        <f>IF(tblDowntime[[#This Row],[Maintenance Downtime Hours]]="","",tblDowntime[[#This Row],[Equipment ID]])</f>
        <v/>
      </c>
      <c r="N1582" s="1">
        <f>IF(tblDowntime[[#This Row],[Failure Type]]="Production",tblDowntime[[#This Row],[Downtime Hours]],"")</f>
        <v/>
      </c>
      <c r="O1582">
        <f>IF(tblDowntime[[#This Row],[Production Downtime Hours]]="","",tblDowntime[[#This Row],[Equipment ID]])</f>
        <v/>
      </c>
      <c r="P1582" s="10" t="n"/>
    </row>
    <row r="1583">
      <c r="B1583">
        <f t="array" ref="B1583">_xlfn.XLOOKUP(C1583,INDIRECT("tblEquipment[Equipment ID]"),INDIRECT("tblEquipment[Production Department]"),"")</f>
        <v/>
      </c>
      <c r="D1583">
        <f t="array" ref="D1583">_xlfn.XLOOKUP(C1583,INDIRECT("tblEquipment[Equipment ID]"),INDIRECT("tblEquipment[Equipment Name]"),"")</f>
        <v/>
      </c>
      <c r="F1583" s="16" t="n"/>
      <c r="G1583" s="16" t="n"/>
      <c r="H1583" s="1">
        <f>IF(OR(F1583=0,G1583=0),"",(G1583-F1583)*24)</f>
        <v/>
      </c>
      <c r="I1583" s="10" t="n"/>
      <c r="J1583" s="1">
        <f>IF(OR(tblDowntime[[#This Row],[Failure Type]]="Sawshop",tblDowntime[[#This Row],[Failure Type]]="Electrical",tblDowntime[[#This Row],[Failure Type]]="Mechanical"),tblDowntime[[#This Row],[Downtime Hours]],"")</f>
        <v/>
      </c>
      <c r="K1583" s="10" t="n"/>
      <c r="L1583" s="10" t="n"/>
      <c r="M1583">
        <f>IF(tblDowntime[[#This Row],[Maintenance Downtime Hours]]="","",tblDowntime[[#This Row],[Equipment ID]])</f>
        <v/>
      </c>
      <c r="N1583" s="1">
        <f>IF(tblDowntime[[#This Row],[Failure Type]]="Production",tblDowntime[[#This Row],[Downtime Hours]],"")</f>
        <v/>
      </c>
      <c r="O1583">
        <f>IF(tblDowntime[[#This Row],[Production Downtime Hours]]="","",tblDowntime[[#This Row],[Equipment ID]])</f>
        <v/>
      </c>
      <c r="P1583" s="10" t="n"/>
    </row>
    <row r="1584">
      <c r="B1584">
        <f t="array" ref="B1584">_xlfn.XLOOKUP(C1584,INDIRECT("tblEquipment[Equipment ID]"),INDIRECT("tblEquipment[Production Department]"),"")</f>
        <v/>
      </c>
      <c r="D1584">
        <f t="array" ref="D1584">_xlfn.XLOOKUP(C1584,INDIRECT("tblEquipment[Equipment ID]"),INDIRECT("tblEquipment[Equipment Name]"),"")</f>
        <v/>
      </c>
      <c r="F1584" s="16" t="n"/>
      <c r="G1584" s="16" t="n"/>
      <c r="H1584" s="1">
        <f>IF(OR(F1584=0,G1584=0),"",(G1584-F1584)*24)</f>
        <v/>
      </c>
      <c r="I1584" s="10" t="n"/>
      <c r="J1584" s="1">
        <f>IF(OR(tblDowntime[[#This Row],[Failure Type]]="Sawshop",tblDowntime[[#This Row],[Failure Type]]="Electrical",tblDowntime[[#This Row],[Failure Type]]="Mechanical"),tblDowntime[[#This Row],[Downtime Hours]],"")</f>
        <v/>
      </c>
      <c r="K1584" s="10" t="n"/>
      <c r="L1584" s="10" t="n"/>
      <c r="M1584">
        <f>IF(tblDowntime[[#This Row],[Maintenance Downtime Hours]]="","",tblDowntime[[#This Row],[Equipment ID]])</f>
        <v/>
      </c>
      <c r="N1584" s="1">
        <f>IF(tblDowntime[[#This Row],[Failure Type]]="Production",tblDowntime[[#This Row],[Downtime Hours]],"")</f>
        <v/>
      </c>
      <c r="O1584">
        <f>IF(tblDowntime[[#This Row],[Production Downtime Hours]]="","",tblDowntime[[#This Row],[Equipment ID]])</f>
        <v/>
      </c>
      <c r="P1584" s="10" t="n"/>
    </row>
    <row r="1585">
      <c r="B1585">
        <f t="array" ref="B1585">_xlfn.XLOOKUP(C1585,INDIRECT("tblEquipment[Equipment ID]"),INDIRECT("tblEquipment[Production Department]"),"")</f>
        <v/>
      </c>
      <c r="D1585">
        <f t="array" ref="D1585">_xlfn.XLOOKUP(C1585,INDIRECT("tblEquipment[Equipment ID]"),INDIRECT("tblEquipment[Equipment Name]"),"")</f>
        <v/>
      </c>
      <c r="F1585" s="16" t="n"/>
      <c r="G1585" s="16" t="n"/>
      <c r="H1585" s="1">
        <f>IF(OR(F1585=0,G1585=0),"",(G1585-F1585)*24)</f>
        <v/>
      </c>
      <c r="I1585" s="10" t="n"/>
      <c r="J1585" s="1">
        <f>IF(OR(tblDowntime[[#This Row],[Failure Type]]="Sawshop",tblDowntime[[#This Row],[Failure Type]]="Electrical",tblDowntime[[#This Row],[Failure Type]]="Mechanical"),tblDowntime[[#This Row],[Downtime Hours]],"")</f>
        <v/>
      </c>
      <c r="K1585" s="10" t="n"/>
      <c r="L1585" s="10" t="n"/>
      <c r="M1585">
        <f>IF(tblDowntime[[#This Row],[Maintenance Downtime Hours]]="","",tblDowntime[[#This Row],[Equipment ID]])</f>
        <v/>
      </c>
      <c r="N1585" s="1">
        <f>IF(tblDowntime[[#This Row],[Failure Type]]="Production",tblDowntime[[#This Row],[Downtime Hours]],"")</f>
        <v/>
      </c>
      <c r="O1585">
        <f>IF(tblDowntime[[#This Row],[Production Downtime Hours]]="","",tblDowntime[[#This Row],[Equipment ID]])</f>
        <v/>
      </c>
      <c r="P1585" s="10" t="n"/>
    </row>
    <row r="1586">
      <c r="B1586">
        <f t="array" ref="B1586">_xlfn.XLOOKUP(C1586,INDIRECT("tblEquipment[Equipment ID]"),INDIRECT("tblEquipment[Production Department]"),"")</f>
        <v/>
      </c>
      <c r="D1586">
        <f t="array" ref="D1586">_xlfn.XLOOKUP(C1586,INDIRECT("tblEquipment[Equipment ID]"),INDIRECT("tblEquipment[Equipment Name]"),"")</f>
        <v/>
      </c>
      <c r="F1586" s="16" t="n"/>
      <c r="G1586" s="16" t="n"/>
      <c r="H1586" s="1">
        <f>IF(OR(F1586=0,G1586=0),"",(G1586-F1586)*24)</f>
        <v/>
      </c>
      <c r="I1586" s="10" t="n"/>
      <c r="J1586" s="1">
        <f>IF(OR(tblDowntime[[#This Row],[Failure Type]]="Sawshop",tblDowntime[[#This Row],[Failure Type]]="Electrical",tblDowntime[[#This Row],[Failure Type]]="Mechanical"),tblDowntime[[#This Row],[Downtime Hours]],"")</f>
        <v/>
      </c>
      <c r="K1586" s="10" t="n"/>
      <c r="L1586" s="10" t="n"/>
      <c r="M1586">
        <f>IF(tblDowntime[[#This Row],[Maintenance Downtime Hours]]="","",tblDowntime[[#This Row],[Equipment ID]])</f>
        <v/>
      </c>
      <c r="N1586" s="1">
        <f>IF(tblDowntime[[#This Row],[Failure Type]]="Production",tblDowntime[[#This Row],[Downtime Hours]],"")</f>
        <v/>
      </c>
      <c r="O1586">
        <f>IF(tblDowntime[[#This Row],[Production Downtime Hours]]="","",tblDowntime[[#This Row],[Equipment ID]])</f>
        <v/>
      </c>
      <c r="P1586" s="10" t="n"/>
    </row>
    <row r="1587">
      <c r="B1587">
        <f t="array" ref="B1587">_xlfn.XLOOKUP(C1587,INDIRECT("tblEquipment[Equipment ID]"),INDIRECT("tblEquipment[Production Department]"),"")</f>
        <v/>
      </c>
      <c r="D1587">
        <f t="array" ref="D1587">_xlfn.XLOOKUP(C1587,INDIRECT("tblEquipment[Equipment ID]"),INDIRECT("tblEquipment[Equipment Name]"),"")</f>
        <v/>
      </c>
      <c r="F1587" s="16" t="n"/>
      <c r="G1587" s="16" t="n"/>
      <c r="H1587" s="1">
        <f>IF(OR(F1587=0,G1587=0),"",(G1587-F1587)*24)</f>
        <v/>
      </c>
      <c r="I1587" s="10" t="n"/>
      <c r="J1587" s="1">
        <f>IF(OR(tblDowntime[[#This Row],[Failure Type]]="Sawshop",tblDowntime[[#This Row],[Failure Type]]="Electrical",tblDowntime[[#This Row],[Failure Type]]="Mechanical"),tblDowntime[[#This Row],[Downtime Hours]],"")</f>
        <v/>
      </c>
      <c r="K1587" s="10" t="n"/>
      <c r="L1587" s="10" t="n"/>
      <c r="M1587">
        <f>IF(tblDowntime[[#This Row],[Maintenance Downtime Hours]]="","",tblDowntime[[#This Row],[Equipment ID]])</f>
        <v/>
      </c>
      <c r="N1587" s="1">
        <f>IF(tblDowntime[[#This Row],[Failure Type]]="Production",tblDowntime[[#This Row],[Downtime Hours]],"")</f>
        <v/>
      </c>
      <c r="O1587">
        <f>IF(tblDowntime[[#This Row],[Production Downtime Hours]]="","",tblDowntime[[#This Row],[Equipment ID]])</f>
        <v/>
      </c>
      <c r="P1587" s="10" t="n"/>
    </row>
    <row r="1588">
      <c r="B1588">
        <f t="array" ref="B1588">_xlfn.XLOOKUP(C1588,INDIRECT("tblEquipment[Equipment ID]"),INDIRECT("tblEquipment[Production Department]"),"")</f>
        <v/>
      </c>
      <c r="D1588">
        <f t="array" ref="D1588">_xlfn.XLOOKUP(C1588,INDIRECT("tblEquipment[Equipment ID]"),INDIRECT("tblEquipment[Equipment Name]"),"")</f>
        <v/>
      </c>
      <c r="F1588" s="16" t="n"/>
      <c r="G1588" s="16" t="n"/>
      <c r="H1588" s="1">
        <f>IF(OR(F1588=0,G1588=0),"",(G1588-F1588)*24)</f>
        <v/>
      </c>
      <c r="I1588" s="10" t="n"/>
      <c r="J1588" s="1">
        <f>IF(OR(tblDowntime[[#This Row],[Failure Type]]="Sawshop",tblDowntime[[#This Row],[Failure Type]]="Electrical",tblDowntime[[#This Row],[Failure Type]]="Mechanical"),tblDowntime[[#This Row],[Downtime Hours]],"")</f>
        <v/>
      </c>
      <c r="K1588" s="10" t="n"/>
      <c r="L1588" s="10" t="n"/>
      <c r="M1588">
        <f>IF(tblDowntime[[#This Row],[Maintenance Downtime Hours]]="","",tblDowntime[[#This Row],[Equipment ID]])</f>
        <v/>
      </c>
      <c r="N1588" s="1">
        <f>IF(tblDowntime[[#This Row],[Failure Type]]="Production",tblDowntime[[#This Row],[Downtime Hours]],"")</f>
        <v/>
      </c>
      <c r="O1588">
        <f>IF(tblDowntime[[#This Row],[Production Downtime Hours]]="","",tblDowntime[[#This Row],[Equipment ID]])</f>
        <v/>
      </c>
      <c r="P1588" s="10" t="n"/>
    </row>
    <row r="1589">
      <c r="B1589">
        <f t="array" ref="B1589">_xlfn.XLOOKUP(C1589,INDIRECT("tblEquipment[Equipment ID]"),INDIRECT("tblEquipment[Production Department]"),"")</f>
        <v/>
      </c>
      <c r="D1589">
        <f t="array" ref="D1589">_xlfn.XLOOKUP(C1589,INDIRECT("tblEquipment[Equipment ID]"),INDIRECT("tblEquipment[Equipment Name]"),"")</f>
        <v/>
      </c>
      <c r="F1589" s="16" t="n"/>
      <c r="G1589" s="16" t="n"/>
      <c r="H1589" s="1">
        <f>IF(OR(F1589=0,G1589=0),"",(G1589-F1589)*24)</f>
        <v/>
      </c>
      <c r="I1589" s="10" t="n"/>
      <c r="J1589" s="1">
        <f>IF(OR(tblDowntime[[#This Row],[Failure Type]]="Sawshop",tblDowntime[[#This Row],[Failure Type]]="Electrical",tblDowntime[[#This Row],[Failure Type]]="Mechanical"),tblDowntime[[#This Row],[Downtime Hours]],"")</f>
        <v/>
      </c>
      <c r="K1589" s="10" t="n"/>
      <c r="L1589" s="10" t="n"/>
      <c r="M1589">
        <f>IF(tblDowntime[[#This Row],[Maintenance Downtime Hours]]="","",tblDowntime[[#This Row],[Equipment ID]])</f>
        <v/>
      </c>
      <c r="N1589" s="1">
        <f>IF(tblDowntime[[#This Row],[Failure Type]]="Production",tblDowntime[[#This Row],[Downtime Hours]],"")</f>
        <v/>
      </c>
      <c r="O1589">
        <f>IF(tblDowntime[[#This Row],[Production Downtime Hours]]="","",tblDowntime[[#This Row],[Equipment ID]])</f>
        <v/>
      </c>
      <c r="P1589" s="10" t="n"/>
    </row>
    <row r="1590">
      <c r="B1590">
        <f t="array" ref="B1590">_xlfn.XLOOKUP(C1590,INDIRECT("tblEquipment[Equipment ID]"),INDIRECT("tblEquipment[Production Department]"),"")</f>
        <v/>
      </c>
      <c r="D1590">
        <f t="array" ref="D1590">_xlfn.XLOOKUP(C1590,INDIRECT("tblEquipment[Equipment ID]"),INDIRECT("tblEquipment[Equipment Name]"),"")</f>
        <v/>
      </c>
      <c r="F1590" s="16" t="n"/>
      <c r="G1590" s="16" t="n"/>
      <c r="H1590" s="1">
        <f>IF(OR(F1590=0,G1590=0),"",(G1590-F1590)*24)</f>
        <v/>
      </c>
      <c r="I1590" s="10" t="n"/>
      <c r="J1590" s="1">
        <f>IF(OR(tblDowntime[[#This Row],[Failure Type]]="Sawshop",tblDowntime[[#This Row],[Failure Type]]="Electrical",tblDowntime[[#This Row],[Failure Type]]="Mechanical"),tblDowntime[[#This Row],[Downtime Hours]],"")</f>
        <v/>
      </c>
      <c r="K1590" s="10" t="n"/>
      <c r="L1590" s="10" t="n"/>
      <c r="M1590">
        <f>IF(tblDowntime[[#This Row],[Maintenance Downtime Hours]]="","",tblDowntime[[#This Row],[Equipment ID]])</f>
        <v/>
      </c>
      <c r="N1590" s="1">
        <f>IF(tblDowntime[[#This Row],[Failure Type]]="Production",tblDowntime[[#This Row],[Downtime Hours]],"")</f>
        <v/>
      </c>
      <c r="O1590">
        <f>IF(tblDowntime[[#This Row],[Production Downtime Hours]]="","",tblDowntime[[#This Row],[Equipment ID]])</f>
        <v/>
      </c>
      <c r="P1590" s="10" t="n"/>
    </row>
    <row r="1591">
      <c r="B1591">
        <f t="array" ref="B1591">_xlfn.XLOOKUP(C1591,INDIRECT("tblEquipment[Equipment ID]"),INDIRECT("tblEquipment[Production Department]"),"")</f>
        <v/>
      </c>
      <c r="D1591">
        <f t="array" ref="D1591">_xlfn.XLOOKUP(C1591,INDIRECT("tblEquipment[Equipment ID]"),INDIRECT("tblEquipment[Equipment Name]"),"")</f>
        <v/>
      </c>
      <c r="F1591" s="16" t="n"/>
      <c r="G1591" s="16" t="n"/>
      <c r="H1591" s="1">
        <f>IF(OR(F1591=0,G1591=0),"",(G1591-F1591)*24)</f>
        <v/>
      </c>
      <c r="I1591" s="10" t="n"/>
      <c r="J1591" s="1">
        <f>IF(OR(tblDowntime[[#This Row],[Failure Type]]="Sawshop",tblDowntime[[#This Row],[Failure Type]]="Electrical",tblDowntime[[#This Row],[Failure Type]]="Mechanical"),tblDowntime[[#This Row],[Downtime Hours]],"")</f>
        <v/>
      </c>
      <c r="K1591" s="10" t="n"/>
      <c r="L1591" s="10" t="n"/>
      <c r="M1591">
        <f>IF(tblDowntime[[#This Row],[Maintenance Downtime Hours]]="","",tblDowntime[[#This Row],[Equipment ID]])</f>
        <v/>
      </c>
      <c r="N1591" s="1">
        <f>IF(tblDowntime[[#This Row],[Failure Type]]="Production",tblDowntime[[#This Row],[Downtime Hours]],"")</f>
        <v/>
      </c>
      <c r="O1591">
        <f>IF(tblDowntime[[#This Row],[Production Downtime Hours]]="","",tblDowntime[[#This Row],[Equipment ID]])</f>
        <v/>
      </c>
      <c r="P1591" s="10" t="n"/>
    </row>
    <row r="1592">
      <c r="B1592">
        <f t="array" ref="B1592">_xlfn.XLOOKUP(C1592,INDIRECT("tblEquipment[Equipment ID]"),INDIRECT("tblEquipment[Production Department]"),"")</f>
        <v/>
      </c>
      <c r="D1592">
        <f t="array" ref="D1592">_xlfn.XLOOKUP(C1592,INDIRECT("tblEquipment[Equipment ID]"),INDIRECT("tblEquipment[Equipment Name]"),"")</f>
        <v/>
      </c>
      <c r="F1592" s="16" t="n"/>
      <c r="G1592" s="16" t="n"/>
      <c r="H1592" s="1">
        <f>IF(OR(F1592=0,G1592=0),"",(G1592-F1592)*24)</f>
        <v/>
      </c>
      <c r="I1592" s="10" t="n"/>
      <c r="J1592" s="1">
        <f>IF(OR(tblDowntime[[#This Row],[Failure Type]]="Sawshop",tblDowntime[[#This Row],[Failure Type]]="Electrical",tblDowntime[[#This Row],[Failure Type]]="Mechanical"),tblDowntime[[#This Row],[Downtime Hours]],"")</f>
        <v/>
      </c>
      <c r="K1592" s="10" t="n"/>
      <c r="L1592" s="10" t="n"/>
      <c r="M1592">
        <f>IF(tblDowntime[[#This Row],[Maintenance Downtime Hours]]="","",tblDowntime[[#This Row],[Equipment ID]])</f>
        <v/>
      </c>
      <c r="N1592" s="1">
        <f>IF(tblDowntime[[#This Row],[Failure Type]]="Production",tblDowntime[[#This Row],[Downtime Hours]],"")</f>
        <v/>
      </c>
      <c r="O1592">
        <f>IF(tblDowntime[[#This Row],[Production Downtime Hours]]="","",tblDowntime[[#This Row],[Equipment ID]])</f>
        <v/>
      </c>
      <c r="P1592" s="10" t="n"/>
    </row>
    <row r="1593">
      <c r="B1593">
        <f t="array" ref="B1593">_xlfn.XLOOKUP(C1593,INDIRECT("tblEquipment[Equipment ID]"),INDIRECT("tblEquipment[Production Department]"),"")</f>
        <v/>
      </c>
      <c r="D1593">
        <f t="array" ref="D1593">_xlfn.XLOOKUP(C1593,INDIRECT("tblEquipment[Equipment ID]"),INDIRECT("tblEquipment[Equipment Name]"),"")</f>
        <v/>
      </c>
      <c r="F1593" s="16" t="n"/>
      <c r="G1593" s="16" t="n"/>
      <c r="H1593" s="1">
        <f>IF(OR(F1593=0,G1593=0),"",(G1593-F1593)*24)</f>
        <v/>
      </c>
      <c r="I1593" s="10" t="n"/>
      <c r="J1593" s="1">
        <f>IF(OR(tblDowntime[[#This Row],[Failure Type]]="Sawshop",tblDowntime[[#This Row],[Failure Type]]="Electrical",tblDowntime[[#This Row],[Failure Type]]="Mechanical"),tblDowntime[[#This Row],[Downtime Hours]],"")</f>
        <v/>
      </c>
      <c r="K1593" s="10" t="n"/>
      <c r="L1593" s="10" t="n"/>
      <c r="M1593">
        <f>IF(tblDowntime[[#This Row],[Maintenance Downtime Hours]]="","",tblDowntime[[#This Row],[Equipment ID]])</f>
        <v/>
      </c>
      <c r="N1593" s="1">
        <f>IF(tblDowntime[[#This Row],[Failure Type]]="Production",tblDowntime[[#This Row],[Downtime Hours]],"")</f>
        <v/>
      </c>
      <c r="O1593">
        <f>IF(tblDowntime[[#This Row],[Production Downtime Hours]]="","",tblDowntime[[#This Row],[Equipment ID]])</f>
        <v/>
      </c>
      <c r="P1593" s="10" t="n"/>
    </row>
    <row r="1594">
      <c r="B1594">
        <f t="array" ref="B1594">_xlfn.XLOOKUP(C1594,INDIRECT("tblEquipment[Equipment ID]"),INDIRECT("tblEquipment[Production Department]"),"")</f>
        <v/>
      </c>
      <c r="D1594">
        <f t="array" ref="D1594">_xlfn.XLOOKUP(C1594,INDIRECT("tblEquipment[Equipment ID]"),INDIRECT("tblEquipment[Equipment Name]"),"")</f>
        <v/>
      </c>
      <c r="F1594" s="16" t="n"/>
      <c r="G1594" s="16" t="n"/>
      <c r="H1594" s="1">
        <f>IF(OR(F1594=0,G1594=0),"",(G1594-F1594)*24)</f>
        <v/>
      </c>
      <c r="I1594" s="10" t="n"/>
      <c r="J1594" s="1">
        <f>IF(OR(tblDowntime[[#This Row],[Failure Type]]="Sawshop",tblDowntime[[#This Row],[Failure Type]]="Electrical",tblDowntime[[#This Row],[Failure Type]]="Mechanical"),tblDowntime[[#This Row],[Downtime Hours]],"")</f>
        <v/>
      </c>
      <c r="K1594" s="10" t="n"/>
      <c r="L1594" s="10" t="n"/>
      <c r="M1594">
        <f>IF(tblDowntime[[#This Row],[Maintenance Downtime Hours]]="","",tblDowntime[[#This Row],[Equipment ID]])</f>
        <v/>
      </c>
      <c r="N1594" s="1">
        <f>IF(tblDowntime[[#This Row],[Failure Type]]="Production",tblDowntime[[#This Row],[Downtime Hours]],"")</f>
        <v/>
      </c>
      <c r="O1594">
        <f>IF(tblDowntime[[#This Row],[Production Downtime Hours]]="","",tblDowntime[[#This Row],[Equipment ID]])</f>
        <v/>
      </c>
      <c r="P1594" s="10" t="n"/>
    </row>
    <row r="1595">
      <c r="B1595">
        <f t="array" ref="B1595">_xlfn.XLOOKUP(C1595,INDIRECT("tblEquipment[Equipment ID]"),INDIRECT("tblEquipment[Production Department]"),"")</f>
        <v/>
      </c>
      <c r="D1595">
        <f t="array" ref="D1595">_xlfn.XLOOKUP(C1595,INDIRECT("tblEquipment[Equipment ID]"),INDIRECT("tblEquipment[Equipment Name]"),"")</f>
        <v/>
      </c>
      <c r="F1595" s="16" t="n"/>
      <c r="G1595" s="16" t="n"/>
      <c r="H1595" s="1">
        <f>IF(OR(F1595=0,G1595=0),"",(G1595-F1595)*24)</f>
        <v/>
      </c>
      <c r="I1595" s="10" t="n"/>
      <c r="J1595" s="1">
        <f>IF(OR(tblDowntime[[#This Row],[Failure Type]]="Sawshop",tblDowntime[[#This Row],[Failure Type]]="Electrical",tblDowntime[[#This Row],[Failure Type]]="Mechanical"),tblDowntime[[#This Row],[Downtime Hours]],"")</f>
        <v/>
      </c>
      <c r="K1595" s="10" t="n"/>
      <c r="L1595" s="10" t="n"/>
      <c r="M1595">
        <f>IF(tblDowntime[[#This Row],[Maintenance Downtime Hours]]="","",tblDowntime[[#This Row],[Equipment ID]])</f>
        <v/>
      </c>
      <c r="N1595" s="1">
        <f>IF(tblDowntime[[#This Row],[Failure Type]]="Production",tblDowntime[[#This Row],[Downtime Hours]],"")</f>
        <v/>
      </c>
      <c r="O1595">
        <f>IF(tblDowntime[[#This Row],[Production Downtime Hours]]="","",tblDowntime[[#This Row],[Equipment ID]])</f>
        <v/>
      </c>
      <c r="P1595" s="10" t="n"/>
    </row>
    <row r="1596">
      <c r="B1596">
        <f t="array" ref="B1596">_xlfn.XLOOKUP(C1596,INDIRECT("tblEquipment[Equipment ID]"),INDIRECT("tblEquipment[Production Department]"),"")</f>
        <v/>
      </c>
      <c r="D1596">
        <f t="array" ref="D1596">_xlfn.XLOOKUP(C1596,INDIRECT("tblEquipment[Equipment ID]"),INDIRECT("tblEquipment[Equipment Name]"),"")</f>
        <v/>
      </c>
      <c r="F1596" s="16" t="n"/>
      <c r="G1596" s="16" t="n"/>
      <c r="H1596" s="1">
        <f>IF(OR(F1596=0,G1596=0),"",(G1596-F1596)*24)</f>
        <v/>
      </c>
      <c r="I1596" s="10" t="n"/>
      <c r="J1596" s="1">
        <f>IF(OR(tblDowntime[[#This Row],[Failure Type]]="Sawshop",tblDowntime[[#This Row],[Failure Type]]="Electrical",tblDowntime[[#This Row],[Failure Type]]="Mechanical"),tblDowntime[[#This Row],[Downtime Hours]],"")</f>
        <v/>
      </c>
      <c r="K1596" s="10" t="n"/>
      <c r="L1596" s="10" t="n"/>
      <c r="M1596">
        <f>IF(tblDowntime[[#This Row],[Maintenance Downtime Hours]]="","",tblDowntime[[#This Row],[Equipment ID]])</f>
        <v/>
      </c>
      <c r="N1596" s="1">
        <f>IF(tblDowntime[[#This Row],[Failure Type]]="Production",tblDowntime[[#This Row],[Downtime Hours]],"")</f>
        <v/>
      </c>
      <c r="O1596">
        <f>IF(tblDowntime[[#This Row],[Production Downtime Hours]]="","",tblDowntime[[#This Row],[Equipment ID]])</f>
        <v/>
      </c>
      <c r="P1596" s="10" t="n"/>
    </row>
    <row r="1597">
      <c r="B1597">
        <f t="array" ref="B1597">_xlfn.XLOOKUP(C1597,INDIRECT("tblEquipment[Equipment ID]"),INDIRECT("tblEquipment[Production Department]"),"")</f>
        <v/>
      </c>
      <c r="D1597">
        <f t="array" ref="D1597">_xlfn.XLOOKUP(C1597,INDIRECT("tblEquipment[Equipment ID]"),INDIRECT("tblEquipment[Equipment Name]"),"")</f>
        <v/>
      </c>
      <c r="F1597" s="16" t="n"/>
      <c r="G1597" s="16" t="n"/>
      <c r="H1597" s="1">
        <f>IF(OR(F1597=0,G1597=0),"",(G1597-F1597)*24)</f>
        <v/>
      </c>
      <c r="I1597" s="10" t="n"/>
      <c r="J1597" s="1">
        <f>IF(OR(tblDowntime[[#This Row],[Failure Type]]="Sawshop",tblDowntime[[#This Row],[Failure Type]]="Electrical",tblDowntime[[#This Row],[Failure Type]]="Mechanical"),tblDowntime[[#This Row],[Downtime Hours]],"")</f>
        <v/>
      </c>
      <c r="K1597" s="10" t="n"/>
      <c r="L1597" s="10" t="n"/>
      <c r="M1597">
        <f>IF(tblDowntime[[#This Row],[Maintenance Downtime Hours]]="","",tblDowntime[[#This Row],[Equipment ID]])</f>
        <v/>
      </c>
      <c r="N1597" s="1">
        <f>IF(tblDowntime[[#This Row],[Failure Type]]="Production",tblDowntime[[#This Row],[Downtime Hours]],"")</f>
        <v/>
      </c>
      <c r="O1597">
        <f>IF(tblDowntime[[#This Row],[Production Downtime Hours]]="","",tblDowntime[[#This Row],[Equipment ID]])</f>
        <v/>
      </c>
      <c r="P1597" s="10" t="n"/>
    </row>
    <row r="1598">
      <c r="B1598">
        <f t="array" ref="B1598">_xlfn.XLOOKUP(C1598,INDIRECT("tblEquipment[Equipment ID]"),INDIRECT("tblEquipment[Production Department]"),"")</f>
        <v/>
      </c>
      <c r="D1598">
        <f t="array" ref="D1598">_xlfn.XLOOKUP(C1598,INDIRECT("tblEquipment[Equipment ID]"),INDIRECT("tblEquipment[Equipment Name]"),"")</f>
        <v/>
      </c>
      <c r="F1598" s="16" t="n"/>
      <c r="G1598" s="16" t="n"/>
      <c r="H1598" s="1">
        <f>IF(OR(F1598=0,G1598=0),"",(G1598-F1598)*24)</f>
        <v/>
      </c>
      <c r="I1598" s="10" t="n"/>
      <c r="J1598" s="1">
        <f>IF(OR(tblDowntime[[#This Row],[Failure Type]]="Sawshop",tblDowntime[[#This Row],[Failure Type]]="Electrical",tblDowntime[[#This Row],[Failure Type]]="Mechanical"),tblDowntime[[#This Row],[Downtime Hours]],"")</f>
        <v/>
      </c>
      <c r="K1598" s="10" t="n"/>
      <c r="L1598" s="10" t="n"/>
      <c r="M1598">
        <f>IF(tblDowntime[[#This Row],[Maintenance Downtime Hours]]="","",tblDowntime[[#This Row],[Equipment ID]])</f>
        <v/>
      </c>
      <c r="N1598" s="1">
        <f>IF(tblDowntime[[#This Row],[Failure Type]]="Production",tblDowntime[[#This Row],[Downtime Hours]],"")</f>
        <v/>
      </c>
      <c r="O1598">
        <f>IF(tblDowntime[[#This Row],[Production Downtime Hours]]="","",tblDowntime[[#This Row],[Equipment ID]])</f>
        <v/>
      </c>
      <c r="P1598" s="10" t="n"/>
    </row>
    <row r="1599">
      <c r="B1599">
        <f t="array" ref="B1599">_xlfn.XLOOKUP(C1599,INDIRECT("tblEquipment[Equipment ID]"),INDIRECT("tblEquipment[Production Department]"),"")</f>
        <v/>
      </c>
      <c r="D1599">
        <f t="array" ref="D1599">_xlfn.XLOOKUP(C1599,INDIRECT("tblEquipment[Equipment ID]"),INDIRECT("tblEquipment[Equipment Name]"),"")</f>
        <v/>
      </c>
      <c r="F1599" s="16" t="n"/>
      <c r="G1599" s="16" t="n"/>
      <c r="H1599" s="1">
        <f>IF(OR(F1599=0,G1599=0),"",(G1599-F1599)*24)</f>
        <v/>
      </c>
      <c r="I1599" s="10" t="n"/>
      <c r="J1599" s="1">
        <f>IF(OR(tblDowntime[[#This Row],[Failure Type]]="Sawshop",tblDowntime[[#This Row],[Failure Type]]="Electrical",tblDowntime[[#This Row],[Failure Type]]="Mechanical"),tblDowntime[[#This Row],[Downtime Hours]],"")</f>
        <v/>
      </c>
      <c r="K1599" s="10" t="n"/>
      <c r="L1599" s="10" t="n"/>
      <c r="M1599">
        <f>IF(tblDowntime[[#This Row],[Maintenance Downtime Hours]]="","",tblDowntime[[#This Row],[Equipment ID]])</f>
        <v/>
      </c>
      <c r="N1599" s="1">
        <f>IF(tblDowntime[[#This Row],[Failure Type]]="Production",tblDowntime[[#This Row],[Downtime Hours]],"")</f>
        <v/>
      </c>
      <c r="O1599">
        <f>IF(tblDowntime[[#This Row],[Production Downtime Hours]]="","",tblDowntime[[#This Row],[Equipment ID]])</f>
        <v/>
      </c>
      <c r="P1599" s="10" t="n"/>
    </row>
    <row r="1600">
      <c r="B1600">
        <f t="array" ref="B1600">_xlfn.XLOOKUP(C1600,INDIRECT("tblEquipment[Equipment ID]"),INDIRECT("tblEquipment[Production Department]"),"")</f>
        <v/>
      </c>
      <c r="D1600">
        <f t="array" ref="D1600">_xlfn.XLOOKUP(C1600,INDIRECT("tblEquipment[Equipment ID]"),INDIRECT("tblEquipment[Equipment Name]"),"")</f>
        <v/>
      </c>
      <c r="F1600" s="16" t="n"/>
      <c r="G1600" s="16" t="n"/>
      <c r="H1600" s="1">
        <f>IF(OR(F1600=0,G1600=0),"",(G1600-F1600)*24)</f>
        <v/>
      </c>
      <c r="I1600" s="10" t="n"/>
      <c r="J1600" s="1">
        <f>IF(OR(tblDowntime[[#This Row],[Failure Type]]="Sawshop",tblDowntime[[#This Row],[Failure Type]]="Electrical",tblDowntime[[#This Row],[Failure Type]]="Mechanical"),tblDowntime[[#This Row],[Downtime Hours]],"")</f>
        <v/>
      </c>
      <c r="K1600" s="10" t="n"/>
      <c r="L1600" s="10" t="n"/>
      <c r="M1600">
        <f>IF(tblDowntime[[#This Row],[Maintenance Downtime Hours]]="","",tblDowntime[[#This Row],[Equipment ID]])</f>
        <v/>
      </c>
      <c r="N1600" s="1">
        <f>IF(tblDowntime[[#This Row],[Failure Type]]="Production",tblDowntime[[#This Row],[Downtime Hours]],"")</f>
        <v/>
      </c>
      <c r="O1600">
        <f>IF(tblDowntime[[#This Row],[Production Downtime Hours]]="","",tblDowntime[[#This Row],[Equipment ID]])</f>
        <v/>
      </c>
      <c r="P1600" s="10" t="n"/>
    </row>
    <row r="1601">
      <c r="B1601">
        <f t="array" ref="B1601">_xlfn.XLOOKUP(C1601,INDIRECT("tblEquipment[Equipment ID]"),INDIRECT("tblEquipment[Production Department]"),"")</f>
        <v/>
      </c>
      <c r="D1601">
        <f t="array" ref="D1601">_xlfn.XLOOKUP(C1601,INDIRECT("tblEquipment[Equipment ID]"),INDIRECT("tblEquipment[Equipment Name]"),"")</f>
        <v/>
      </c>
      <c r="F1601" s="16" t="n"/>
      <c r="G1601" s="16" t="n"/>
      <c r="H1601" s="1">
        <f>IF(OR(F1601=0,G1601=0),"",(G1601-F1601)*24)</f>
        <v/>
      </c>
      <c r="I1601" s="10" t="n"/>
      <c r="J1601" s="1">
        <f>IF(OR(tblDowntime[[#This Row],[Failure Type]]="Sawshop",tblDowntime[[#This Row],[Failure Type]]="Electrical",tblDowntime[[#This Row],[Failure Type]]="Mechanical"),tblDowntime[[#This Row],[Downtime Hours]],"")</f>
        <v/>
      </c>
      <c r="K1601" s="10" t="n"/>
      <c r="L1601" s="10" t="n"/>
      <c r="M1601">
        <f>IF(tblDowntime[[#This Row],[Maintenance Downtime Hours]]="","",tblDowntime[[#This Row],[Equipment ID]])</f>
        <v/>
      </c>
      <c r="N1601" s="1">
        <f>IF(tblDowntime[[#This Row],[Failure Type]]="Production",tblDowntime[[#This Row],[Downtime Hours]],"")</f>
        <v/>
      </c>
      <c r="O1601">
        <f>IF(tblDowntime[[#This Row],[Production Downtime Hours]]="","",tblDowntime[[#This Row],[Equipment ID]])</f>
        <v/>
      </c>
      <c r="P1601" s="10" t="n"/>
    </row>
    <row r="1602">
      <c r="B1602">
        <f t="array" ref="B1602">_xlfn.XLOOKUP(C1602,INDIRECT("tblEquipment[Equipment ID]"),INDIRECT("tblEquipment[Production Department]"),"")</f>
        <v/>
      </c>
      <c r="D1602">
        <f t="array" ref="D1602">_xlfn.XLOOKUP(C1602,INDIRECT("tblEquipment[Equipment ID]"),INDIRECT("tblEquipment[Equipment Name]"),"")</f>
        <v/>
      </c>
      <c r="F1602" s="16" t="n"/>
      <c r="G1602" s="16" t="n"/>
      <c r="H1602" s="1">
        <f>IF(OR(F1602=0,G1602=0),"",(G1602-F1602)*24)</f>
        <v/>
      </c>
      <c r="I1602" s="10" t="n"/>
      <c r="J1602" s="1">
        <f>IF(OR(tblDowntime[[#This Row],[Failure Type]]="Sawshop",tblDowntime[[#This Row],[Failure Type]]="Electrical",tblDowntime[[#This Row],[Failure Type]]="Mechanical"),tblDowntime[[#This Row],[Downtime Hours]],"")</f>
        <v/>
      </c>
      <c r="K1602" s="10" t="n"/>
      <c r="L1602" s="10" t="n"/>
      <c r="M1602">
        <f>IF(tblDowntime[[#This Row],[Maintenance Downtime Hours]]="","",tblDowntime[[#This Row],[Equipment ID]])</f>
        <v/>
      </c>
      <c r="N1602" s="1">
        <f>IF(tblDowntime[[#This Row],[Failure Type]]="Production",tblDowntime[[#This Row],[Downtime Hours]],"")</f>
        <v/>
      </c>
      <c r="O1602">
        <f>IF(tblDowntime[[#This Row],[Production Downtime Hours]]="","",tblDowntime[[#This Row],[Equipment ID]])</f>
        <v/>
      </c>
      <c r="P1602" s="10" t="n"/>
    </row>
    <row r="1603">
      <c r="B1603">
        <f t="array" ref="B1603">_xlfn.XLOOKUP(C1603,INDIRECT("tblEquipment[Equipment ID]"),INDIRECT("tblEquipment[Production Department]"),"")</f>
        <v/>
      </c>
      <c r="D1603">
        <f t="array" ref="D1603">_xlfn.XLOOKUP(C1603,INDIRECT("tblEquipment[Equipment ID]"),INDIRECT("tblEquipment[Equipment Name]"),"")</f>
        <v/>
      </c>
      <c r="F1603" s="16" t="n"/>
      <c r="G1603" s="16" t="n"/>
      <c r="H1603" s="1">
        <f>IF(OR(F1603=0,G1603=0),"",(G1603-F1603)*24)</f>
        <v/>
      </c>
      <c r="I1603" s="10" t="n"/>
      <c r="J1603" s="1">
        <f>IF(OR(tblDowntime[[#This Row],[Failure Type]]="Sawshop",tblDowntime[[#This Row],[Failure Type]]="Electrical",tblDowntime[[#This Row],[Failure Type]]="Mechanical"),tblDowntime[[#This Row],[Downtime Hours]],"")</f>
        <v/>
      </c>
      <c r="K1603" s="10" t="n"/>
      <c r="L1603" s="10" t="n"/>
      <c r="M1603">
        <f>IF(tblDowntime[[#This Row],[Maintenance Downtime Hours]]="","",tblDowntime[[#This Row],[Equipment ID]])</f>
        <v/>
      </c>
      <c r="N1603" s="1">
        <f>IF(tblDowntime[[#This Row],[Failure Type]]="Production",tblDowntime[[#This Row],[Downtime Hours]],"")</f>
        <v/>
      </c>
      <c r="O1603">
        <f>IF(tblDowntime[[#This Row],[Production Downtime Hours]]="","",tblDowntime[[#This Row],[Equipment ID]])</f>
        <v/>
      </c>
      <c r="P1603" s="10" t="n"/>
    </row>
    <row r="1604">
      <c r="B1604">
        <f t="array" ref="B1604">_xlfn.XLOOKUP(C1604,INDIRECT("tblEquipment[Equipment ID]"),INDIRECT("tblEquipment[Production Department]"),"")</f>
        <v/>
      </c>
      <c r="D1604">
        <f t="array" ref="D1604">_xlfn.XLOOKUP(C1604,INDIRECT("tblEquipment[Equipment ID]"),INDIRECT("tblEquipment[Equipment Name]"),"")</f>
        <v/>
      </c>
      <c r="F1604" s="16" t="n"/>
      <c r="G1604" s="16" t="n"/>
      <c r="H1604" s="1">
        <f>IF(OR(F1604=0,G1604=0),"",(G1604-F1604)*24)</f>
        <v/>
      </c>
      <c r="I1604" s="10" t="n"/>
      <c r="J1604" s="1">
        <f>IF(OR(tblDowntime[[#This Row],[Failure Type]]="Sawshop",tblDowntime[[#This Row],[Failure Type]]="Electrical",tblDowntime[[#This Row],[Failure Type]]="Mechanical"),tblDowntime[[#This Row],[Downtime Hours]],"")</f>
        <v/>
      </c>
      <c r="K1604" s="10" t="n"/>
      <c r="L1604" s="10" t="n"/>
      <c r="M1604">
        <f>IF(tblDowntime[[#This Row],[Maintenance Downtime Hours]]="","",tblDowntime[[#This Row],[Equipment ID]])</f>
        <v/>
      </c>
      <c r="N1604" s="1">
        <f>IF(tblDowntime[[#This Row],[Failure Type]]="Production",tblDowntime[[#This Row],[Downtime Hours]],"")</f>
        <v/>
      </c>
      <c r="O1604">
        <f>IF(tblDowntime[[#This Row],[Production Downtime Hours]]="","",tblDowntime[[#This Row],[Equipment ID]])</f>
        <v/>
      </c>
      <c r="P1604" s="10" t="n"/>
    </row>
    <row r="1605">
      <c r="B1605">
        <f t="array" ref="B1605">_xlfn.XLOOKUP(C1605,INDIRECT("tblEquipment[Equipment ID]"),INDIRECT("tblEquipment[Production Department]"),"")</f>
        <v/>
      </c>
      <c r="D1605">
        <f t="array" ref="D1605">_xlfn.XLOOKUP(C1605,INDIRECT("tblEquipment[Equipment ID]"),INDIRECT("tblEquipment[Equipment Name]"),"")</f>
        <v/>
      </c>
      <c r="F1605" s="16" t="n"/>
      <c r="G1605" s="16" t="n"/>
      <c r="H1605" s="1">
        <f>IF(OR(F1605=0,G1605=0),"",(G1605-F1605)*24)</f>
        <v/>
      </c>
      <c r="I1605" s="10" t="n"/>
      <c r="J1605" s="1">
        <f>IF(OR(tblDowntime[[#This Row],[Failure Type]]="Sawshop",tblDowntime[[#This Row],[Failure Type]]="Electrical",tblDowntime[[#This Row],[Failure Type]]="Mechanical"),tblDowntime[[#This Row],[Downtime Hours]],"")</f>
        <v/>
      </c>
      <c r="K1605" s="10" t="n"/>
      <c r="L1605" s="10" t="n"/>
      <c r="M1605">
        <f>IF(tblDowntime[[#This Row],[Maintenance Downtime Hours]]="","",tblDowntime[[#This Row],[Equipment ID]])</f>
        <v/>
      </c>
      <c r="N1605" s="1">
        <f>IF(tblDowntime[[#This Row],[Failure Type]]="Production",tblDowntime[[#This Row],[Downtime Hours]],"")</f>
        <v/>
      </c>
      <c r="O1605">
        <f>IF(tblDowntime[[#This Row],[Production Downtime Hours]]="","",tblDowntime[[#This Row],[Equipment ID]])</f>
        <v/>
      </c>
      <c r="P1605" s="10" t="n"/>
    </row>
    <row r="1606">
      <c r="B1606">
        <f t="array" ref="B1606">_xlfn.XLOOKUP(C1606,INDIRECT("tblEquipment[Equipment ID]"),INDIRECT("tblEquipment[Production Department]"),"")</f>
        <v/>
      </c>
      <c r="D1606">
        <f t="array" ref="D1606">_xlfn.XLOOKUP(C1606,INDIRECT("tblEquipment[Equipment ID]"),INDIRECT("tblEquipment[Equipment Name]"),"")</f>
        <v/>
      </c>
      <c r="F1606" s="16" t="n"/>
      <c r="G1606" s="16" t="n"/>
      <c r="H1606" s="1">
        <f>IF(OR(F1606=0,G1606=0),"",(G1606-F1606)*24)</f>
        <v/>
      </c>
      <c r="I1606" s="10" t="n"/>
      <c r="J1606" s="1">
        <f>IF(OR(tblDowntime[[#This Row],[Failure Type]]="Sawshop",tblDowntime[[#This Row],[Failure Type]]="Electrical",tblDowntime[[#This Row],[Failure Type]]="Mechanical"),tblDowntime[[#This Row],[Downtime Hours]],"")</f>
        <v/>
      </c>
      <c r="K1606" s="10" t="n"/>
      <c r="L1606" s="10" t="n"/>
      <c r="M1606">
        <f>IF(tblDowntime[[#This Row],[Maintenance Downtime Hours]]="","",tblDowntime[[#This Row],[Equipment ID]])</f>
        <v/>
      </c>
      <c r="N1606" s="1">
        <f>IF(tblDowntime[[#This Row],[Failure Type]]="Production",tblDowntime[[#This Row],[Downtime Hours]],"")</f>
        <v/>
      </c>
      <c r="O1606">
        <f>IF(tblDowntime[[#This Row],[Production Downtime Hours]]="","",tblDowntime[[#This Row],[Equipment ID]])</f>
        <v/>
      </c>
      <c r="P1606" s="10" t="n"/>
    </row>
    <row r="1607">
      <c r="B1607">
        <f t="array" ref="B1607">_xlfn.XLOOKUP(C1607,INDIRECT("tblEquipment[Equipment ID]"),INDIRECT("tblEquipment[Production Department]"),"")</f>
        <v/>
      </c>
      <c r="D1607">
        <f t="array" ref="D1607">_xlfn.XLOOKUP(C1607,INDIRECT("tblEquipment[Equipment ID]"),INDIRECT("tblEquipment[Equipment Name]"),"")</f>
        <v/>
      </c>
      <c r="F1607" s="16" t="n"/>
      <c r="G1607" s="16" t="n"/>
      <c r="H1607" s="1">
        <f>IF(OR(F1607=0,G1607=0),"",(G1607-F1607)*24)</f>
        <v/>
      </c>
      <c r="I1607" s="10" t="n"/>
      <c r="J1607" s="1">
        <f>IF(OR(tblDowntime[[#This Row],[Failure Type]]="Sawshop",tblDowntime[[#This Row],[Failure Type]]="Electrical",tblDowntime[[#This Row],[Failure Type]]="Mechanical"),tblDowntime[[#This Row],[Downtime Hours]],"")</f>
        <v/>
      </c>
      <c r="K1607" s="10" t="n"/>
      <c r="L1607" s="10" t="n"/>
      <c r="M1607">
        <f>IF(tblDowntime[[#This Row],[Maintenance Downtime Hours]]="","",tblDowntime[[#This Row],[Equipment ID]])</f>
        <v/>
      </c>
      <c r="N1607" s="1">
        <f>IF(tblDowntime[[#This Row],[Failure Type]]="Production",tblDowntime[[#This Row],[Downtime Hours]],"")</f>
        <v/>
      </c>
      <c r="O1607">
        <f>IF(tblDowntime[[#This Row],[Production Downtime Hours]]="","",tblDowntime[[#This Row],[Equipment ID]])</f>
        <v/>
      </c>
      <c r="P1607" s="10" t="n"/>
    </row>
    <row r="1608">
      <c r="B1608">
        <f t="array" ref="B1608">_xlfn.XLOOKUP(C1608,INDIRECT("tblEquipment[Equipment ID]"),INDIRECT("tblEquipment[Production Department]"),"")</f>
        <v/>
      </c>
      <c r="D1608">
        <f t="array" ref="D1608">_xlfn.XLOOKUP(C1608,INDIRECT("tblEquipment[Equipment ID]"),INDIRECT("tblEquipment[Equipment Name]"),"")</f>
        <v/>
      </c>
      <c r="F1608" s="16" t="n"/>
      <c r="G1608" s="16" t="n"/>
      <c r="H1608" s="1">
        <f>IF(OR(F1608=0,G1608=0),"",(G1608-F1608)*24)</f>
        <v/>
      </c>
      <c r="I1608" s="10" t="n"/>
      <c r="J1608" s="1">
        <f>IF(OR(tblDowntime[[#This Row],[Failure Type]]="Sawshop",tblDowntime[[#This Row],[Failure Type]]="Electrical",tblDowntime[[#This Row],[Failure Type]]="Mechanical"),tblDowntime[[#This Row],[Downtime Hours]],"")</f>
        <v/>
      </c>
      <c r="K1608" s="10" t="n"/>
      <c r="L1608" s="10" t="n"/>
      <c r="M1608">
        <f>IF(tblDowntime[[#This Row],[Maintenance Downtime Hours]]="","",tblDowntime[[#This Row],[Equipment ID]])</f>
        <v/>
      </c>
      <c r="N1608" s="1">
        <f>IF(tblDowntime[[#This Row],[Failure Type]]="Production",tblDowntime[[#This Row],[Downtime Hours]],"")</f>
        <v/>
      </c>
      <c r="O1608">
        <f>IF(tblDowntime[[#This Row],[Production Downtime Hours]]="","",tblDowntime[[#This Row],[Equipment ID]])</f>
        <v/>
      </c>
      <c r="P1608" s="10" t="n"/>
    </row>
    <row r="1609">
      <c r="B1609">
        <f t="array" ref="B1609">_xlfn.XLOOKUP(C1609,INDIRECT("tblEquipment[Equipment ID]"),INDIRECT("tblEquipment[Production Department]"),"")</f>
        <v/>
      </c>
      <c r="D1609">
        <f t="array" ref="D1609">_xlfn.XLOOKUP(C1609,INDIRECT("tblEquipment[Equipment ID]"),INDIRECT("tblEquipment[Equipment Name]"),"")</f>
        <v/>
      </c>
      <c r="F1609" s="16" t="n"/>
      <c r="G1609" s="16" t="n"/>
      <c r="H1609" s="1">
        <f>IF(OR(F1609=0,G1609=0),"",(G1609-F1609)*24)</f>
        <v/>
      </c>
      <c r="I1609" s="10" t="n"/>
      <c r="J1609" s="1">
        <f>IF(OR(tblDowntime[[#This Row],[Failure Type]]="Sawshop",tblDowntime[[#This Row],[Failure Type]]="Electrical",tblDowntime[[#This Row],[Failure Type]]="Mechanical"),tblDowntime[[#This Row],[Downtime Hours]],"")</f>
        <v/>
      </c>
      <c r="K1609" s="10" t="n"/>
      <c r="L1609" s="10" t="n"/>
      <c r="M1609">
        <f>IF(tblDowntime[[#This Row],[Maintenance Downtime Hours]]="","",tblDowntime[[#This Row],[Equipment ID]])</f>
        <v/>
      </c>
      <c r="N1609" s="1">
        <f>IF(tblDowntime[[#This Row],[Failure Type]]="Production",tblDowntime[[#This Row],[Downtime Hours]],"")</f>
        <v/>
      </c>
      <c r="O1609">
        <f>IF(tblDowntime[[#This Row],[Production Downtime Hours]]="","",tblDowntime[[#This Row],[Equipment ID]])</f>
        <v/>
      </c>
      <c r="P1609" s="10" t="n"/>
    </row>
    <row r="1610">
      <c r="B1610">
        <f t="array" ref="B1610">_xlfn.XLOOKUP(C1610,INDIRECT("tblEquipment[Equipment ID]"),INDIRECT("tblEquipment[Production Department]"),"")</f>
        <v/>
      </c>
      <c r="D1610">
        <f t="array" ref="D1610">_xlfn.XLOOKUP(C1610,INDIRECT("tblEquipment[Equipment ID]"),INDIRECT("tblEquipment[Equipment Name]"),"")</f>
        <v/>
      </c>
      <c r="F1610" s="16" t="n"/>
      <c r="G1610" s="16" t="n"/>
      <c r="H1610" s="1">
        <f>IF(OR(F1610=0,G1610=0),"",(G1610-F1610)*24)</f>
        <v/>
      </c>
      <c r="I1610" s="10" t="n"/>
      <c r="J1610" s="1">
        <f>IF(OR(tblDowntime[[#This Row],[Failure Type]]="Sawshop",tblDowntime[[#This Row],[Failure Type]]="Electrical",tblDowntime[[#This Row],[Failure Type]]="Mechanical"),tblDowntime[[#This Row],[Downtime Hours]],"")</f>
        <v/>
      </c>
      <c r="K1610" s="10" t="n"/>
      <c r="L1610" s="10" t="n"/>
      <c r="M1610">
        <f>IF(tblDowntime[[#This Row],[Maintenance Downtime Hours]]="","",tblDowntime[[#This Row],[Equipment ID]])</f>
        <v/>
      </c>
      <c r="N1610" s="1">
        <f>IF(tblDowntime[[#This Row],[Failure Type]]="Production",tblDowntime[[#This Row],[Downtime Hours]],"")</f>
        <v/>
      </c>
      <c r="O1610">
        <f>IF(tblDowntime[[#This Row],[Production Downtime Hours]]="","",tblDowntime[[#This Row],[Equipment ID]])</f>
        <v/>
      </c>
      <c r="P1610" s="10" t="n"/>
    </row>
    <row r="1611">
      <c r="B1611">
        <f t="array" ref="B1611">_xlfn.XLOOKUP(C1611,INDIRECT("tblEquipment[Equipment ID]"),INDIRECT("tblEquipment[Production Department]"),"")</f>
        <v/>
      </c>
      <c r="D1611">
        <f t="array" ref="D1611">_xlfn.XLOOKUP(C1611,INDIRECT("tblEquipment[Equipment ID]"),INDIRECT("tblEquipment[Equipment Name]"),"")</f>
        <v/>
      </c>
      <c r="F1611" s="16" t="n"/>
      <c r="G1611" s="16" t="n"/>
      <c r="H1611" s="1">
        <f>IF(OR(F1611=0,G1611=0),"",(G1611-F1611)*24)</f>
        <v/>
      </c>
      <c r="I1611" s="10" t="n"/>
      <c r="J1611" s="1">
        <f>IF(OR(tblDowntime[[#This Row],[Failure Type]]="Sawshop",tblDowntime[[#This Row],[Failure Type]]="Electrical",tblDowntime[[#This Row],[Failure Type]]="Mechanical"),tblDowntime[[#This Row],[Downtime Hours]],"")</f>
        <v/>
      </c>
      <c r="K1611" s="10" t="n"/>
      <c r="L1611" s="10" t="n"/>
      <c r="M1611">
        <f>IF(tblDowntime[[#This Row],[Maintenance Downtime Hours]]="","",tblDowntime[[#This Row],[Equipment ID]])</f>
        <v/>
      </c>
      <c r="N1611" s="1">
        <f>IF(tblDowntime[[#This Row],[Failure Type]]="Production",tblDowntime[[#This Row],[Downtime Hours]],"")</f>
        <v/>
      </c>
      <c r="O1611">
        <f>IF(tblDowntime[[#This Row],[Production Downtime Hours]]="","",tblDowntime[[#This Row],[Equipment ID]])</f>
        <v/>
      </c>
      <c r="P1611" s="10" t="n"/>
    </row>
    <row r="1612">
      <c r="B1612">
        <f t="array" ref="B1612">_xlfn.XLOOKUP(C1612,INDIRECT("tblEquipment[Equipment ID]"),INDIRECT("tblEquipment[Production Department]"),"")</f>
        <v/>
      </c>
      <c r="D1612">
        <f t="array" ref="D1612">_xlfn.XLOOKUP(C1612,INDIRECT("tblEquipment[Equipment ID]"),INDIRECT("tblEquipment[Equipment Name]"),"")</f>
        <v/>
      </c>
      <c r="F1612" s="16" t="n"/>
      <c r="G1612" s="16" t="n"/>
      <c r="H1612" s="1">
        <f>IF(OR(F1612=0,G1612=0),"",(G1612-F1612)*24)</f>
        <v/>
      </c>
      <c r="I1612" s="10" t="n"/>
      <c r="J1612" s="1">
        <f>IF(OR(tblDowntime[[#This Row],[Failure Type]]="Sawshop",tblDowntime[[#This Row],[Failure Type]]="Electrical",tblDowntime[[#This Row],[Failure Type]]="Mechanical"),tblDowntime[[#This Row],[Downtime Hours]],"")</f>
        <v/>
      </c>
      <c r="K1612" s="10" t="n"/>
      <c r="L1612" s="10" t="n"/>
      <c r="M1612">
        <f>IF(tblDowntime[[#This Row],[Maintenance Downtime Hours]]="","",tblDowntime[[#This Row],[Equipment ID]])</f>
        <v/>
      </c>
      <c r="N1612" s="1">
        <f>IF(tblDowntime[[#This Row],[Failure Type]]="Production",tblDowntime[[#This Row],[Downtime Hours]],"")</f>
        <v/>
      </c>
      <c r="O1612">
        <f>IF(tblDowntime[[#This Row],[Production Downtime Hours]]="","",tblDowntime[[#This Row],[Equipment ID]])</f>
        <v/>
      </c>
      <c r="P1612" s="10" t="n"/>
    </row>
    <row r="1613">
      <c r="B1613">
        <f t="array" ref="B1613">_xlfn.XLOOKUP(C1613,INDIRECT("tblEquipment[Equipment ID]"),INDIRECT("tblEquipment[Production Department]"),"")</f>
        <v/>
      </c>
      <c r="D1613">
        <f t="array" ref="D1613">_xlfn.XLOOKUP(C1613,INDIRECT("tblEquipment[Equipment ID]"),INDIRECT("tblEquipment[Equipment Name]"),"")</f>
        <v/>
      </c>
      <c r="F1613" s="16" t="n"/>
      <c r="G1613" s="16" t="n"/>
      <c r="H1613" s="1">
        <f>IF(OR(F1613=0,G1613=0),"",(G1613-F1613)*24)</f>
        <v/>
      </c>
      <c r="I1613" s="10" t="n"/>
      <c r="J1613" s="1">
        <f>IF(OR(tblDowntime[[#This Row],[Failure Type]]="Sawshop",tblDowntime[[#This Row],[Failure Type]]="Electrical",tblDowntime[[#This Row],[Failure Type]]="Mechanical"),tblDowntime[[#This Row],[Downtime Hours]],"")</f>
        <v/>
      </c>
      <c r="K1613" s="10" t="n"/>
      <c r="L1613" s="10" t="n"/>
      <c r="M1613">
        <f>IF(tblDowntime[[#This Row],[Maintenance Downtime Hours]]="","",tblDowntime[[#This Row],[Equipment ID]])</f>
        <v/>
      </c>
      <c r="N1613" s="1">
        <f>IF(tblDowntime[[#This Row],[Failure Type]]="Production",tblDowntime[[#This Row],[Downtime Hours]],"")</f>
        <v/>
      </c>
      <c r="O1613">
        <f>IF(tblDowntime[[#This Row],[Production Downtime Hours]]="","",tblDowntime[[#This Row],[Equipment ID]])</f>
        <v/>
      </c>
      <c r="P1613" s="10" t="n"/>
    </row>
    <row r="1614">
      <c r="B1614">
        <f t="array" ref="B1614">_xlfn.XLOOKUP(C1614,INDIRECT("tblEquipment[Equipment ID]"),INDIRECT("tblEquipment[Production Department]"),"")</f>
        <v/>
      </c>
      <c r="D1614">
        <f t="array" ref="D1614">_xlfn.XLOOKUP(C1614,INDIRECT("tblEquipment[Equipment ID]"),INDIRECT("tblEquipment[Equipment Name]"),"")</f>
        <v/>
      </c>
      <c r="F1614" s="16" t="n"/>
      <c r="G1614" s="16" t="n"/>
      <c r="H1614" s="1">
        <f>IF(OR(F1614=0,G1614=0),"",(G1614-F1614)*24)</f>
        <v/>
      </c>
      <c r="I1614" s="10" t="n"/>
      <c r="J1614" s="1">
        <f>IF(OR(tblDowntime[[#This Row],[Failure Type]]="Sawshop",tblDowntime[[#This Row],[Failure Type]]="Electrical",tblDowntime[[#This Row],[Failure Type]]="Mechanical"),tblDowntime[[#This Row],[Downtime Hours]],"")</f>
        <v/>
      </c>
      <c r="K1614" s="10" t="n"/>
      <c r="L1614" s="10" t="n"/>
      <c r="M1614">
        <f>IF(tblDowntime[[#This Row],[Maintenance Downtime Hours]]="","",tblDowntime[[#This Row],[Equipment ID]])</f>
        <v/>
      </c>
      <c r="N1614" s="1">
        <f>IF(tblDowntime[[#This Row],[Failure Type]]="Production",tblDowntime[[#This Row],[Downtime Hours]],"")</f>
        <v/>
      </c>
      <c r="O1614">
        <f>IF(tblDowntime[[#This Row],[Production Downtime Hours]]="","",tblDowntime[[#This Row],[Equipment ID]])</f>
        <v/>
      </c>
      <c r="P1614" s="10" t="n"/>
    </row>
    <row r="1615">
      <c r="B1615">
        <f t="array" ref="B1615">_xlfn.XLOOKUP(C1615,INDIRECT("tblEquipment[Equipment ID]"),INDIRECT("tblEquipment[Production Department]"),"")</f>
        <v/>
      </c>
      <c r="D1615">
        <f t="array" ref="D1615">_xlfn.XLOOKUP(C1615,INDIRECT("tblEquipment[Equipment ID]"),INDIRECT("tblEquipment[Equipment Name]"),"")</f>
        <v/>
      </c>
      <c r="F1615" s="16" t="n"/>
      <c r="G1615" s="16" t="n"/>
      <c r="H1615" s="1">
        <f>IF(OR(F1615=0,G1615=0),"",(G1615-F1615)*24)</f>
        <v/>
      </c>
      <c r="I1615" s="10" t="n"/>
      <c r="J1615" s="1">
        <f>IF(OR(tblDowntime[[#This Row],[Failure Type]]="Sawshop",tblDowntime[[#This Row],[Failure Type]]="Electrical",tblDowntime[[#This Row],[Failure Type]]="Mechanical"),tblDowntime[[#This Row],[Downtime Hours]],"")</f>
        <v/>
      </c>
      <c r="K1615" s="10" t="n"/>
      <c r="L1615" s="10" t="n"/>
      <c r="M1615">
        <f>IF(tblDowntime[[#This Row],[Maintenance Downtime Hours]]="","",tblDowntime[[#This Row],[Equipment ID]])</f>
        <v/>
      </c>
      <c r="N1615" s="1">
        <f>IF(tblDowntime[[#This Row],[Failure Type]]="Production",tblDowntime[[#This Row],[Downtime Hours]],"")</f>
        <v/>
      </c>
      <c r="O1615">
        <f>IF(tblDowntime[[#This Row],[Production Downtime Hours]]="","",tblDowntime[[#This Row],[Equipment ID]])</f>
        <v/>
      </c>
      <c r="P1615" s="10" t="n"/>
    </row>
    <row r="1616">
      <c r="B1616">
        <f t="array" ref="B1616">_xlfn.XLOOKUP(C1616,INDIRECT("tblEquipment[Equipment ID]"),INDIRECT("tblEquipment[Production Department]"),"")</f>
        <v/>
      </c>
      <c r="D1616">
        <f t="array" ref="D1616">_xlfn.XLOOKUP(C1616,INDIRECT("tblEquipment[Equipment ID]"),INDIRECT("tblEquipment[Equipment Name]"),"")</f>
        <v/>
      </c>
      <c r="F1616" s="16" t="n"/>
      <c r="G1616" s="16" t="n"/>
      <c r="H1616" s="1">
        <f>IF(OR(F1616=0,G1616=0),"",(G1616-F1616)*24)</f>
        <v/>
      </c>
      <c r="I1616" s="10" t="n"/>
      <c r="J1616" s="1">
        <f>IF(OR(tblDowntime[[#This Row],[Failure Type]]="Sawshop",tblDowntime[[#This Row],[Failure Type]]="Electrical",tblDowntime[[#This Row],[Failure Type]]="Mechanical"),tblDowntime[[#This Row],[Downtime Hours]],"")</f>
        <v/>
      </c>
      <c r="K1616" s="10" t="n"/>
      <c r="L1616" s="10" t="n"/>
      <c r="M1616">
        <f>IF(tblDowntime[[#This Row],[Maintenance Downtime Hours]]="","",tblDowntime[[#This Row],[Equipment ID]])</f>
        <v/>
      </c>
      <c r="N1616" s="1">
        <f>IF(tblDowntime[[#This Row],[Failure Type]]="Production",tblDowntime[[#This Row],[Downtime Hours]],"")</f>
        <v/>
      </c>
      <c r="O1616">
        <f>IF(tblDowntime[[#This Row],[Production Downtime Hours]]="","",tblDowntime[[#This Row],[Equipment ID]])</f>
        <v/>
      </c>
      <c r="P1616" s="10" t="n"/>
    </row>
    <row r="1617">
      <c r="B1617">
        <f t="array" ref="B1617">_xlfn.XLOOKUP(C1617,INDIRECT("tblEquipment[Equipment ID]"),INDIRECT("tblEquipment[Production Department]"),"")</f>
        <v/>
      </c>
      <c r="D1617">
        <f t="array" ref="D1617">_xlfn.XLOOKUP(C1617,INDIRECT("tblEquipment[Equipment ID]"),INDIRECT("tblEquipment[Equipment Name]"),"")</f>
        <v/>
      </c>
      <c r="F1617" s="16" t="n"/>
      <c r="G1617" s="16" t="n"/>
      <c r="H1617" s="1">
        <f>IF(OR(F1617=0,G1617=0),"",(G1617-F1617)*24)</f>
        <v/>
      </c>
      <c r="I1617" s="10" t="n"/>
      <c r="J1617" s="1">
        <f>IF(OR(tblDowntime[[#This Row],[Failure Type]]="Sawshop",tblDowntime[[#This Row],[Failure Type]]="Electrical",tblDowntime[[#This Row],[Failure Type]]="Mechanical"),tblDowntime[[#This Row],[Downtime Hours]],"")</f>
        <v/>
      </c>
      <c r="K1617" s="10" t="n"/>
      <c r="L1617" s="10" t="n"/>
      <c r="M1617">
        <f>IF(tblDowntime[[#This Row],[Maintenance Downtime Hours]]="","",tblDowntime[[#This Row],[Equipment ID]])</f>
        <v/>
      </c>
      <c r="N1617" s="1">
        <f>IF(tblDowntime[[#This Row],[Failure Type]]="Production",tblDowntime[[#This Row],[Downtime Hours]],"")</f>
        <v/>
      </c>
      <c r="O1617">
        <f>IF(tblDowntime[[#This Row],[Production Downtime Hours]]="","",tblDowntime[[#This Row],[Equipment ID]])</f>
        <v/>
      </c>
      <c r="P1617" s="10" t="n"/>
    </row>
    <row r="1618">
      <c r="B1618">
        <f t="array" ref="B1618">_xlfn.XLOOKUP(C1618,INDIRECT("tblEquipment[Equipment ID]"),INDIRECT("tblEquipment[Production Department]"),"")</f>
        <v/>
      </c>
      <c r="D1618">
        <f t="array" ref="D1618">_xlfn.XLOOKUP(C1618,INDIRECT("tblEquipment[Equipment ID]"),INDIRECT("tblEquipment[Equipment Name]"),"")</f>
        <v/>
      </c>
      <c r="F1618" s="16" t="n"/>
      <c r="G1618" s="16" t="n"/>
      <c r="H1618" s="1">
        <f>IF(OR(F1618=0,G1618=0),"",(G1618-F1618)*24)</f>
        <v/>
      </c>
      <c r="I1618" s="10" t="n"/>
      <c r="J1618" s="1">
        <f>IF(OR(tblDowntime[[#This Row],[Failure Type]]="Sawshop",tblDowntime[[#This Row],[Failure Type]]="Electrical",tblDowntime[[#This Row],[Failure Type]]="Mechanical"),tblDowntime[[#This Row],[Downtime Hours]],"")</f>
        <v/>
      </c>
      <c r="K1618" s="10" t="n"/>
      <c r="L1618" s="10" t="n"/>
      <c r="M1618">
        <f>IF(tblDowntime[[#This Row],[Maintenance Downtime Hours]]="","",tblDowntime[[#This Row],[Equipment ID]])</f>
        <v/>
      </c>
      <c r="N1618" s="1">
        <f>IF(tblDowntime[[#This Row],[Failure Type]]="Production",tblDowntime[[#This Row],[Downtime Hours]],"")</f>
        <v/>
      </c>
      <c r="O1618">
        <f>IF(tblDowntime[[#This Row],[Production Downtime Hours]]="","",tblDowntime[[#This Row],[Equipment ID]])</f>
        <v/>
      </c>
      <c r="P1618" s="10" t="n"/>
    </row>
    <row r="1619">
      <c r="B1619">
        <f t="array" ref="B1619">_xlfn.XLOOKUP(C1619,INDIRECT("tblEquipment[Equipment ID]"),INDIRECT("tblEquipment[Production Department]"),"")</f>
        <v/>
      </c>
      <c r="D1619">
        <f t="array" ref="D1619">_xlfn.XLOOKUP(C1619,INDIRECT("tblEquipment[Equipment ID]"),INDIRECT("tblEquipment[Equipment Name]"),"")</f>
        <v/>
      </c>
      <c r="F1619" s="16" t="n"/>
      <c r="G1619" s="16" t="n"/>
      <c r="H1619" s="1">
        <f>IF(OR(F1619=0,G1619=0),"",(G1619-F1619)*24)</f>
        <v/>
      </c>
      <c r="I1619" s="10" t="n"/>
      <c r="J1619" s="1">
        <f>IF(OR(tblDowntime[[#This Row],[Failure Type]]="Sawshop",tblDowntime[[#This Row],[Failure Type]]="Electrical",tblDowntime[[#This Row],[Failure Type]]="Mechanical"),tblDowntime[[#This Row],[Downtime Hours]],"")</f>
        <v/>
      </c>
      <c r="K1619" s="10" t="n"/>
      <c r="L1619" s="10" t="n"/>
      <c r="M1619">
        <f>IF(tblDowntime[[#This Row],[Maintenance Downtime Hours]]="","",tblDowntime[[#This Row],[Equipment ID]])</f>
        <v/>
      </c>
      <c r="N1619" s="1">
        <f>IF(tblDowntime[[#This Row],[Failure Type]]="Production",tblDowntime[[#This Row],[Downtime Hours]],"")</f>
        <v/>
      </c>
      <c r="O1619">
        <f>IF(tblDowntime[[#This Row],[Production Downtime Hours]]="","",tblDowntime[[#This Row],[Equipment ID]])</f>
        <v/>
      </c>
      <c r="P1619" s="10" t="n"/>
    </row>
    <row r="1620">
      <c r="B1620">
        <f t="array" ref="B1620">_xlfn.XLOOKUP(C1620,INDIRECT("tblEquipment[Equipment ID]"),INDIRECT("tblEquipment[Production Department]"),"")</f>
        <v/>
      </c>
      <c r="D1620">
        <f t="array" ref="D1620">_xlfn.XLOOKUP(C1620,INDIRECT("tblEquipment[Equipment ID]"),INDIRECT("tblEquipment[Equipment Name]"),"")</f>
        <v/>
      </c>
      <c r="F1620" s="16" t="n"/>
      <c r="G1620" s="16" t="n"/>
      <c r="H1620" s="1">
        <f>IF(OR(F1620=0,G1620=0),"",(G1620-F1620)*24)</f>
        <v/>
      </c>
      <c r="I1620" s="10" t="n"/>
      <c r="J1620" s="1">
        <f>IF(OR(tblDowntime[[#This Row],[Failure Type]]="Sawshop",tblDowntime[[#This Row],[Failure Type]]="Electrical",tblDowntime[[#This Row],[Failure Type]]="Mechanical"),tblDowntime[[#This Row],[Downtime Hours]],"")</f>
        <v/>
      </c>
      <c r="K1620" s="10" t="n"/>
      <c r="L1620" s="10" t="n"/>
      <c r="M1620">
        <f>IF(tblDowntime[[#This Row],[Maintenance Downtime Hours]]="","",tblDowntime[[#This Row],[Equipment ID]])</f>
        <v/>
      </c>
      <c r="N1620" s="1">
        <f>IF(tblDowntime[[#This Row],[Failure Type]]="Production",tblDowntime[[#This Row],[Downtime Hours]],"")</f>
        <v/>
      </c>
      <c r="O1620">
        <f>IF(tblDowntime[[#This Row],[Production Downtime Hours]]="","",tblDowntime[[#This Row],[Equipment ID]])</f>
        <v/>
      </c>
      <c r="P1620" s="10" t="n"/>
    </row>
    <row r="1621">
      <c r="B1621">
        <f t="array" ref="B1621">_xlfn.XLOOKUP(C1621,INDIRECT("tblEquipment[Equipment ID]"),INDIRECT("tblEquipment[Production Department]"),"")</f>
        <v/>
      </c>
      <c r="D1621">
        <f t="array" ref="D1621">_xlfn.XLOOKUP(C1621,INDIRECT("tblEquipment[Equipment ID]"),INDIRECT("tblEquipment[Equipment Name]"),"")</f>
        <v/>
      </c>
      <c r="F1621" s="16" t="n"/>
      <c r="G1621" s="16" t="n"/>
      <c r="H1621" s="1">
        <f>IF(OR(F1621=0,G1621=0),"",(G1621-F1621)*24)</f>
        <v/>
      </c>
      <c r="I1621" s="10" t="n"/>
      <c r="J1621" s="1">
        <f>IF(OR(tblDowntime[[#This Row],[Failure Type]]="Sawshop",tblDowntime[[#This Row],[Failure Type]]="Electrical",tblDowntime[[#This Row],[Failure Type]]="Mechanical"),tblDowntime[[#This Row],[Downtime Hours]],"")</f>
        <v/>
      </c>
      <c r="K1621" s="10" t="n"/>
      <c r="L1621" s="10" t="n"/>
      <c r="M1621">
        <f>IF(tblDowntime[[#This Row],[Maintenance Downtime Hours]]="","",tblDowntime[[#This Row],[Equipment ID]])</f>
        <v/>
      </c>
      <c r="N1621" s="1">
        <f>IF(tblDowntime[[#This Row],[Failure Type]]="Production",tblDowntime[[#This Row],[Downtime Hours]],"")</f>
        <v/>
      </c>
      <c r="O1621">
        <f>IF(tblDowntime[[#This Row],[Production Downtime Hours]]="","",tblDowntime[[#This Row],[Equipment ID]])</f>
        <v/>
      </c>
      <c r="P1621" s="10" t="n"/>
    </row>
    <row r="1622">
      <c r="B1622">
        <f t="array" ref="B1622">_xlfn.XLOOKUP(C1622,INDIRECT("tblEquipment[Equipment ID]"),INDIRECT("tblEquipment[Production Department]"),"")</f>
        <v/>
      </c>
      <c r="D1622">
        <f t="array" ref="D1622">_xlfn.XLOOKUP(C1622,INDIRECT("tblEquipment[Equipment ID]"),INDIRECT("tblEquipment[Equipment Name]"),"")</f>
        <v/>
      </c>
      <c r="F1622" s="16" t="n"/>
      <c r="G1622" s="16" t="n"/>
      <c r="H1622" s="1">
        <f>IF(OR(F1622=0,G1622=0),"",(G1622-F1622)*24)</f>
        <v/>
      </c>
      <c r="I1622" s="10" t="n"/>
      <c r="J1622" s="1">
        <f>IF(OR(tblDowntime[[#This Row],[Failure Type]]="Sawshop",tblDowntime[[#This Row],[Failure Type]]="Electrical",tblDowntime[[#This Row],[Failure Type]]="Mechanical"),tblDowntime[[#This Row],[Downtime Hours]],"")</f>
        <v/>
      </c>
      <c r="K1622" s="10" t="n"/>
      <c r="L1622" s="10" t="n"/>
      <c r="M1622">
        <f>IF(tblDowntime[[#This Row],[Maintenance Downtime Hours]]="","",tblDowntime[[#This Row],[Equipment ID]])</f>
        <v/>
      </c>
      <c r="N1622" s="1">
        <f>IF(tblDowntime[[#This Row],[Failure Type]]="Production",tblDowntime[[#This Row],[Downtime Hours]],"")</f>
        <v/>
      </c>
      <c r="O1622">
        <f>IF(tblDowntime[[#This Row],[Production Downtime Hours]]="","",tblDowntime[[#This Row],[Equipment ID]])</f>
        <v/>
      </c>
      <c r="P1622" s="10" t="n"/>
    </row>
    <row r="1623">
      <c r="B1623">
        <f t="array" ref="B1623">_xlfn.XLOOKUP(C1623,INDIRECT("tblEquipment[Equipment ID]"),INDIRECT("tblEquipment[Production Department]"),"")</f>
        <v/>
      </c>
      <c r="D1623">
        <f t="array" ref="D1623">_xlfn.XLOOKUP(C1623,INDIRECT("tblEquipment[Equipment ID]"),INDIRECT("tblEquipment[Equipment Name]"),"")</f>
        <v/>
      </c>
      <c r="F1623" s="16" t="n"/>
      <c r="G1623" s="16" t="n"/>
      <c r="H1623" s="1">
        <f>IF(OR(F1623=0,G1623=0),"",(G1623-F1623)*24)</f>
        <v/>
      </c>
      <c r="I1623" s="10" t="n"/>
      <c r="J1623" s="1">
        <f>IF(OR(tblDowntime[[#This Row],[Failure Type]]="Sawshop",tblDowntime[[#This Row],[Failure Type]]="Electrical",tblDowntime[[#This Row],[Failure Type]]="Mechanical"),tblDowntime[[#This Row],[Downtime Hours]],"")</f>
        <v/>
      </c>
      <c r="K1623" s="10" t="n"/>
      <c r="L1623" s="10" t="n"/>
      <c r="M1623">
        <f>IF(tblDowntime[[#This Row],[Maintenance Downtime Hours]]="","",tblDowntime[[#This Row],[Equipment ID]])</f>
        <v/>
      </c>
      <c r="N1623" s="1">
        <f>IF(tblDowntime[[#This Row],[Failure Type]]="Production",tblDowntime[[#This Row],[Downtime Hours]],"")</f>
        <v/>
      </c>
      <c r="O1623">
        <f>IF(tblDowntime[[#This Row],[Production Downtime Hours]]="","",tblDowntime[[#This Row],[Equipment ID]])</f>
        <v/>
      </c>
      <c r="P1623" s="10" t="n"/>
    </row>
    <row r="1624">
      <c r="B1624">
        <f t="array" ref="B1624">_xlfn.XLOOKUP(C1624,INDIRECT("tblEquipment[Equipment ID]"),INDIRECT("tblEquipment[Production Department]"),"")</f>
        <v/>
      </c>
      <c r="D1624">
        <f t="array" ref="D1624">_xlfn.XLOOKUP(C1624,INDIRECT("tblEquipment[Equipment ID]"),INDIRECT("tblEquipment[Equipment Name]"),"")</f>
        <v/>
      </c>
      <c r="F1624" s="16" t="n"/>
      <c r="G1624" s="16" t="n"/>
      <c r="H1624" s="1">
        <f>IF(OR(F1624=0,G1624=0),"",(G1624-F1624)*24)</f>
        <v/>
      </c>
      <c r="I1624" s="10" t="n"/>
      <c r="J1624" s="1">
        <f>IF(OR(tblDowntime[[#This Row],[Failure Type]]="Sawshop",tblDowntime[[#This Row],[Failure Type]]="Electrical",tblDowntime[[#This Row],[Failure Type]]="Mechanical"),tblDowntime[[#This Row],[Downtime Hours]],"")</f>
        <v/>
      </c>
      <c r="K1624" s="10" t="n"/>
      <c r="L1624" s="10" t="n"/>
      <c r="M1624">
        <f>IF(tblDowntime[[#This Row],[Maintenance Downtime Hours]]="","",tblDowntime[[#This Row],[Equipment ID]])</f>
        <v/>
      </c>
      <c r="N1624" s="1">
        <f>IF(tblDowntime[[#This Row],[Failure Type]]="Production",tblDowntime[[#This Row],[Downtime Hours]],"")</f>
        <v/>
      </c>
      <c r="O1624">
        <f>IF(tblDowntime[[#This Row],[Production Downtime Hours]]="","",tblDowntime[[#This Row],[Equipment ID]])</f>
        <v/>
      </c>
      <c r="P1624" s="10" t="n"/>
    </row>
    <row r="1625">
      <c r="B1625">
        <f t="array" ref="B1625">_xlfn.XLOOKUP(C1625,INDIRECT("tblEquipment[Equipment ID]"),INDIRECT("tblEquipment[Production Department]"),"")</f>
        <v/>
      </c>
      <c r="D1625">
        <f t="array" ref="D1625">_xlfn.XLOOKUP(C1625,INDIRECT("tblEquipment[Equipment ID]"),INDIRECT("tblEquipment[Equipment Name]"),"")</f>
        <v/>
      </c>
      <c r="F1625" s="16" t="n"/>
      <c r="G1625" s="16" t="n"/>
      <c r="H1625" s="1">
        <f>IF(OR(F1625=0,G1625=0),"",(G1625-F1625)*24)</f>
        <v/>
      </c>
      <c r="I1625" s="10" t="n"/>
      <c r="J1625" s="1">
        <f>IF(OR(tblDowntime[[#This Row],[Failure Type]]="Sawshop",tblDowntime[[#This Row],[Failure Type]]="Electrical",tblDowntime[[#This Row],[Failure Type]]="Mechanical"),tblDowntime[[#This Row],[Downtime Hours]],"")</f>
        <v/>
      </c>
      <c r="K1625" s="10" t="n"/>
      <c r="L1625" s="10" t="n"/>
      <c r="M1625">
        <f>IF(tblDowntime[[#This Row],[Maintenance Downtime Hours]]="","",tblDowntime[[#This Row],[Equipment ID]])</f>
        <v/>
      </c>
      <c r="N1625" s="1">
        <f>IF(tblDowntime[[#This Row],[Failure Type]]="Production",tblDowntime[[#This Row],[Downtime Hours]],"")</f>
        <v/>
      </c>
      <c r="O1625">
        <f>IF(tblDowntime[[#This Row],[Production Downtime Hours]]="","",tblDowntime[[#This Row],[Equipment ID]])</f>
        <v/>
      </c>
      <c r="P1625" s="10" t="n"/>
    </row>
    <row r="1626">
      <c r="B1626">
        <f t="array" ref="B1626">_xlfn.XLOOKUP(C1626,INDIRECT("tblEquipment[Equipment ID]"),INDIRECT("tblEquipment[Production Department]"),"")</f>
        <v/>
      </c>
      <c r="D1626">
        <f t="array" ref="D1626">_xlfn.XLOOKUP(C1626,INDIRECT("tblEquipment[Equipment ID]"),INDIRECT("tblEquipment[Equipment Name]"),"")</f>
        <v/>
      </c>
      <c r="F1626" s="16" t="n"/>
      <c r="G1626" s="16" t="n"/>
      <c r="H1626" s="1">
        <f>IF(OR(F1626=0,G1626=0),"",(G1626-F1626)*24)</f>
        <v/>
      </c>
      <c r="I1626" s="10" t="n"/>
      <c r="J1626" s="1">
        <f>IF(OR(tblDowntime[[#This Row],[Failure Type]]="Sawshop",tblDowntime[[#This Row],[Failure Type]]="Electrical",tblDowntime[[#This Row],[Failure Type]]="Mechanical"),tblDowntime[[#This Row],[Downtime Hours]],"")</f>
        <v/>
      </c>
      <c r="K1626" s="10" t="n"/>
      <c r="L1626" s="10" t="n"/>
      <c r="M1626">
        <f>IF(tblDowntime[[#This Row],[Maintenance Downtime Hours]]="","",tblDowntime[[#This Row],[Equipment ID]])</f>
        <v/>
      </c>
      <c r="N1626" s="1">
        <f>IF(tblDowntime[[#This Row],[Failure Type]]="Production",tblDowntime[[#This Row],[Downtime Hours]],"")</f>
        <v/>
      </c>
      <c r="O1626">
        <f>IF(tblDowntime[[#This Row],[Production Downtime Hours]]="","",tblDowntime[[#This Row],[Equipment ID]])</f>
        <v/>
      </c>
      <c r="P1626" s="10" t="n"/>
    </row>
    <row r="1627">
      <c r="B1627">
        <f t="array" ref="B1627">_xlfn.XLOOKUP(C1627,INDIRECT("tblEquipment[Equipment ID]"),INDIRECT("tblEquipment[Production Department]"),"")</f>
        <v/>
      </c>
      <c r="D1627">
        <f t="array" ref="D1627">_xlfn.XLOOKUP(C1627,INDIRECT("tblEquipment[Equipment ID]"),INDIRECT("tblEquipment[Equipment Name]"),"")</f>
        <v/>
      </c>
      <c r="F1627" s="16" t="n"/>
      <c r="G1627" s="16" t="n"/>
      <c r="H1627" s="1">
        <f>IF(OR(F1627=0,G1627=0),"",(G1627-F1627)*24)</f>
        <v/>
      </c>
      <c r="I1627" s="10" t="n"/>
      <c r="J1627" s="1">
        <f>IF(OR(tblDowntime[[#This Row],[Failure Type]]="Sawshop",tblDowntime[[#This Row],[Failure Type]]="Electrical",tblDowntime[[#This Row],[Failure Type]]="Mechanical"),tblDowntime[[#This Row],[Downtime Hours]],"")</f>
        <v/>
      </c>
      <c r="K1627" s="10" t="n"/>
      <c r="L1627" s="10" t="n"/>
      <c r="M1627">
        <f>IF(tblDowntime[[#This Row],[Maintenance Downtime Hours]]="","",tblDowntime[[#This Row],[Equipment ID]])</f>
        <v/>
      </c>
      <c r="N1627" s="1">
        <f>IF(tblDowntime[[#This Row],[Failure Type]]="Production",tblDowntime[[#This Row],[Downtime Hours]],"")</f>
        <v/>
      </c>
      <c r="O1627">
        <f>IF(tblDowntime[[#This Row],[Production Downtime Hours]]="","",tblDowntime[[#This Row],[Equipment ID]])</f>
        <v/>
      </c>
      <c r="P1627" s="10" t="n"/>
    </row>
    <row r="1628">
      <c r="B1628">
        <f t="array" ref="B1628">_xlfn.XLOOKUP(C1628,INDIRECT("tblEquipment[Equipment ID]"),INDIRECT("tblEquipment[Production Department]"),"")</f>
        <v/>
      </c>
      <c r="D1628">
        <f t="array" ref="D1628">_xlfn.XLOOKUP(C1628,INDIRECT("tblEquipment[Equipment ID]"),INDIRECT("tblEquipment[Equipment Name]"),"")</f>
        <v/>
      </c>
      <c r="F1628" s="16" t="n"/>
      <c r="G1628" s="16" t="n"/>
      <c r="H1628" s="1">
        <f>IF(OR(F1628=0,G1628=0),"",(G1628-F1628)*24)</f>
        <v/>
      </c>
      <c r="I1628" s="10" t="n"/>
      <c r="J1628" s="1">
        <f>IF(OR(tblDowntime[[#This Row],[Failure Type]]="Sawshop",tblDowntime[[#This Row],[Failure Type]]="Electrical",tblDowntime[[#This Row],[Failure Type]]="Mechanical"),tblDowntime[[#This Row],[Downtime Hours]],"")</f>
        <v/>
      </c>
      <c r="K1628" s="10" t="n"/>
      <c r="L1628" s="10" t="n"/>
      <c r="M1628">
        <f>IF(tblDowntime[[#This Row],[Maintenance Downtime Hours]]="","",tblDowntime[[#This Row],[Equipment ID]])</f>
        <v/>
      </c>
      <c r="N1628" s="1">
        <f>IF(tblDowntime[[#This Row],[Failure Type]]="Production",tblDowntime[[#This Row],[Downtime Hours]],"")</f>
        <v/>
      </c>
      <c r="O1628">
        <f>IF(tblDowntime[[#This Row],[Production Downtime Hours]]="","",tblDowntime[[#This Row],[Equipment ID]])</f>
        <v/>
      </c>
      <c r="P1628" s="10" t="n"/>
    </row>
    <row r="1629">
      <c r="B1629">
        <f t="array" ref="B1629">_xlfn.XLOOKUP(C1629,INDIRECT("tblEquipment[Equipment ID]"),INDIRECT("tblEquipment[Production Department]"),"")</f>
        <v/>
      </c>
      <c r="D1629">
        <f t="array" ref="D1629">_xlfn.XLOOKUP(C1629,INDIRECT("tblEquipment[Equipment ID]"),INDIRECT("tblEquipment[Equipment Name]"),"")</f>
        <v/>
      </c>
      <c r="F1629" s="16" t="n"/>
      <c r="G1629" s="16" t="n"/>
      <c r="H1629" s="1">
        <f>IF(OR(F1629=0,G1629=0),"",(G1629-F1629)*24)</f>
        <v/>
      </c>
      <c r="I1629" s="10" t="n"/>
      <c r="J1629" s="1">
        <f>IF(OR(tblDowntime[[#This Row],[Failure Type]]="Sawshop",tblDowntime[[#This Row],[Failure Type]]="Electrical",tblDowntime[[#This Row],[Failure Type]]="Mechanical"),tblDowntime[[#This Row],[Downtime Hours]],"")</f>
        <v/>
      </c>
      <c r="K1629" s="10" t="n"/>
      <c r="L1629" s="10" t="n"/>
      <c r="M1629">
        <f>IF(tblDowntime[[#This Row],[Maintenance Downtime Hours]]="","",tblDowntime[[#This Row],[Equipment ID]])</f>
        <v/>
      </c>
      <c r="N1629" s="1">
        <f>IF(tblDowntime[[#This Row],[Failure Type]]="Production",tblDowntime[[#This Row],[Downtime Hours]],"")</f>
        <v/>
      </c>
      <c r="O1629">
        <f>IF(tblDowntime[[#This Row],[Production Downtime Hours]]="","",tblDowntime[[#This Row],[Equipment ID]])</f>
        <v/>
      </c>
      <c r="P1629" s="10" t="n"/>
    </row>
    <row r="1630">
      <c r="B1630">
        <f t="array" ref="B1630">_xlfn.XLOOKUP(C1630,INDIRECT("tblEquipment[Equipment ID]"),INDIRECT("tblEquipment[Production Department]"),"")</f>
        <v/>
      </c>
      <c r="D1630">
        <f t="array" ref="D1630">_xlfn.XLOOKUP(C1630,INDIRECT("tblEquipment[Equipment ID]"),INDIRECT("tblEquipment[Equipment Name]"),"")</f>
        <v/>
      </c>
      <c r="F1630" s="16" t="n"/>
      <c r="G1630" s="16" t="n"/>
      <c r="H1630" s="1">
        <f>IF(OR(F1630=0,G1630=0),"",(G1630-F1630)*24)</f>
        <v/>
      </c>
      <c r="I1630" s="10" t="n"/>
      <c r="J1630" s="1">
        <f>IF(OR(tblDowntime[[#This Row],[Failure Type]]="Sawshop",tblDowntime[[#This Row],[Failure Type]]="Electrical",tblDowntime[[#This Row],[Failure Type]]="Mechanical"),tblDowntime[[#This Row],[Downtime Hours]],"")</f>
        <v/>
      </c>
      <c r="K1630" s="10" t="n"/>
      <c r="L1630" s="10" t="n"/>
      <c r="M1630">
        <f>IF(tblDowntime[[#This Row],[Maintenance Downtime Hours]]="","",tblDowntime[[#This Row],[Equipment ID]])</f>
        <v/>
      </c>
      <c r="N1630" s="1">
        <f>IF(tblDowntime[[#This Row],[Failure Type]]="Production",tblDowntime[[#This Row],[Downtime Hours]],"")</f>
        <v/>
      </c>
      <c r="O1630">
        <f>IF(tblDowntime[[#This Row],[Production Downtime Hours]]="","",tblDowntime[[#This Row],[Equipment ID]])</f>
        <v/>
      </c>
      <c r="P1630" s="10" t="n"/>
    </row>
    <row r="1631">
      <c r="B1631">
        <f t="array" ref="B1631">_xlfn.XLOOKUP(C1631,INDIRECT("tblEquipment[Equipment ID]"),INDIRECT("tblEquipment[Production Department]"),"")</f>
        <v/>
      </c>
      <c r="D1631">
        <f t="array" ref="D1631">_xlfn.XLOOKUP(C1631,INDIRECT("tblEquipment[Equipment ID]"),INDIRECT("tblEquipment[Equipment Name]"),"")</f>
        <v/>
      </c>
      <c r="F1631" s="16" t="n"/>
      <c r="G1631" s="16" t="n"/>
      <c r="H1631" s="1">
        <f>IF(OR(F1631=0,G1631=0),"",(G1631-F1631)*24)</f>
        <v/>
      </c>
      <c r="I1631" s="10" t="n"/>
      <c r="J1631" s="1">
        <f>IF(OR(tblDowntime[[#This Row],[Failure Type]]="Sawshop",tblDowntime[[#This Row],[Failure Type]]="Electrical",tblDowntime[[#This Row],[Failure Type]]="Mechanical"),tblDowntime[[#This Row],[Downtime Hours]],"")</f>
        <v/>
      </c>
      <c r="K1631" s="10" t="n"/>
      <c r="L1631" s="10" t="n"/>
      <c r="M1631">
        <f>IF(tblDowntime[[#This Row],[Maintenance Downtime Hours]]="","",tblDowntime[[#This Row],[Equipment ID]])</f>
        <v/>
      </c>
      <c r="N1631" s="1">
        <f>IF(tblDowntime[[#This Row],[Failure Type]]="Production",tblDowntime[[#This Row],[Downtime Hours]],"")</f>
        <v/>
      </c>
      <c r="O1631">
        <f>IF(tblDowntime[[#This Row],[Production Downtime Hours]]="","",tblDowntime[[#This Row],[Equipment ID]])</f>
        <v/>
      </c>
      <c r="P1631" s="10" t="n"/>
    </row>
    <row r="1632">
      <c r="B1632">
        <f t="array" ref="B1632">_xlfn.XLOOKUP(C1632,INDIRECT("tblEquipment[Equipment ID]"),INDIRECT("tblEquipment[Production Department]"),"")</f>
        <v/>
      </c>
      <c r="D1632">
        <f t="array" ref="D1632">_xlfn.XLOOKUP(C1632,INDIRECT("tblEquipment[Equipment ID]"),INDIRECT("tblEquipment[Equipment Name]"),"")</f>
        <v/>
      </c>
      <c r="F1632" s="16" t="n"/>
      <c r="G1632" s="16" t="n"/>
      <c r="H1632" s="1">
        <f>IF(OR(F1632=0,G1632=0),"",(G1632-F1632)*24)</f>
        <v/>
      </c>
      <c r="I1632" s="10" t="n"/>
      <c r="J1632" s="1">
        <f>IF(OR(tblDowntime[[#This Row],[Failure Type]]="Sawshop",tblDowntime[[#This Row],[Failure Type]]="Electrical",tblDowntime[[#This Row],[Failure Type]]="Mechanical"),tblDowntime[[#This Row],[Downtime Hours]],"")</f>
        <v/>
      </c>
      <c r="K1632" s="10" t="n"/>
      <c r="L1632" s="10" t="n"/>
      <c r="M1632">
        <f>IF(tblDowntime[[#This Row],[Maintenance Downtime Hours]]="","",tblDowntime[[#This Row],[Equipment ID]])</f>
        <v/>
      </c>
      <c r="N1632" s="1">
        <f>IF(tblDowntime[[#This Row],[Failure Type]]="Production",tblDowntime[[#This Row],[Downtime Hours]],"")</f>
        <v/>
      </c>
      <c r="O1632">
        <f>IF(tblDowntime[[#This Row],[Production Downtime Hours]]="","",tblDowntime[[#This Row],[Equipment ID]])</f>
        <v/>
      </c>
      <c r="P1632" s="10" t="n"/>
    </row>
    <row r="1633">
      <c r="B1633">
        <f t="array" ref="B1633">_xlfn.XLOOKUP(C1633,INDIRECT("tblEquipment[Equipment ID]"),INDIRECT("tblEquipment[Production Department]"),"")</f>
        <v/>
      </c>
      <c r="D1633">
        <f t="array" ref="D1633">_xlfn.XLOOKUP(C1633,INDIRECT("tblEquipment[Equipment ID]"),INDIRECT("tblEquipment[Equipment Name]"),"")</f>
        <v/>
      </c>
      <c r="F1633" s="16" t="n"/>
      <c r="G1633" s="16" t="n"/>
      <c r="H1633" s="1">
        <f>IF(OR(F1633=0,G1633=0),"",(G1633-F1633)*24)</f>
        <v/>
      </c>
      <c r="I1633" s="10" t="n"/>
      <c r="J1633" s="1">
        <f>IF(OR(tblDowntime[[#This Row],[Failure Type]]="Sawshop",tblDowntime[[#This Row],[Failure Type]]="Electrical",tblDowntime[[#This Row],[Failure Type]]="Mechanical"),tblDowntime[[#This Row],[Downtime Hours]],"")</f>
        <v/>
      </c>
      <c r="K1633" s="10" t="n"/>
      <c r="L1633" s="10" t="n"/>
      <c r="M1633">
        <f>IF(tblDowntime[[#This Row],[Maintenance Downtime Hours]]="","",tblDowntime[[#This Row],[Equipment ID]])</f>
        <v/>
      </c>
      <c r="N1633" s="1">
        <f>IF(tblDowntime[[#This Row],[Failure Type]]="Production",tblDowntime[[#This Row],[Downtime Hours]],"")</f>
        <v/>
      </c>
      <c r="O1633">
        <f>IF(tblDowntime[[#This Row],[Production Downtime Hours]]="","",tblDowntime[[#This Row],[Equipment ID]])</f>
        <v/>
      </c>
      <c r="P1633" s="10" t="n"/>
    </row>
    <row r="1634">
      <c r="B1634">
        <f t="array" ref="B1634">_xlfn.XLOOKUP(C1634,INDIRECT("tblEquipment[Equipment ID]"),INDIRECT("tblEquipment[Production Department]"),"")</f>
        <v/>
      </c>
      <c r="D1634">
        <f t="array" ref="D1634">_xlfn.XLOOKUP(C1634,INDIRECT("tblEquipment[Equipment ID]"),INDIRECT("tblEquipment[Equipment Name]"),"")</f>
        <v/>
      </c>
      <c r="F1634" s="16" t="n"/>
      <c r="G1634" s="16" t="n"/>
      <c r="H1634" s="1">
        <f>IF(OR(F1634=0,G1634=0),"",(G1634-F1634)*24)</f>
        <v/>
      </c>
      <c r="I1634" s="10" t="n"/>
      <c r="J1634" s="1">
        <f>IF(OR(tblDowntime[[#This Row],[Failure Type]]="Sawshop",tblDowntime[[#This Row],[Failure Type]]="Electrical",tblDowntime[[#This Row],[Failure Type]]="Mechanical"),tblDowntime[[#This Row],[Downtime Hours]],"")</f>
        <v/>
      </c>
      <c r="K1634" s="10" t="n"/>
      <c r="L1634" s="10" t="n"/>
      <c r="M1634">
        <f>IF(tblDowntime[[#This Row],[Maintenance Downtime Hours]]="","",tblDowntime[[#This Row],[Equipment ID]])</f>
        <v/>
      </c>
      <c r="N1634" s="1">
        <f>IF(tblDowntime[[#This Row],[Failure Type]]="Production",tblDowntime[[#This Row],[Downtime Hours]],"")</f>
        <v/>
      </c>
      <c r="O1634">
        <f>IF(tblDowntime[[#This Row],[Production Downtime Hours]]="","",tblDowntime[[#This Row],[Equipment ID]])</f>
        <v/>
      </c>
      <c r="P1634" s="10" t="n"/>
    </row>
    <row r="1635">
      <c r="B1635">
        <f t="array" ref="B1635">_xlfn.XLOOKUP(C1635,INDIRECT("tblEquipment[Equipment ID]"),INDIRECT("tblEquipment[Production Department]"),"")</f>
        <v/>
      </c>
      <c r="D1635">
        <f t="array" ref="D1635">_xlfn.XLOOKUP(C1635,INDIRECT("tblEquipment[Equipment ID]"),INDIRECT("tblEquipment[Equipment Name]"),"")</f>
        <v/>
      </c>
      <c r="F1635" s="16" t="n"/>
      <c r="G1635" s="16" t="n"/>
      <c r="H1635" s="1">
        <f>IF(OR(F1635=0,G1635=0),"",(G1635-F1635)*24)</f>
        <v/>
      </c>
      <c r="I1635" s="10" t="n"/>
      <c r="J1635" s="1">
        <f>IF(OR(tblDowntime[[#This Row],[Failure Type]]="Sawshop",tblDowntime[[#This Row],[Failure Type]]="Electrical",tblDowntime[[#This Row],[Failure Type]]="Mechanical"),tblDowntime[[#This Row],[Downtime Hours]],"")</f>
        <v/>
      </c>
      <c r="K1635" s="10" t="n"/>
      <c r="L1635" s="10" t="n"/>
      <c r="M1635">
        <f>IF(tblDowntime[[#This Row],[Maintenance Downtime Hours]]="","",tblDowntime[[#This Row],[Equipment ID]])</f>
        <v/>
      </c>
      <c r="N1635" s="1">
        <f>IF(tblDowntime[[#This Row],[Failure Type]]="Production",tblDowntime[[#This Row],[Downtime Hours]],"")</f>
        <v/>
      </c>
      <c r="O1635">
        <f>IF(tblDowntime[[#This Row],[Production Downtime Hours]]="","",tblDowntime[[#This Row],[Equipment ID]])</f>
        <v/>
      </c>
      <c r="P1635" s="10" t="n"/>
    </row>
    <row r="1636">
      <c r="B1636">
        <f t="array" ref="B1636">_xlfn.XLOOKUP(C1636,INDIRECT("tblEquipment[Equipment ID]"),INDIRECT("tblEquipment[Production Department]"),"")</f>
        <v/>
      </c>
      <c r="D1636">
        <f t="array" ref="D1636">_xlfn.XLOOKUP(C1636,INDIRECT("tblEquipment[Equipment ID]"),INDIRECT("tblEquipment[Equipment Name]"),"")</f>
        <v/>
      </c>
      <c r="F1636" s="16" t="n"/>
      <c r="G1636" s="16" t="n"/>
      <c r="H1636" s="1">
        <f>IF(OR(F1636=0,G1636=0),"",(G1636-F1636)*24)</f>
        <v/>
      </c>
      <c r="I1636" s="10" t="n"/>
      <c r="J1636" s="1">
        <f>IF(OR(tblDowntime[[#This Row],[Failure Type]]="Sawshop",tblDowntime[[#This Row],[Failure Type]]="Electrical",tblDowntime[[#This Row],[Failure Type]]="Mechanical"),tblDowntime[[#This Row],[Downtime Hours]],"")</f>
        <v/>
      </c>
      <c r="K1636" s="10" t="n"/>
      <c r="L1636" s="10" t="n"/>
      <c r="M1636">
        <f>IF(tblDowntime[[#This Row],[Maintenance Downtime Hours]]="","",tblDowntime[[#This Row],[Equipment ID]])</f>
        <v/>
      </c>
      <c r="N1636" s="1">
        <f>IF(tblDowntime[[#This Row],[Failure Type]]="Production",tblDowntime[[#This Row],[Downtime Hours]],"")</f>
        <v/>
      </c>
      <c r="O1636">
        <f>IF(tblDowntime[[#This Row],[Production Downtime Hours]]="","",tblDowntime[[#This Row],[Equipment ID]])</f>
        <v/>
      </c>
      <c r="P1636" s="10" t="n"/>
    </row>
    <row r="1637">
      <c r="B1637">
        <f t="array" ref="B1637">_xlfn.XLOOKUP(C1637,INDIRECT("tblEquipment[Equipment ID]"),INDIRECT("tblEquipment[Production Department]"),"")</f>
        <v/>
      </c>
      <c r="D1637">
        <f t="array" ref="D1637">_xlfn.XLOOKUP(C1637,INDIRECT("tblEquipment[Equipment ID]"),INDIRECT("tblEquipment[Equipment Name]"),"")</f>
        <v/>
      </c>
      <c r="F1637" s="16" t="n"/>
      <c r="G1637" s="16" t="n"/>
      <c r="H1637" s="1">
        <f>IF(OR(F1637=0,G1637=0),"",(G1637-F1637)*24)</f>
        <v/>
      </c>
      <c r="I1637" s="10" t="n"/>
      <c r="J1637" s="1">
        <f>IF(OR(tblDowntime[[#This Row],[Failure Type]]="Sawshop",tblDowntime[[#This Row],[Failure Type]]="Electrical",tblDowntime[[#This Row],[Failure Type]]="Mechanical"),tblDowntime[[#This Row],[Downtime Hours]],"")</f>
        <v/>
      </c>
      <c r="K1637" s="10" t="n"/>
      <c r="L1637" s="10" t="n"/>
      <c r="M1637">
        <f>IF(tblDowntime[[#This Row],[Maintenance Downtime Hours]]="","",tblDowntime[[#This Row],[Equipment ID]])</f>
        <v/>
      </c>
      <c r="N1637" s="1">
        <f>IF(tblDowntime[[#This Row],[Failure Type]]="Production",tblDowntime[[#This Row],[Downtime Hours]],"")</f>
        <v/>
      </c>
      <c r="O1637">
        <f>IF(tblDowntime[[#This Row],[Production Downtime Hours]]="","",tblDowntime[[#This Row],[Equipment ID]])</f>
        <v/>
      </c>
      <c r="P1637" s="10" t="n"/>
    </row>
    <row r="1638">
      <c r="B1638">
        <f t="array" ref="B1638">_xlfn.XLOOKUP(C1638,INDIRECT("tblEquipment[Equipment ID]"),INDIRECT("tblEquipment[Production Department]"),"")</f>
        <v/>
      </c>
      <c r="D1638">
        <f t="array" ref="D1638">_xlfn.XLOOKUP(C1638,INDIRECT("tblEquipment[Equipment ID]"),INDIRECT("tblEquipment[Equipment Name]"),"")</f>
        <v/>
      </c>
      <c r="F1638" s="16" t="n"/>
      <c r="G1638" s="16" t="n"/>
      <c r="H1638" s="1">
        <f>IF(OR(F1638=0,G1638=0),"",(G1638-F1638)*24)</f>
        <v/>
      </c>
      <c r="I1638" s="10" t="n"/>
      <c r="J1638" s="1">
        <f>IF(OR(tblDowntime[[#This Row],[Failure Type]]="Sawshop",tblDowntime[[#This Row],[Failure Type]]="Electrical",tblDowntime[[#This Row],[Failure Type]]="Mechanical"),tblDowntime[[#This Row],[Downtime Hours]],"")</f>
        <v/>
      </c>
      <c r="K1638" s="10" t="n"/>
      <c r="L1638" s="10" t="n"/>
      <c r="M1638">
        <f>IF(tblDowntime[[#This Row],[Maintenance Downtime Hours]]="","",tblDowntime[[#This Row],[Equipment ID]])</f>
        <v/>
      </c>
      <c r="N1638" s="1">
        <f>IF(tblDowntime[[#This Row],[Failure Type]]="Production",tblDowntime[[#This Row],[Downtime Hours]],"")</f>
        <v/>
      </c>
      <c r="O1638">
        <f>IF(tblDowntime[[#This Row],[Production Downtime Hours]]="","",tblDowntime[[#This Row],[Equipment ID]])</f>
        <v/>
      </c>
      <c r="P1638" s="10" t="n"/>
    </row>
    <row r="1639">
      <c r="B1639">
        <f t="array" ref="B1639">_xlfn.XLOOKUP(C1639,INDIRECT("tblEquipment[Equipment ID]"),INDIRECT("tblEquipment[Production Department]"),"")</f>
        <v/>
      </c>
      <c r="D1639">
        <f t="array" ref="D1639">_xlfn.XLOOKUP(C1639,INDIRECT("tblEquipment[Equipment ID]"),INDIRECT("tblEquipment[Equipment Name]"),"")</f>
        <v/>
      </c>
      <c r="F1639" s="16" t="n"/>
      <c r="G1639" s="16" t="n"/>
      <c r="H1639" s="1">
        <f>IF(OR(F1639=0,G1639=0),"",(G1639-F1639)*24)</f>
        <v/>
      </c>
      <c r="I1639" s="10" t="n"/>
      <c r="J1639" s="1">
        <f>IF(OR(tblDowntime[[#This Row],[Failure Type]]="Sawshop",tblDowntime[[#This Row],[Failure Type]]="Electrical",tblDowntime[[#This Row],[Failure Type]]="Mechanical"),tblDowntime[[#This Row],[Downtime Hours]],"")</f>
        <v/>
      </c>
      <c r="K1639" s="10" t="n"/>
      <c r="L1639" s="10" t="n"/>
      <c r="M1639">
        <f>IF(tblDowntime[[#This Row],[Maintenance Downtime Hours]]="","",tblDowntime[[#This Row],[Equipment ID]])</f>
        <v/>
      </c>
      <c r="N1639" s="1">
        <f>IF(tblDowntime[[#This Row],[Failure Type]]="Production",tblDowntime[[#This Row],[Downtime Hours]],"")</f>
        <v/>
      </c>
      <c r="O1639">
        <f>IF(tblDowntime[[#This Row],[Production Downtime Hours]]="","",tblDowntime[[#This Row],[Equipment ID]])</f>
        <v/>
      </c>
      <c r="P1639" s="10" t="n"/>
    </row>
    <row r="1640">
      <c r="B1640">
        <f t="array" ref="B1640">_xlfn.XLOOKUP(C1640,INDIRECT("tblEquipment[Equipment ID]"),INDIRECT("tblEquipment[Production Department]"),"")</f>
        <v/>
      </c>
      <c r="D1640">
        <f t="array" ref="D1640">_xlfn.XLOOKUP(C1640,INDIRECT("tblEquipment[Equipment ID]"),INDIRECT("tblEquipment[Equipment Name]"),"")</f>
        <v/>
      </c>
      <c r="F1640" s="16" t="n"/>
      <c r="G1640" s="16" t="n"/>
      <c r="H1640" s="1">
        <f>IF(OR(F1640=0,G1640=0),"",(G1640-F1640)*24)</f>
        <v/>
      </c>
      <c r="I1640" s="10" t="n"/>
      <c r="J1640" s="1">
        <f>IF(OR(tblDowntime[[#This Row],[Failure Type]]="Sawshop",tblDowntime[[#This Row],[Failure Type]]="Electrical",tblDowntime[[#This Row],[Failure Type]]="Mechanical"),tblDowntime[[#This Row],[Downtime Hours]],"")</f>
        <v/>
      </c>
      <c r="K1640" s="10" t="n"/>
      <c r="L1640" s="10" t="n"/>
      <c r="M1640">
        <f>IF(tblDowntime[[#This Row],[Maintenance Downtime Hours]]="","",tblDowntime[[#This Row],[Equipment ID]])</f>
        <v/>
      </c>
      <c r="N1640" s="1">
        <f>IF(tblDowntime[[#This Row],[Failure Type]]="Production",tblDowntime[[#This Row],[Downtime Hours]],"")</f>
        <v/>
      </c>
      <c r="O1640">
        <f>IF(tblDowntime[[#This Row],[Production Downtime Hours]]="","",tblDowntime[[#This Row],[Equipment ID]])</f>
        <v/>
      </c>
      <c r="P1640" s="10" t="n"/>
    </row>
    <row r="1641">
      <c r="B1641">
        <f t="array" ref="B1641">_xlfn.XLOOKUP(C1641,INDIRECT("tblEquipment[Equipment ID]"),INDIRECT("tblEquipment[Production Department]"),"")</f>
        <v/>
      </c>
      <c r="D1641">
        <f t="array" ref="D1641">_xlfn.XLOOKUP(C1641,INDIRECT("tblEquipment[Equipment ID]"),INDIRECT("tblEquipment[Equipment Name]"),"")</f>
        <v/>
      </c>
      <c r="F1641" s="16" t="n"/>
      <c r="G1641" s="16" t="n"/>
      <c r="H1641" s="1">
        <f>IF(OR(F1641=0,G1641=0),"",(G1641-F1641)*24)</f>
        <v/>
      </c>
      <c r="I1641" s="10" t="n"/>
      <c r="J1641" s="1">
        <f>IF(OR(tblDowntime[[#This Row],[Failure Type]]="Sawshop",tblDowntime[[#This Row],[Failure Type]]="Electrical",tblDowntime[[#This Row],[Failure Type]]="Mechanical"),tblDowntime[[#This Row],[Downtime Hours]],"")</f>
        <v/>
      </c>
      <c r="K1641" s="10" t="n"/>
      <c r="L1641" s="10" t="n"/>
      <c r="M1641">
        <f>IF(tblDowntime[[#This Row],[Maintenance Downtime Hours]]="","",tblDowntime[[#This Row],[Equipment ID]])</f>
        <v/>
      </c>
      <c r="N1641" s="1">
        <f>IF(tblDowntime[[#This Row],[Failure Type]]="Production",tblDowntime[[#This Row],[Downtime Hours]],"")</f>
        <v/>
      </c>
      <c r="O1641">
        <f>IF(tblDowntime[[#This Row],[Production Downtime Hours]]="","",tblDowntime[[#This Row],[Equipment ID]])</f>
        <v/>
      </c>
      <c r="P1641" s="10" t="n"/>
    </row>
    <row r="1642">
      <c r="B1642">
        <f t="array" ref="B1642">_xlfn.XLOOKUP(C1642,INDIRECT("tblEquipment[Equipment ID]"),INDIRECT("tblEquipment[Production Department]"),"")</f>
        <v/>
      </c>
      <c r="D1642">
        <f t="array" ref="D1642">_xlfn.XLOOKUP(C1642,INDIRECT("tblEquipment[Equipment ID]"),INDIRECT("tblEquipment[Equipment Name]"),"")</f>
        <v/>
      </c>
      <c r="F1642" s="16" t="n"/>
      <c r="G1642" s="16" t="n"/>
      <c r="H1642" s="1">
        <f>IF(OR(F1642=0,G1642=0),"",(G1642-F1642)*24)</f>
        <v/>
      </c>
      <c r="I1642" s="10" t="n"/>
      <c r="J1642" s="1">
        <f>IF(OR(tblDowntime[[#This Row],[Failure Type]]="Sawshop",tblDowntime[[#This Row],[Failure Type]]="Electrical",tblDowntime[[#This Row],[Failure Type]]="Mechanical"),tblDowntime[[#This Row],[Downtime Hours]],"")</f>
        <v/>
      </c>
      <c r="K1642" s="10" t="n"/>
      <c r="L1642" s="10" t="n"/>
      <c r="M1642">
        <f>IF(tblDowntime[[#This Row],[Maintenance Downtime Hours]]="","",tblDowntime[[#This Row],[Equipment ID]])</f>
        <v/>
      </c>
      <c r="N1642" s="1">
        <f>IF(tblDowntime[[#This Row],[Failure Type]]="Production",tblDowntime[[#This Row],[Downtime Hours]],"")</f>
        <v/>
      </c>
      <c r="O1642">
        <f>IF(tblDowntime[[#This Row],[Production Downtime Hours]]="","",tblDowntime[[#This Row],[Equipment ID]])</f>
        <v/>
      </c>
      <c r="P1642" s="10" t="n"/>
    </row>
    <row r="1643">
      <c r="B1643">
        <f t="array" ref="B1643">_xlfn.XLOOKUP(C1643,INDIRECT("tblEquipment[Equipment ID]"),INDIRECT("tblEquipment[Production Department]"),"")</f>
        <v/>
      </c>
      <c r="D1643">
        <f t="array" ref="D1643">_xlfn.XLOOKUP(C1643,INDIRECT("tblEquipment[Equipment ID]"),INDIRECT("tblEquipment[Equipment Name]"),"")</f>
        <v/>
      </c>
      <c r="F1643" s="16" t="n"/>
      <c r="G1643" s="16" t="n"/>
      <c r="H1643" s="1">
        <f>IF(OR(F1643=0,G1643=0),"",(G1643-F1643)*24)</f>
        <v/>
      </c>
      <c r="I1643" s="10" t="n"/>
      <c r="J1643" s="1">
        <f>IF(OR(tblDowntime[[#This Row],[Failure Type]]="Sawshop",tblDowntime[[#This Row],[Failure Type]]="Electrical",tblDowntime[[#This Row],[Failure Type]]="Mechanical"),tblDowntime[[#This Row],[Downtime Hours]],"")</f>
        <v/>
      </c>
      <c r="K1643" s="10" t="n"/>
      <c r="L1643" s="10" t="n"/>
      <c r="M1643">
        <f>IF(tblDowntime[[#This Row],[Maintenance Downtime Hours]]="","",tblDowntime[[#This Row],[Equipment ID]])</f>
        <v/>
      </c>
      <c r="N1643" s="1">
        <f>IF(tblDowntime[[#This Row],[Failure Type]]="Production",tblDowntime[[#This Row],[Downtime Hours]],"")</f>
        <v/>
      </c>
      <c r="O1643">
        <f>IF(tblDowntime[[#This Row],[Production Downtime Hours]]="","",tblDowntime[[#This Row],[Equipment ID]])</f>
        <v/>
      </c>
      <c r="P1643" s="10" t="n"/>
    </row>
    <row r="1644">
      <c r="B1644">
        <f t="array" ref="B1644">_xlfn.XLOOKUP(C1644,INDIRECT("tblEquipment[Equipment ID]"),INDIRECT("tblEquipment[Production Department]"),"")</f>
        <v/>
      </c>
      <c r="D1644">
        <f t="array" ref="D1644">_xlfn.XLOOKUP(C1644,INDIRECT("tblEquipment[Equipment ID]"),INDIRECT("tblEquipment[Equipment Name]"),"")</f>
        <v/>
      </c>
      <c r="F1644" s="16" t="n"/>
      <c r="G1644" s="16" t="n"/>
      <c r="H1644" s="1">
        <f>IF(OR(F1644=0,G1644=0),"",(G1644-F1644)*24)</f>
        <v/>
      </c>
      <c r="I1644" s="10" t="n"/>
      <c r="J1644" s="1">
        <f>IF(OR(tblDowntime[[#This Row],[Failure Type]]="Sawshop",tblDowntime[[#This Row],[Failure Type]]="Electrical",tblDowntime[[#This Row],[Failure Type]]="Mechanical"),tblDowntime[[#This Row],[Downtime Hours]],"")</f>
        <v/>
      </c>
      <c r="K1644" s="10" t="n"/>
      <c r="L1644" s="10" t="n"/>
      <c r="M1644">
        <f>IF(tblDowntime[[#This Row],[Maintenance Downtime Hours]]="","",tblDowntime[[#This Row],[Equipment ID]])</f>
        <v/>
      </c>
      <c r="N1644" s="1">
        <f>IF(tblDowntime[[#This Row],[Failure Type]]="Production",tblDowntime[[#This Row],[Downtime Hours]],"")</f>
        <v/>
      </c>
      <c r="O1644">
        <f>IF(tblDowntime[[#This Row],[Production Downtime Hours]]="","",tblDowntime[[#This Row],[Equipment ID]])</f>
        <v/>
      </c>
      <c r="P1644" s="10" t="n"/>
    </row>
    <row r="1645">
      <c r="B1645">
        <f t="array" ref="B1645">_xlfn.XLOOKUP(C1645,INDIRECT("tblEquipment[Equipment ID]"),INDIRECT("tblEquipment[Production Department]"),"")</f>
        <v/>
      </c>
      <c r="D1645">
        <f t="array" ref="D1645">_xlfn.XLOOKUP(C1645,INDIRECT("tblEquipment[Equipment ID]"),INDIRECT("tblEquipment[Equipment Name]"),"")</f>
        <v/>
      </c>
      <c r="F1645" s="16" t="n"/>
      <c r="G1645" s="16" t="n"/>
      <c r="H1645" s="1">
        <f>IF(OR(F1645=0,G1645=0),"",(G1645-F1645)*24)</f>
        <v/>
      </c>
      <c r="I1645" s="10" t="n"/>
      <c r="J1645" s="1">
        <f>IF(OR(tblDowntime[[#This Row],[Failure Type]]="Sawshop",tblDowntime[[#This Row],[Failure Type]]="Electrical",tblDowntime[[#This Row],[Failure Type]]="Mechanical"),tblDowntime[[#This Row],[Downtime Hours]],"")</f>
        <v/>
      </c>
      <c r="K1645" s="10" t="n"/>
      <c r="L1645" s="10" t="n"/>
      <c r="M1645">
        <f>IF(tblDowntime[[#This Row],[Maintenance Downtime Hours]]="","",tblDowntime[[#This Row],[Equipment ID]])</f>
        <v/>
      </c>
      <c r="N1645" s="1">
        <f>IF(tblDowntime[[#This Row],[Failure Type]]="Production",tblDowntime[[#This Row],[Downtime Hours]],"")</f>
        <v/>
      </c>
      <c r="O1645">
        <f>IF(tblDowntime[[#This Row],[Production Downtime Hours]]="","",tblDowntime[[#This Row],[Equipment ID]])</f>
        <v/>
      </c>
      <c r="P1645" s="10" t="n"/>
    </row>
    <row r="1646">
      <c r="B1646">
        <f t="array" ref="B1646">_xlfn.XLOOKUP(C1646,INDIRECT("tblEquipment[Equipment ID]"),INDIRECT("tblEquipment[Production Department]"),"")</f>
        <v/>
      </c>
      <c r="D1646">
        <f t="array" ref="D1646">_xlfn.XLOOKUP(C1646,INDIRECT("tblEquipment[Equipment ID]"),INDIRECT("tblEquipment[Equipment Name]"),"")</f>
        <v/>
      </c>
      <c r="F1646" s="16" t="n"/>
      <c r="G1646" s="16" t="n"/>
      <c r="H1646" s="1">
        <f>IF(OR(F1646=0,G1646=0),"",(G1646-F1646)*24)</f>
        <v/>
      </c>
      <c r="I1646" s="10" t="n"/>
      <c r="J1646" s="1">
        <f>IF(OR(tblDowntime[[#This Row],[Failure Type]]="Sawshop",tblDowntime[[#This Row],[Failure Type]]="Electrical",tblDowntime[[#This Row],[Failure Type]]="Mechanical"),tblDowntime[[#This Row],[Downtime Hours]],"")</f>
        <v/>
      </c>
      <c r="K1646" s="10" t="n"/>
      <c r="L1646" s="10" t="n"/>
      <c r="M1646">
        <f>IF(tblDowntime[[#This Row],[Maintenance Downtime Hours]]="","",tblDowntime[[#This Row],[Equipment ID]])</f>
        <v/>
      </c>
      <c r="N1646" s="1">
        <f>IF(tblDowntime[[#This Row],[Failure Type]]="Production",tblDowntime[[#This Row],[Downtime Hours]],"")</f>
        <v/>
      </c>
      <c r="O1646">
        <f>IF(tblDowntime[[#This Row],[Production Downtime Hours]]="","",tblDowntime[[#This Row],[Equipment ID]])</f>
        <v/>
      </c>
      <c r="P1646" s="10" t="n"/>
    </row>
    <row r="1647">
      <c r="B1647">
        <f t="array" ref="B1647">_xlfn.XLOOKUP(C1647,INDIRECT("tblEquipment[Equipment ID]"),INDIRECT("tblEquipment[Production Department]"),"")</f>
        <v/>
      </c>
      <c r="D1647">
        <f t="array" ref="D1647">_xlfn.XLOOKUP(C1647,INDIRECT("tblEquipment[Equipment ID]"),INDIRECT("tblEquipment[Equipment Name]"),"")</f>
        <v/>
      </c>
      <c r="F1647" s="16" t="n"/>
      <c r="G1647" s="16" t="n"/>
      <c r="H1647" s="1">
        <f>IF(OR(F1647=0,G1647=0),"",(G1647-F1647)*24)</f>
        <v/>
      </c>
      <c r="I1647" s="10" t="n"/>
      <c r="J1647" s="1">
        <f>IF(OR(tblDowntime[[#This Row],[Failure Type]]="Sawshop",tblDowntime[[#This Row],[Failure Type]]="Electrical",tblDowntime[[#This Row],[Failure Type]]="Mechanical"),tblDowntime[[#This Row],[Downtime Hours]],"")</f>
        <v/>
      </c>
      <c r="K1647" s="10" t="n"/>
      <c r="L1647" s="10" t="n"/>
      <c r="M1647">
        <f>IF(tblDowntime[[#This Row],[Maintenance Downtime Hours]]="","",tblDowntime[[#This Row],[Equipment ID]])</f>
        <v/>
      </c>
      <c r="N1647" s="1">
        <f>IF(tblDowntime[[#This Row],[Failure Type]]="Production",tblDowntime[[#This Row],[Downtime Hours]],"")</f>
        <v/>
      </c>
      <c r="O1647">
        <f>IF(tblDowntime[[#This Row],[Production Downtime Hours]]="","",tblDowntime[[#This Row],[Equipment ID]])</f>
        <v/>
      </c>
      <c r="P1647" s="10" t="n"/>
    </row>
    <row r="1648">
      <c r="B1648">
        <f t="array" ref="B1648">_xlfn.XLOOKUP(C1648,INDIRECT("tblEquipment[Equipment ID]"),INDIRECT("tblEquipment[Production Department]"),"")</f>
        <v/>
      </c>
      <c r="D1648">
        <f t="array" ref="D1648">_xlfn.XLOOKUP(C1648,INDIRECT("tblEquipment[Equipment ID]"),INDIRECT("tblEquipment[Equipment Name]"),"")</f>
        <v/>
      </c>
      <c r="F1648" s="16" t="n"/>
      <c r="G1648" s="16" t="n"/>
      <c r="H1648" s="1">
        <f>IF(OR(F1648=0,G1648=0),"",(G1648-F1648)*24)</f>
        <v/>
      </c>
      <c r="I1648" s="10" t="n"/>
      <c r="J1648" s="1">
        <f>IF(OR(tblDowntime[[#This Row],[Failure Type]]="Sawshop",tblDowntime[[#This Row],[Failure Type]]="Electrical",tblDowntime[[#This Row],[Failure Type]]="Mechanical"),tblDowntime[[#This Row],[Downtime Hours]],"")</f>
        <v/>
      </c>
      <c r="K1648" s="10" t="n"/>
      <c r="L1648" s="10" t="n"/>
      <c r="M1648">
        <f>IF(tblDowntime[[#This Row],[Maintenance Downtime Hours]]="","",tblDowntime[[#This Row],[Equipment ID]])</f>
        <v/>
      </c>
      <c r="N1648" s="1">
        <f>IF(tblDowntime[[#This Row],[Failure Type]]="Production",tblDowntime[[#This Row],[Downtime Hours]],"")</f>
        <v/>
      </c>
      <c r="O1648">
        <f>IF(tblDowntime[[#This Row],[Production Downtime Hours]]="","",tblDowntime[[#This Row],[Equipment ID]])</f>
        <v/>
      </c>
      <c r="P1648" s="10" t="n"/>
    </row>
    <row r="1649">
      <c r="B1649">
        <f t="array" ref="B1649">_xlfn.XLOOKUP(C1649,INDIRECT("tblEquipment[Equipment ID]"),INDIRECT("tblEquipment[Production Department]"),"")</f>
        <v/>
      </c>
      <c r="D1649">
        <f t="array" ref="D1649">_xlfn.XLOOKUP(C1649,INDIRECT("tblEquipment[Equipment ID]"),INDIRECT("tblEquipment[Equipment Name]"),"")</f>
        <v/>
      </c>
      <c r="F1649" s="16" t="n"/>
      <c r="G1649" s="16" t="n"/>
      <c r="H1649" s="1">
        <f>IF(OR(F1649=0,G1649=0),"",(G1649-F1649)*24)</f>
        <v/>
      </c>
      <c r="I1649" s="10" t="n"/>
      <c r="J1649" s="1">
        <f>IF(OR(tblDowntime[[#This Row],[Failure Type]]="Sawshop",tblDowntime[[#This Row],[Failure Type]]="Electrical",tblDowntime[[#This Row],[Failure Type]]="Mechanical"),tblDowntime[[#This Row],[Downtime Hours]],"")</f>
        <v/>
      </c>
      <c r="K1649" s="10" t="n"/>
      <c r="L1649" s="10" t="n"/>
      <c r="M1649">
        <f>IF(tblDowntime[[#This Row],[Maintenance Downtime Hours]]="","",tblDowntime[[#This Row],[Equipment ID]])</f>
        <v/>
      </c>
      <c r="N1649" s="1">
        <f>IF(tblDowntime[[#This Row],[Failure Type]]="Production",tblDowntime[[#This Row],[Downtime Hours]],"")</f>
        <v/>
      </c>
      <c r="O1649">
        <f>IF(tblDowntime[[#This Row],[Production Downtime Hours]]="","",tblDowntime[[#This Row],[Equipment ID]])</f>
        <v/>
      </c>
      <c r="P1649" s="10" t="n"/>
    </row>
    <row r="1650">
      <c r="B1650">
        <f t="array" ref="B1650">_xlfn.XLOOKUP(C1650,INDIRECT("tblEquipment[Equipment ID]"),INDIRECT("tblEquipment[Production Department]"),"")</f>
        <v/>
      </c>
      <c r="D1650">
        <f t="array" ref="D1650">_xlfn.XLOOKUP(C1650,INDIRECT("tblEquipment[Equipment ID]"),INDIRECT("tblEquipment[Equipment Name]"),"")</f>
        <v/>
      </c>
      <c r="F1650" s="16" t="n"/>
      <c r="G1650" s="16" t="n"/>
      <c r="H1650" s="1">
        <f>IF(OR(F1650=0,G1650=0),"",(G1650-F1650)*24)</f>
        <v/>
      </c>
      <c r="I1650" s="10" t="n"/>
      <c r="J1650" s="1">
        <f>IF(OR(tblDowntime[[#This Row],[Failure Type]]="Sawshop",tblDowntime[[#This Row],[Failure Type]]="Electrical",tblDowntime[[#This Row],[Failure Type]]="Mechanical"),tblDowntime[[#This Row],[Downtime Hours]],"")</f>
        <v/>
      </c>
      <c r="K1650" s="10" t="n"/>
      <c r="L1650" s="10" t="n"/>
      <c r="M1650">
        <f>IF(tblDowntime[[#This Row],[Maintenance Downtime Hours]]="","",tblDowntime[[#This Row],[Equipment ID]])</f>
        <v/>
      </c>
      <c r="N1650" s="1">
        <f>IF(tblDowntime[[#This Row],[Failure Type]]="Production",tblDowntime[[#This Row],[Downtime Hours]],"")</f>
        <v/>
      </c>
      <c r="O1650">
        <f>IF(tblDowntime[[#This Row],[Production Downtime Hours]]="","",tblDowntime[[#This Row],[Equipment ID]])</f>
        <v/>
      </c>
      <c r="P1650" s="10" t="n"/>
    </row>
    <row r="1651">
      <c r="B1651">
        <f t="array" ref="B1651">_xlfn.XLOOKUP(C1651,INDIRECT("tblEquipment[Equipment ID]"),INDIRECT("tblEquipment[Production Department]"),"")</f>
        <v/>
      </c>
      <c r="D1651">
        <f t="array" ref="D1651">_xlfn.XLOOKUP(C1651,INDIRECT("tblEquipment[Equipment ID]"),INDIRECT("tblEquipment[Equipment Name]"),"")</f>
        <v/>
      </c>
      <c r="F1651" s="16" t="n"/>
      <c r="G1651" s="16" t="n"/>
      <c r="H1651" s="1">
        <f>IF(OR(F1651=0,G1651=0),"",(G1651-F1651)*24)</f>
        <v/>
      </c>
      <c r="I1651" s="10" t="n"/>
      <c r="J1651" s="1">
        <f>IF(OR(tblDowntime[[#This Row],[Failure Type]]="Sawshop",tblDowntime[[#This Row],[Failure Type]]="Electrical",tblDowntime[[#This Row],[Failure Type]]="Mechanical"),tblDowntime[[#This Row],[Downtime Hours]],"")</f>
        <v/>
      </c>
      <c r="K1651" s="10" t="n"/>
      <c r="L1651" s="10" t="n"/>
      <c r="M1651">
        <f>IF(tblDowntime[[#This Row],[Maintenance Downtime Hours]]="","",tblDowntime[[#This Row],[Equipment ID]])</f>
        <v/>
      </c>
      <c r="N1651" s="1">
        <f>IF(tblDowntime[[#This Row],[Failure Type]]="Production",tblDowntime[[#This Row],[Downtime Hours]],"")</f>
        <v/>
      </c>
      <c r="O1651">
        <f>IF(tblDowntime[[#This Row],[Production Downtime Hours]]="","",tblDowntime[[#This Row],[Equipment ID]])</f>
        <v/>
      </c>
      <c r="P1651" s="10" t="n"/>
    </row>
    <row r="1652">
      <c r="B1652">
        <f t="array" ref="B1652">_xlfn.XLOOKUP(C1652,INDIRECT("tblEquipment[Equipment ID]"),INDIRECT("tblEquipment[Production Department]"),"")</f>
        <v/>
      </c>
      <c r="D1652">
        <f t="array" ref="D1652">_xlfn.XLOOKUP(C1652,INDIRECT("tblEquipment[Equipment ID]"),INDIRECT("tblEquipment[Equipment Name]"),"")</f>
        <v/>
      </c>
      <c r="F1652" s="16" t="n"/>
      <c r="G1652" s="16" t="n"/>
      <c r="H1652" s="1">
        <f>IF(OR(F1652=0,G1652=0),"",(G1652-F1652)*24)</f>
        <v/>
      </c>
      <c r="I1652" s="10" t="n"/>
      <c r="J1652" s="1">
        <f>IF(OR(tblDowntime[[#This Row],[Failure Type]]="Sawshop",tblDowntime[[#This Row],[Failure Type]]="Electrical",tblDowntime[[#This Row],[Failure Type]]="Mechanical"),tblDowntime[[#This Row],[Downtime Hours]],"")</f>
        <v/>
      </c>
      <c r="K1652" s="10" t="n"/>
      <c r="L1652" s="10" t="n"/>
      <c r="M1652">
        <f>IF(tblDowntime[[#This Row],[Maintenance Downtime Hours]]="","",tblDowntime[[#This Row],[Equipment ID]])</f>
        <v/>
      </c>
      <c r="N1652" s="1">
        <f>IF(tblDowntime[[#This Row],[Failure Type]]="Production",tblDowntime[[#This Row],[Downtime Hours]],"")</f>
        <v/>
      </c>
      <c r="O1652">
        <f>IF(tblDowntime[[#This Row],[Production Downtime Hours]]="","",tblDowntime[[#This Row],[Equipment ID]])</f>
        <v/>
      </c>
      <c r="P1652" s="10" t="n"/>
    </row>
    <row r="1653">
      <c r="B1653">
        <f t="array" ref="B1653">_xlfn.XLOOKUP(C1653,INDIRECT("tblEquipment[Equipment ID]"),INDIRECT("tblEquipment[Production Department]"),"")</f>
        <v/>
      </c>
      <c r="D1653">
        <f t="array" ref="D1653">_xlfn.XLOOKUP(C1653,INDIRECT("tblEquipment[Equipment ID]"),INDIRECT("tblEquipment[Equipment Name]"),"")</f>
        <v/>
      </c>
      <c r="F1653" s="16" t="n"/>
      <c r="G1653" s="16" t="n"/>
      <c r="H1653" s="1">
        <f>IF(OR(F1653=0,G1653=0),"",(G1653-F1653)*24)</f>
        <v/>
      </c>
      <c r="I1653" s="10" t="n"/>
      <c r="J1653" s="1">
        <f>IF(OR(tblDowntime[[#This Row],[Failure Type]]="Sawshop",tblDowntime[[#This Row],[Failure Type]]="Electrical",tblDowntime[[#This Row],[Failure Type]]="Mechanical"),tblDowntime[[#This Row],[Downtime Hours]],"")</f>
        <v/>
      </c>
      <c r="K1653" s="10" t="n"/>
      <c r="L1653" s="10" t="n"/>
      <c r="M1653">
        <f>IF(tblDowntime[[#This Row],[Maintenance Downtime Hours]]="","",tblDowntime[[#This Row],[Equipment ID]])</f>
        <v/>
      </c>
      <c r="N1653" s="1">
        <f>IF(tblDowntime[[#This Row],[Failure Type]]="Production",tblDowntime[[#This Row],[Downtime Hours]],"")</f>
        <v/>
      </c>
      <c r="O1653">
        <f>IF(tblDowntime[[#This Row],[Production Downtime Hours]]="","",tblDowntime[[#This Row],[Equipment ID]])</f>
        <v/>
      </c>
      <c r="P1653" s="10" t="n"/>
    </row>
    <row r="1654">
      <c r="B1654">
        <f t="array" ref="B1654">_xlfn.XLOOKUP(C1654,INDIRECT("tblEquipment[Equipment ID]"),INDIRECT("tblEquipment[Production Department]"),"")</f>
        <v/>
      </c>
      <c r="D1654">
        <f t="array" ref="D1654">_xlfn.XLOOKUP(C1654,INDIRECT("tblEquipment[Equipment ID]"),INDIRECT("tblEquipment[Equipment Name]"),"")</f>
        <v/>
      </c>
      <c r="F1654" s="16" t="n"/>
      <c r="G1654" s="16" t="n"/>
      <c r="H1654" s="1">
        <f>IF(OR(F1654=0,G1654=0),"",(G1654-F1654)*24)</f>
        <v/>
      </c>
      <c r="I1654" s="10" t="n"/>
      <c r="J1654" s="1">
        <f>IF(OR(tblDowntime[[#This Row],[Failure Type]]="Sawshop",tblDowntime[[#This Row],[Failure Type]]="Electrical",tblDowntime[[#This Row],[Failure Type]]="Mechanical"),tblDowntime[[#This Row],[Downtime Hours]],"")</f>
        <v/>
      </c>
      <c r="K1654" s="10" t="n"/>
      <c r="L1654" s="10" t="n"/>
      <c r="M1654">
        <f>IF(tblDowntime[[#This Row],[Maintenance Downtime Hours]]="","",tblDowntime[[#This Row],[Equipment ID]])</f>
        <v/>
      </c>
      <c r="N1654" s="1">
        <f>IF(tblDowntime[[#This Row],[Failure Type]]="Production",tblDowntime[[#This Row],[Downtime Hours]],"")</f>
        <v/>
      </c>
      <c r="O1654">
        <f>IF(tblDowntime[[#This Row],[Production Downtime Hours]]="","",tblDowntime[[#This Row],[Equipment ID]])</f>
        <v/>
      </c>
      <c r="P1654" s="10" t="n"/>
    </row>
    <row r="1655">
      <c r="B1655">
        <f t="array" ref="B1655">_xlfn.XLOOKUP(C1655,INDIRECT("tblEquipment[Equipment ID]"),INDIRECT("tblEquipment[Production Department]"),"")</f>
        <v/>
      </c>
      <c r="D1655">
        <f t="array" ref="D1655">_xlfn.XLOOKUP(C1655,INDIRECT("tblEquipment[Equipment ID]"),INDIRECT("tblEquipment[Equipment Name]"),"")</f>
        <v/>
      </c>
      <c r="F1655" s="16" t="n"/>
      <c r="G1655" s="16" t="n"/>
      <c r="H1655" s="1">
        <f>IF(OR(F1655=0,G1655=0),"",(G1655-F1655)*24)</f>
        <v/>
      </c>
      <c r="I1655" s="10" t="n"/>
      <c r="J1655" s="1">
        <f>IF(OR(tblDowntime[[#This Row],[Failure Type]]="Sawshop",tblDowntime[[#This Row],[Failure Type]]="Electrical",tblDowntime[[#This Row],[Failure Type]]="Mechanical"),tblDowntime[[#This Row],[Downtime Hours]],"")</f>
        <v/>
      </c>
      <c r="K1655" s="10" t="n"/>
      <c r="L1655" s="10" t="n"/>
      <c r="M1655">
        <f>IF(tblDowntime[[#This Row],[Maintenance Downtime Hours]]="","",tblDowntime[[#This Row],[Equipment ID]])</f>
        <v/>
      </c>
      <c r="N1655" s="1">
        <f>IF(tblDowntime[[#This Row],[Failure Type]]="Production",tblDowntime[[#This Row],[Downtime Hours]],"")</f>
        <v/>
      </c>
      <c r="O1655">
        <f>IF(tblDowntime[[#This Row],[Production Downtime Hours]]="","",tblDowntime[[#This Row],[Equipment ID]])</f>
        <v/>
      </c>
      <c r="P1655" s="10" t="n"/>
    </row>
    <row r="1656">
      <c r="B1656">
        <f t="array" ref="B1656">_xlfn.XLOOKUP(C1656,INDIRECT("tblEquipment[Equipment ID]"),INDIRECT("tblEquipment[Production Department]"),"")</f>
        <v/>
      </c>
      <c r="D1656">
        <f t="array" ref="D1656">_xlfn.XLOOKUP(C1656,INDIRECT("tblEquipment[Equipment ID]"),INDIRECT("tblEquipment[Equipment Name]"),"")</f>
        <v/>
      </c>
      <c r="F1656" s="16" t="n"/>
      <c r="G1656" s="16" t="n"/>
      <c r="H1656" s="1">
        <f>IF(OR(F1656=0,G1656=0),"",(G1656-F1656)*24)</f>
        <v/>
      </c>
      <c r="I1656" s="10" t="n"/>
      <c r="J1656" s="1">
        <f>IF(OR(tblDowntime[[#This Row],[Failure Type]]="Sawshop",tblDowntime[[#This Row],[Failure Type]]="Electrical",tblDowntime[[#This Row],[Failure Type]]="Mechanical"),tblDowntime[[#This Row],[Downtime Hours]],"")</f>
        <v/>
      </c>
      <c r="K1656" s="10" t="n"/>
      <c r="L1656" s="10" t="n"/>
      <c r="M1656">
        <f>IF(tblDowntime[[#This Row],[Maintenance Downtime Hours]]="","",tblDowntime[[#This Row],[Equipment ID]])</f>
        <v/>
      </c>
      <c r="N1656" s="1">
        <f>IF(tblDowntime[[#This Row],[Failure Type]]="Production",tblDowntime[[#This Row],[Downtime Hours]],"")</f>
        <v/>
      </c>
      <c r="O1656">
        <f>IF(tblDowntime[[#This Row],[Production Downtime Hours]]="","",tblDowntime[[#This Row],[Equipment ID]])</f>
        <v/>
      </c>
      <c r="P1656" s="10" t="n"/>
    </row>
    <row r="1657">
      <c r="B1657">
        <f t="array" ref="B1657">_xlfn.XLOOKUP(C1657,INDIRECT("tblEquipment[Equipment ID]"),INDIRECT("tblEquipment[Production Department]"),"")</f>
        <v/>
      </c>
      <c r="D1657">
        <f t="array" ref="D1657">_xlfn.XLOOKUP(C1657,INDIRECT("tblEquipment[Equipment ID]"),INDIRECT("tblEquipment[Equipment Name]"),"")</f>
        <v/>
      </c>
      <c r="F1657" s="16" t="n"/>
      <c r="G1657" s="16" t="n"/>
      <c r="H1657" s="1">
        <f>IF(OR(F1657=0,G1657=0),"",(G1657-F1657)*24)</f>
        <v/>
      </c>
      <c r="I1657" s="10" t="n"/>
      <c r="J1657" s="1">
        <f>IF(OR(tblDowntime[[#This Row],[Failure Type]]="Sawshop",tblDowntime[[#This Row],[Failure Type]]="Electrical",tblDowntime[[#This Row],[Failure Type]]="Mechanical"),tblDowntime[[#This Row],[Downtime Hours]],"")</f>
        <v/>
      </c>
      <c r="K1657" s="10" t="n"/>
      <c r="L1657" s="10" t="n"/>
      <c r="M1657">
        <f>IF(tblDowntime[[#This Row],[Maintenance Downtime Hours]]="","",tblDowntime[[#This Row],[Equipment ID]])</f>
        <v/>
      </c>
      <c r="N1657" s="1">
        <f>IF(tblDowntime[[#This Row],[Failure Type]]="Production",tblDowntime[[#This Row],[Downtime Hours]],"")</f>
        <v/>
      </c>
      <c r="O1657">
        <f>IF(tblDowntime[[#This Row],[Production Downtime Hours]]="","",tblDowntime[[#This Row],[Equipment ID]])</f>
        <v/>
      </c>
      <c r="P1657" s="10" t="n"/>
    </row>
    <row r="1658">
      <c r="B1658">
        <f t="array" ref="B1658">_xlfn.XLOOKUP(C1658,INDIRECT("tblEquipment[Equipment ID]"),INDIRECT("tblEquipment[Production Department]"),"")</f>
        <v/>
      </c>
      <c r="D1658">
        <f t="array" ref="D1658">_xlfn.XLOOKUP(C1658,INDIRECT("tblEquipment[Equipment ID]"),INDIRECT("tblEquipment[Equipment Name]"),"")</f>
        <v/>
      </c>
      <c r="F1658" s="16" t="n"/>
      <c r="G1658" s="16" t="n"/>
      <c r="H1658" s="1">
        <f>IF(OR(F1658=0,G1658=0),"",(G1658-F1658)*24)</f>
        <v/>
      </c>
      <c r="I1658" s="10" t="n"/>
      <c r="J1658" s="1">
        <f>IF(OR(tblDowntime[[#This Row],[Failure Type]]="Sawshop",tblDowntime[[#This Row],[Failure Type]]="Electrical",tblDowntime[[#This Row],[Failure Type]]="Mechanical"),tblDowntime[[#This Row],[Downtime Hours]],"")</f>
        <v/>
      </c>
      <c r="K1658" s="10" t="n"/>
      <c r="L1658" s="10" t="n"/>
      <c r="M1658">
        <f>IF(tblDowntime[[#This Row],[Maintenance Downtime Hours]]="","",tblDowntime[[#This Row],[Equipment ID]])</f>
        <v/>
      </c>
      <c r="N1658" s="1">
        <f>IF(tblDowntime[[#This Row],[Failure Type]]="Production",tblDowntime[[#This Row],[Downtime Hours]],"")</f>
        <v/>
      </c>
      <c r="O1658">
        <f>IF(tblDowntime[[#This Row],[Production Downtime Hours]]="","",tblDowntime[[#This Row],[Equipment ID]])</f>
        <v/>
      </c>
      <c r="P1658" s="10" t="n"/>
    </row>
    <row r="1659">
      <c r="B1659">
        <f t="array" ref="B1659">_xlfn.XLOOKUP(C1659,INDIRECT("tblEquipment[Equipment ID]"),INDIRECT("tblEquipment[Production Department]"),"")</f>
        <v/>
      </c>
      <c r="D1659">
        <f t="array" ref="D1659">_xlfn.XLOOKUP(C1659,INDIRECT("tblEquipment[Equipment ID]"),INDIRECT("tblEquipment[Equipment Name]"),"")</f>
        <v/>
      </c>
      <c r="F1659" s="16" t="n"/>
      <c r="G1659" s="16" t="n"/>
      <c r="H1659" s="1">
        <f>IF(OR(F1659=0,G1659=0),"",(G1659-F1659)*24)</f>
        <v/>
      </c>
      <c r="I1659" s="10" t="n"/>
      <c r="J1659" s="1">
        <f>IF(OR(tblDowntime[[#This Row],[Failure Type]]="Sawshop",tblDowntime[[#This Row],[Failure Type]]="Electrical",tblDowntime[[#This Row],[Failure Type]]="Mechanical"),tblDowntime[[#This Row],[Downtime Hours]],"")</f>
        <v/>
      </c>
      <c r="K1659" s="10" t="n"/>
      <c r="L1659" s="10" t="n"/>
      <c r="M1659">
        <f>IF(tblDowntime[[#This Row],[Maintenance Downtime Hours]]="","",tblDowntime[[#This Row],[Equipment ID]])</f>
        <v/>
      </c>
      <c r="N1659" s="1">
        <f>IF(tblDowntime[[#This Row],[Failure Type]]="Production",tblDowntime[[#This Row],[Downtime Hours]],"")</f>
        <v/>
      </c>
      <c r="O1659">
        <f>IF(tblDowntime[[#This Row],[Production Downtime Hours]]="","",tblDowntime[[#This Row],[Equipment ID]])</f>
        <v/>
      </c>
      <c r="P1659" s="10" t="n"/>
    </row>
    <row r="1660">
      <c r="B1660">
        <f t="array" ref="B1660">_xlfn.XLOOKUP(C1660,INDIRECT("tblEquipment[Equipment ID]"),INDIRECT("tblEquipment[Production Department]"),"")</f>
        <v/>
      </c>
      <c r="D1660">
        <f t="array" ref="D1660">_xlfn.XLOOKUP(C1660,INDIRECT("tblEquipment[Equipment ID]"),INDIRECT("tblEquipment[Equipment Name]"),"")</f>
        <v/>
      </c>
      <c r="F1660" s="16" t="n"/>
      <c r="G1660" s="16" t="n"/>
      <c r="H1660" s="1">
        <f>IF(OR(F1660=0,G1660=0),"",(G1660-F1660)*24)</f>
        <v/>
      </c>
      <c r="I1660" s="10" t="n"/>
      <c r="J1660" s="1">
        <f>IF(OR(tblDowntime[[#This Row],[Failure Type]]="Sawshop",tblDowntime[[#This Row],[Failure Type]]="Electrical",tblDowntime[[#This Row],[Failure Type]]="Mechanical"),tblDowntime[[#This Row],[Downtime Hours]],"")</f>
        <v/>
      </c>
      <c r="K1660" s="10" t="n"/>
      <c r="L1660" s="10" t="n"/>
      <c r="M1660">
        <f>IF(tblDowntime[[#This Row],[Maintenance Downtime Hours]]="","",tblDowntime[[#This Row],[Equipment ID]])</f>
        <v/>
      </c>
      <c r="N1660" s="1">
        <f>IF(tblDowntime[[#This Row],[Failure Type]]="Production",tblDowntime[[#This Row],[Downtime Hours]],"")</f>
        <v/>
      </c>
      <c r="O1660">
        <f>IF(tblDowntime[[#This Row],[Production Downtime Hours]]="","",tblDowntime[[#This Row],[Equipment ID]])</f>
        <v/>
      </c>
      <c r="P1660" s="10" t="n"/>
    </row>
    <row r="1661">
      <c r="B1661">
        <f t="array" ref="B1661">_xlfn.XLOOKUP(C1661,INDIRECT("tblEquipment[Equipment ID]"),INDIRECT("tblEquipment[Production Department]"),"")</f>
        <v/>
      </c>
      <c r="D1661">
        <f t="array" ref="D1661">_xlfn.XLOOKUP(C1661,INDIRECT("tblEquipment[Equipment ID]"),INDIRECT("tblEquipment[Equipment Name]"),"")</f>
        <v/>
      </c>
      <c r="F1661" s="16" t="n"/>
      <c r="G1661" s="16" t="n"/>
      <c r="H1661" s="1">
        <f>IF(OR(F1661=0,G1661=0),"",(G1661-F1661)*24)</f>
        <v/>
      </c>
      <c r="I1661" s="10" t="n"/>
      <c r="J1661" s="1">
        <f>IF(OR(tblDowntime[[#This Row],[Failure Type]]="Sawshop",tblDowntime[[#This Row],[Failure Type]]="Electrical",tblDowntime[[#This Row],[Failure Type]]="Mechanical"),tblDowntime[[#This Row],[Downtime Hours]],"")</f>
        <v/>
      </c>
      <c r="K1661" s="10" t="n"/>
      <c r="L1661" s="10" t="n"/>
      <c r="M1661">
        <f>IF(tblDowntime[[#This Row],[Maintenance Downtime Hours]]="","",tblDowntime[[#This Row],[Equipment ID]])</f>
        <v/>
      </c>
      <c r="N1661" s="1">
        <f>IF(tblDowntime[[#This Row],[Failure Type]]="Production",tblDowntime[[#This Row],[Downtime Hours]],"")</f>
        <v/>
      </c>
      <c r="O1661">
        <f>IF(tblDowntime[[#This Row],[Production Downtime Hours]]="","",tblDowntime[[#This Row],[Equipment ID]])</f>
        <v/>
      </c>
      <c r="P1661" s="10" t="n"/>
    </row>
    <row r="1662">
      <c r="B1662">
        <f t="array" ref="B1662">_xlfn.XLOOKUP(C1662,INDIRECT("tblEquipment[Equipment ID]"),INDIRECT("tblEquipment[Production Department]"),"")</f>
        <v/>
      </c>
      <c r="D1662">
        <f t="array" ref="D1662">_xlfn.XLOOKUP(C1662,INDIRECT("tblEquipment[Equipment ID]"),INDIRECT("tblEquipment[Equipment Name]"),"")</f>
        <v/>
      </c>
      <c r="F1662" s="16" t="n"/>
      <c r="G1662" s="16" t="n"/>
      <c r="H1662" s="1">
        <f>IF(OR(F1662=0,G1662=0),"",(G1662-F1662)*24)</f>
        <v/>
      </c>
      <c r="I1662" s="10" t="n"/>
      <c r="J1662" s="1">
        <f>IF(OR(tblDowntime[[#This Row],[Failure Type]]="Sawshop",tblDowntime[[#This Row],[Failure Type]]="Electrical",tblDowntime[[#This Row],[Failure Type]]="Mechanical"),tblDowntime[[#This Row],[Downtime Hours]],"")</f>
        <v/>
      </c>
      <c r="K1662" s="10" t="n"/>
      <c r="L1662" s="10" t="n"/>
      <c r="M1662">
        <f>IF(tblDowntime[[#This Row],[Maintenance Downtime Hours]]="","",tblDowntime[[#This Row],[Equipment ID]])</f>
        <v/>
      </c>
      <c r="N1662" s="1">
        <f>IF(tblDowntime[[#This Row],[Failure Type]]="Production",tblDowntime[[#This Row],[Downtime Hours]],"")</f>
        <v/>
      </c>
      <c r="O1662">
        <f>IF(tblDowntime[[#This Row],[Production Downtime Hours]]="","",tblDowntime[[#This Row],[Equipment ID]])</f>
        <v/>
      </c>
      <c r="P1662" s="10" t="n"/>
    </row>
    <row r="1663">
      <c r="B1663">
        <f t="array" ref="B1663">_xlfn.XLOOKUP(C1663,INDIRECT("tblEquipment[Equipment ID]"),INDIRECT("tblEquipment[Production Department]"),"")</f>
        <v/>
      </c>
      <c r="D1663">
        <f t="array" ref="D1663">_xlfn.XLOOKUP(C1663,INDIRECT("tblEquipment[Equipment ID]"),INDIRECT("tblEquipment[Equipment Name]"),"")</f>
        <v/>
      </c>
      <c r="F1663" s="16" t="n"/>
      <c r="G1663" s="16" t="n"/>
      <c r="H1663" s="1">
        <f>IF(OR(F1663=0,G1663=0),"",(G1663-F1663)*24)</f>
        <v/>
      </c>
      <c r="I1663" s="10" t="n"/>
      <c r="J1663" s="1">
        <f>IF(OR(tblDowntime[[#This Row],[Failure Type]]="Sawshop",tblDowntime[[#This Row],[Failure Type]]="Electrical",tblDowntime[[#This Row],[Failure Type]]="Mechanical"),tblDowntime[[#This Row],[Downtime Hours]],"")</f>
        <v/>
      </c>
      <c r="K1663" s="10" t="n"/>
      <c r="L1663" s="10" t="n"/>
      <c r="M1663">
        <f>IF(tblDowntime[[#This Row],[Maintenance Downtime Hours]]="","",tblDowntime[[#This Row],[Equipment ID]])</f>
        <v/>
      </c>
      <c r="N1663" s="1">
        <f>IF(tblDowntime[[#This Row],[Failure Type]]="Production",tblDowntime[[#This Row],[Downtime Hours]],"")</f>
        <v/>
      </c>
      <c r="O1663">
        <f>IF(tblDowntime[[#This Row],[Production Downtime Hours]]="","",tblDowntime[[#This Row],[Equipment ID]])</f>
        <v/>
      </c>
      <c r="P1663" s="10" t="n"/>
    </row>
    <row r="1664">
      <c r="B1664">
        <f t="array" ref="B1664">_xlfn.XLOOKUP(C1664,INDIRECT("tblEquipment[Equipment ID]"),INDIRECT("tblEquipment[Production Department]"),"")</f>
        <v/>
      </c>
      <c r="D1664">
        <f t="array" ref="D1664">_xlfn.XLOOKUP(C1664,INDIRECT("tblEquipment[Equipment ID]"),INDIRECT("tblEquipment[Equipment Name]"),"")</f>
        <v/>
      </c>
      <c r="F1664" s="16" t="n"/>
      <c r="G1664" s="16" t="n"/>
      <c r="H1664" s="1">
        <f>IF(OR(F1664=0,G1664=0),"",(G1664-F1664)*24)</f>
        <v/>
      </c>
      <c r="I1664" s="10" t="n"/>
      <c r="J1664" s="1">
        <f>IF(OR(tblDowntime[[#This Row],[Failure Type]]="Sawshop",tblDowntime[[#This Row],[Failure Type]]="Electrical",tblDowntime[[#This Row],[Failure Type]]="Mechanical"),tblDowntime[[#This Row],[Downtime Hours]],"")</f>
        <v/>
      </c>
      <c r="K1664" s="10" t="n"/>
      <c r="L1664" s="10" t="n"/>
      <c r="M1664">
        <f>IF(tblDowntime[[#This Row],[Maintenance Downtime Hours]]="","",tblDowntime[[#This Row],[Equipment ID]])</f>
        <v/>
      </c>
      <c r="N1664" s="1">
        <f>IF(tblDowntime[[#This Row],[Failure Type]]="Production",tblDowntime[[#This Row],[Downtime Hours]],"")</f>
        <v/>
      </c>
      <c r="O1664">
        <f>IF(tblDowntime[[#This Row],[Production Downtime Hours]]="","",tblDowntime[[#This Row],[Equipment ID]])</f>
        <v/>
      </c>
      <c r="P1664" s="10" t="n"/>
    </row>
    <row r="1665">
      <c r="B1665">
        <f t="array" ref="B1665">_xlfn.XLOOKUP(C1665,INDIRECT("tblEquipment[Equipment ID]"),INDIRECT("tblEquipment[Production Department]"),"")</f>
        <v/>
      </c>
      <c r="D1665">
        <f t="array" ref="D1665">_xlfn.XLOOKUP(C1665,INDIRECT("tblEquipment[Equipment ID]"),INDIRECT("tblEquipment[Equipment Name]"),"")</f>
        <v/>
      </c>
      <c r="F1665" s="16" t="n"/>
      <c r="G1665" s="16" t="n"/>
      <c r="H1665" s="1">
        <f>IF(OR(F1665=0,G1665=0),"",(G1665-F1665)*24)</f>
        <v/>
      </c>
      <c r="I1665" s="10" t="n"/>
      <c r="J1665" s="1">
        <f>IF(OR(tblDowntime[[#This Row],[Failure Type]]="Sawshop",tblDowntime[[#This Row],[Failure Type]]="Electrical",tblDowntime[[#This Row],[Failure Type]]="Mechanical"),tblDowntime[[#This Row],[Downtime Hours]],"")</f>
        <v/>
      </c>
      <c r="K1665" s="10" t="n"/>
      <c r="L1665" s="10" t="n"/>
      <c r="M1665">
        <f>IF(tblDowntime[[#This Row],[Maintenance Downtime Hours]]="","",tblDowntime[[#This Row],[Equipment ID]])</f>
        <v/>
      </c>
      <c r="N1665" s="1">
        <f>IF(tblDowntime[[#This Row],[Failure Type]]="Production",tblDowntime[[#This Row],[Downtime Hours]],"")</f>
        <v/>
      </c>
      <c r="O1665">
        <f>IF(tblDowntime[[#This Row],[Production Downtime Hours]]="","",tblDowntime[[#This Row],[Equipment ID]])</f>
        <v/>
      </c>
      <c r="P1665" s="10" t="n"/>
    </row>
    <row r="1666">
      <c r="B1666">
        <f t="array" ref="B1666">_xlfn.XLOOKUP(C1666,INDIRECT("tblEquipment[Equipment ID]"),INDIRECT("tblEquipment[Production Department]"),"")</f>
        <v/>
      </c>
      <c r="D1666">
        <f t="array" ref="D1666">_xlfn.XLOOKUP(C1666,INDIRECT("tblEquipment[Equipment ID]"),INDIRECT("tblEquipment[Equipment Name]"),"")</f>
        <v/>
      </c>
      <c r="F1666" s="16" t="n"/>
      <c r="G1666" s="16" t="n"/>
      <c r="H1666" s="1">
        <f>IF(OR(F1666=0,G1666=0),"",(G1666-F1666)*24)</f>
        <v/>
      </c>
      <c r="I1666" s="10" t="n"/>
      <c r="J1666" s="1">
        <f>IF(OR(tblDowntime[[#This Row],[Failure Type]]="Sawshop",tblDowntime[[#This Row],[Failure Type]]="Electrical",tblDowntime[[#This Row],[Failure Type]]="Mechanical"),tblDowntime[[#This Row],[Downtime Hours]],"")</f>
        <v/>
      </c>
      <c r="K1666" s="10" t="n"/>
      <c r="L1666" s="10" t="n"/>
      <c r="M1666">
        <f>IF(tblDowntime[[#This Row],[Maintenance Downtime Hours]]="","",tblDowntime[[#This Row],[Equipment ID]])</f>
        <v/>
      </c>
      <c r="N1666" s="1">
        <f>IF(tblDowntime[[#This Row],[Failure Type]]="Production",tblDowntime[[#This Row],[Downtime Hours]],"")</f>
        <v/>
      </c>
      <c r="O1666">
        <f>IF(tblDowntime[[#This Row],[Production Downtime Hours]]="","",tblDowntime[[#This Row],[Equipment ID]])</f>
        <v/>
      </c>
      <c r="P1666" s="10" t="n"/>
    </row>
    <row r="1667">
      <c r="B1667">
        <f t="array" ref="B1667">_xlfn.XLOOKUP(C1667,INDIRECT("tblEquipment[Equipment ID]"),INDIRECT("tblEquipment[Production Department]"),"")</f>
        <v/>
      </c>
      <c r="D1667">
        <f t="array" ref="D1667">_xlfn.XLOOKUP(C1667,INDIRECT("tblEquipment[Equipment ID]"),INDIRECT("tblEquipment[Equipment Name]"),"")</f>
        <v/>
      </c>
      <c r="F1667" s="16" t="n"/>
      <c r="G1667" s="16" t="n"/>
      <c r="H1667" s="1">
        <f>IF(OR(F1667=0,G1667=0),"",(G1667-F1667)*24)</f>
        <v/>
      </c>
      <c r="I1667" s="10" t="n"/>
      <c r="J1667" s="1">
        <f>IF(OR(tblDowntime[[#This Row],[Failure Type]]="Sawshop",tblDowntime[[#This Row],[Failure Type]]="Electrical",tblDowntime[[#This Row],[Failure Type]]="Mechanical"),tblDowntime[[#This Row],[Downtime Hours]],"")</f>
        <v/>
      </c>
      <c r="K1667" s="10" t="n"/>
      <c r="L1667" s="10" t="n"/>
      <c r="M1667">
        <f>IF(tblDowntime[[#This Row],[Maintenance Downtime Hours]]="","",tblDowntime[[#This Row],[Equipment ID]])</f>
        <v/>
      </c>
      <c r="N1667" s="1">
        <f>IF(tblDowntime[[#This Row],[Failure Type]]="Production",tblDowntime[[#This Row],[Downtime Hours]],"")</f>
        <v/>
      </c>
      <c r="O1667">
        <f>IF(tblDowntime[[#This Row],[Production Downtime Hours]]="","",tblDowntime[[#This Row],[Equipment ID]])</f>
        <v/>
      </c>
      <c r="P1667" s="10" t="n"/>
    </row>
    <row r="1668">
      <c r="B1668">
        <f t="array" ref="B1668">_xlfn.XLOOKUP(C1668,INDIRECT("tblEquipment[Equipment ID]"),INDIRECT("tblEquipment[Production Department]"),"")</f>
        <v/>
      </c>
      <c r="D1668">
        <f t="array" ref="D1668">_xlfn.XLOOKUP(C1668,INDIRECT("tblEquipment[Equipment ID]"),INDIRECT("tblEquipment[Equipment Name]"),"")</f>
        <v/>
      </c>
      <c r="F1668" s="16" t="n"/>
      <c r="G1668" s="16" t="n"/>
      <c r="H1668" s="1">
        <f>IF(OR(F1668=0,G1668=0),"",(G1668-F1668)*24)</f>
        <v/>
      </c>
      <c r="I1668" s="10" t="n"/>
      <c r="J1668" s="1">
        <f>IF(OR(tblDowntime[[#This Row],[Failure Type]]="Sawshop",tblDowntime[[#This Row],[Failure Type]]="Electrical",tblDowntime[[#This Row],[Failure Type]]="Mechanical"),tblDowntime[[#This Row],[Downtime Hours]],"")</f>
        <v/>
      </c>
      <c r="K1668" s="10" t="n"/>
      <c r="L1668" s="10" t="n"/>
      <c r="M1668">
        <f>IF(tblDowntime[[#This Row],[Maintenance Downtime Hours]]="","",tblDowntime[[#This Row],[Equipment ID]])</f>
        <v/>
      </c>
      <c r="N1668" s="1">
        <f>IF(tblDowntime[[#This Row],[Failure Type]]="Production",tblDowntime[[#This Row],[Downtime Hours]],"")</f>
        <v/>
      </c>
      <c r="O1668">
        <f>IF(tblDowntime[[#This Row],[Production Downtime Hours]]="","",tblDowntime[[#This Row],[Equipment ID]])</f>
        <v/>
      </c>
      <c r="P1668" s="10" t="n"/>
    </row>
    <row r="1669">
      <c r="B1669">
        <f t="array" ref="B1669">_xlfn.XLOOKUP(C1669,INDIRECT("tblEquipment[Equipment ID]"),INDIRECT("tblEquipment[Production Department]"),"")</f>
        <v/>
      </c>
      <c r="D1669">
        <f t="array" ref="D1669">_xlfn.XLOOKUP(C1669,INDIRECT("tblEquipment[Equipment ID]"),INDIRECT("tblEquipment[Equipment Name]"),"")</f>
        <v/>
      </c>
      <c r="F1669" s="16" t="n"/>
      <c r="G1669" s="16" t="n"/>
      <c r="H1669" s="1">
        <f>IF(OR(F1669=0,G1669=0),"",(G1669-F1669)*24)</f>
        <v/>
      </c>
      <c r="I1669" s="10" t="n"/>
      <c r="J1669" s="1">
        <f>IF(OR(tblDowntime[[#This Row],[Failure Type]]="Sawshop",tblDowntime[[#This Row],[Failure Type]]="Electrical",tblDowntime[[#This Row],[Failure Type]]="Mechanical"),tblDowntime[[#This Row],[Downtime Hours]],"")</f>
        <v/>
      </c>
      <c r="K1669" s="10" t="n"/>
      <c r="L1669" s="10" t="n"/>
      <c r="M1669">
        <f>IF(tblDowntime[[#This Row],[Maintenance Downtime Hours]]="","",tblDowntime[[#This Row],[Equipment ID]])</f>
        <v/>
      </c>
      <c r="N1669" s="1">
        <f>IF(tblDowntime[[#This Row],[Failure Type]]="Production",tblDowntime[[#This Row],[Downtime Hours]],"")</f>
        <v/>
      </c>
      <c r="O1669">
        <f>IF(tblDowntime[[#This Row],[Production Downtime Hours]]="","",tblDowntime[[#This Row],[Equipment ID]])</f>
        <v/>
      </c>
      <c r="P1669" s="10" t="n"/>
    </row>
    <row r="1670">
      <c r="B1670">
        <f t="array" ref="B1670">_xlfn.XLOOKUP(C1670,INDIRECT("tblEquipment[Equipment ID]"),INDIRECT("tblEquipment[Production Department]"),"")</f>
        <v/>
      </c>
      <c r="D1670">
        <f t="array" ref="D1670">_xlfn.XLOOKUP(C1670,INDIRECT("tblEquipment[Equipment ID]"),INDIRECT("tblEquipment[Equipment Name]"),"")</f>
        <v/>
      </c>
      <c r="F1670" s="16" t="n"/>
      <c r="G1670" s="16" t="n"/>
      <c r="H1670" s="1">
        <f>IF(OR(F1670=0,G1670=0),"",(G1670-F1670)*24)</f>
        <v/>
      </c>
      <c r="I1670" s="10" t="n"/>
      <c r="J1670" s="1">
        <f>IF(OR(tblDowntime[[#This Row],[Failure Type]]="Sawshop",tblDowntime[[#This Row],[Failure Type]]="Electrical",tblDowntime[[#This Row],[Failure Type]]="Mechanical"),tblDowntime[[#This Row],[Downtime Hours]],"")</f>
        <v/>
      </c>
      <c r="K1670" s="10" t="n"/>
      <c r="L1670" s="10" t="n"/>
      <c r="M1670">
        <f>IF(tblDowntime[[#This Row],[Maintenance Downtime Hours]]="","",tblDowntime[[#This Row],[Equipment ID]])</f>
        <v/>
      </c>
      <c r="N1670" s="1">
        <f>IF(tblDowntime[[#This Row],[Failure Type]]="Production",tblDowntime[[#This Row],[Downtime Hours]],"")</f>
        <v/>
      </c>
      <c r="O1670">
        <f>IF(tblDowntime[[#This Row],[Production Downtime Hours]]="","",tblDowntime[[#This Row],[Equipment ID]])</f>
        <v/>
      </c>
      <c r="P1670" s="10" t="n"/>
    </row>
    <row r="1671">
      <c r="B1671">
        <f t="array" ref="B1671">_xlfn.XLOOKUP(C1671,INDIRECT("tblEquipment[Equipment ID]"),INDIRECT("tblEquipment[Production Department]"),"")</f>
        <v/>
      </c>
      <c r="D1671">
        <f t="array" ref="D1671">_xlfn.XLOOKUP(C1671,INDIRECT("tblEquipment[Equipment ID]"),INDIRECT("tblEquipment[Equipment Name]"),"")</f>
        <v/>
      </c>
      <c r="F1671" s="16" t="n"/>
      <c r="G1671" s="16" t="n"/>
      <c r="H1671" s="1">
        <f>IF(OR(F1671=0,G1671=0),"",(G1671-F1671)*24)</f>
        <v/>
      </c>
      <c r="I1671" s="10" t="n"/>
      <c r="J1671" s="1">
        <f>IF(OR(tblDowntime[[#This Row],[Failure Type]]="Sawshop",tblDowntime[[#This Row],[Failure Type]]="Electrical",tblDowntime[[#This Row],[Failure Type]]="Mechanical"),tblDowntime[[#This Row],[Downtime Hours]],"")</f>
        <v/>
      </c>
      <c r="K1671" s="10" t="n"/>
      <c r="L1671" s="10" t="n"/>
      <c r="M1671">
        <f>IF(tblDowntime[[#This Row],[Maintenance Downtime Hours]]="","",tblDowntime[[#This Row],[Equipment ID]])</f>
        <v/>
      </c>
      <c r="N1671" s="1">
        <f>IF(tblDowntime[[#This Row],[Failure Type]]="Production",tblDowntime[[#This Row],[Downtime Hours]],"")</f>
        <v/>
      </c>
      <c r="O1671">
        <f>IF(tblDowntime[[#This Row],[Production Downtime Hours]]="","",tblDowntime[[#This Row],[Equipment ID]])</f>
        <v/>
      </c>
      <c r="P1671" s="10" t="n"/>
    </row>
    <row r="1672">
      <c r="B1672">
        <f t="array" ref="B1672">_xlfn.XLOOKUP(C1672,INDIRECT("tblEquipment[Equipment ID]"),INDIRECT("tblEquipment[Production Department]"),"")</f>
        <v/>
      </c>
      <c r="D1672">
        <f t="array" ref="D1672">_xlfn.XLOOKUP(C1672,INDIRECT("tblEquipment[Equipment ID]"),INDIRECT("tblEquipment[Equipment Name]"),"")</f>
        <v/>
      </c>
      <c r="F1672" s="16" t="n"/>
      <c r="G1672" s="16" t="n"/>
      <c r="H1672" s="1">
        <f>IF(OR(F1672=0,G1672=0),"",(G1672-F1672)*24)</f>
        <v/>
      </c>
      <c r="I1672" s="10" t="n"/>
      <c r="J1672" s="1">
        <f>IF(OR(tblDowntime[[#This Row],[Failure Type]]="Sawshop",tblDowntime[[#This Row],[Failure Type]]="Electrical",tblDowntime[[#This Row],[Failure Type]]="Mechanical"),tblDowntime[[#This Row],[Downtime Hours]],"")</f>
        <v/>
      </c>
      <c r="K1672" s="10" t="n"/>
      <c r="L1672" s="10" t="n"/>
      <c r="M1672">
        <f>IF(tblDowntime[[#This Row],[Maintenance Downtime Hours]]="","",tblDowntime[[#This Row],[Equipment ID]])</f>
        <v/>
      </c>
      <c r="N1672" s="1">
        <f>IF(tblDowntime[[#This Row],[Failure Type]]="Production",tblDowntime[[#This Row],[Downtime Hours]],"")</f>
        <v/>
      </c>
      <c r="O1672">
        <f>IF(tblDowntime[[#This Row],[Production Downtime Hours]]="","",tblDowntime[[#This Row],[Equipment ID]])</f>
        <v/>
      </c>
      <c r="P1672" s="10" t="n"/>
    </row>
    <row r="1673">
      <c r="B1673">
        <f t="array" ref="B1673">_xlfn.XLOOKUP(C1673,INDIRECT("tblEquipment[Equipment ID]"),INDIRECT("tblEquipment[Production Department]"),"")</f>
        <v/>
      </c>
      <c r="D1673">
        <f t="array" ref="D1673">_xlfn.XLOOKUP(C1673,INDIRECT("tblEquipment[Equipment ID]"),INDIRECT("tblEquipment[Equipment Name]"),"")</f>
        <v/>
      </c>
      <c r="F1673" s="16" t="n"/>
      <c r="G1673" s="16" t="n"/>
      <c r="H1673" s="1">
        <f>IF(OR(F1673=0,G1673=0),"",(G1673-F1673)*24)</f>
        <v/>
      </c>
      <c r="I1673" s="10" t="n"/>
      <c r="J1673" s="1">
        <f>IF(OR(tblDowntime[[#This Row],[Failure Type]]="Sawshop",tblDowntime[[#This Row],[Failure Type]]="Electrical",tblDowntime[[#This Row],[Failure Type]]="Mechanical"),tblDowntime[[#This Row],[Downtime Hours]],"")</f>
        <v/>
      </c>
      <c r="K1673" s="10" t="n"/>
      <c r="L1673" s="10" t="n"/>
      <c r="M1673">
        <f>IF(tblDowntime[[#This Row],[Maintenance Downtime Hours]]="","",tblDowntime[[#This Row],[Equipment ID]])</f>
        <v/>
      </c>
      <c r="N1673" s="1">
        <f>IF(tblDowntime[[#This Row],[Failure Type]]="Production",tblDowntime[[#This Row],[Downtime Hours]],"")</f>
        <v/>
      </c>
      <c r="O1673">
        <f>IF(tblDowntime[[#This Row],[Production Downtime Hours]]="","",tblDowntime[[#This Row],[Equipment ID]])</f>
        <v/>
      </c>
      <c r="P1673" s="10" t="n"/>
    </row>
    <row r="1674">
      <c r="B1674">
        <f t="array" ref="B1674">_xlfn.XLOOKUP(C1674,INDIRECT("tblEquipment[Equipment ID]"),INDIRECT("tblEquipment[Production Department]"),"")</f>
        <v/>
      </c>
      <c r="D1674">
        <f t="array" ref="D1674">_xlfn.XLOOKUP(C1674,INDIRECT("tblEquipment[Equipment ID]"),INDIRECT("tblEquipment[Equipment Name]"),"")</f>
        <v/>
      </c>
      <c r="F1674" s="16" t="n"/>
      <c r="G1674" s="16" t="n"/>
      <c r="H1674" s="1">
        <f>IF(OR(F1674=0,G1674=0),"",(G1674-F1674)*24)</f>
        <v/>
      </c>
      <c r="I1674" s="10" t="n"/>
      <c r="J1674" s="1">
        <f>IF(OR(tblDowntime[[#This Row],[Failure Type]]="Sawshop",tblDowntime[[#This Row],[Failure Type]]="Electrical",tblDowntime[[#This Row],[Failure Type]]="Mechanical"),tblDowntime[[#This Row],[Downtime Hours]],"")</f>
        <v/>
      </c>
      <c r="K1674" s="10" t="n"/>
      <c r="L1674" s="10" t="n"/>
      <c r="M1674">
        <f>IF(tblDowntime[[#This Row],[Maintenance Downtime Hours]]="","",tblDowntime[[#This Row],[Equipment ID]])</f>
        <v/>
      </c>
      <c r="N1674" s="1">
        <f>IF(tblDowntime[[#This Row],[Failure Type]]="Production",tblDowntime[[#This Row],[Downtime Hours]],"")</f>
        <v/>
      </c>
      <c r="O1674">
        <f>IF(tblDowntime[[#This Row],[Production Downtime Hours]]="","",tblDowntime[[#This Row],[Equipment ID]])</f>
        <v/>
      </c>
      <c r="P1674" s="10" t="n"/>
    </row>
    <row r="1675">
      <c r="B1675">
        <f t="array" ref="B1675">_xlfn.XLOOKUP(C1675,INDIRECT("tblEquipment[Equipment ID]"),INDIRECT("tblEquipment[Production Department]"),"")</f>
        <v/>
      </c>
      <c r="D1675">
        <f t="array" ref="D1675">_xlfn.XLOOKUP(C1675,INDIRECT("tblEquipment[Equipment ID]"),INDIRECT("tblEquipment[Equipment Name]"),"")</f>
        <v/>
      </c>
      <c r="F1675" s="16" t="n"/>
      <c r="G1675" s="16" t="n"/>
      <c r="H1675" s="1">
        <f>IF(OR(F1675=0,G1675=0),"",(G1675-F1675)*24)</f>
        <v/>
      </c>
      <c r="I1675" s="10" t="n"/>
      <c r="J1675" s="1">
        <f>IF(OR(tblDowntime[[#This Row],[Failure Type]]="Sawshop",tblDowntime[[#This Row],[Failure Type]]="Electrical",tblDowntime[[#This Row],[Failure Type]]="Mechanical"),tblDowntime[[#This Row],[Downtime Hours]],"")</f>
        <v/>
      </c>
      <c r="K1675" s="10" t="n"/>
      <c r="L1675" s="10" t="n"/>
      <c r="M1675">
        <f>IF(tblDowntime[[#This Row],[Maintenance Downtime Hours]]="","",tblDowntime[[#This Row],[Equipment ID]])</f>
        <v/>
      </c>
      <c r="N1675" s="1">
        <f>IF(tblDowntime[[#This Row],[Failure Type]]="Production",tblDowntime[[#This Row],[Downtime Hours]],"")</f>
        <v/>
      </c>
      <c r="O1675">
        <f>IF(tblDowntime[[#This Row],[Production Downtime Hours]]="","",tblDowntime[[#This Row],[Equipment ID]])</f>
        <v/>
      </c>
      <c r="P1675" s="10" t="n"/>
    </row>
    <row r="1676">
      <c r="B1676">
        <f t="array" ref="B1676">_xlfn.XLOOKUP(C1676,INDIRECT("tblEquipment[Equipment ID]"),INDIRECT("tblEquipment[Production Department]"),"")</f>
        <v/>
      </c>
      <c r="D1676">
        <f t="array" ref="D1676">_xlfn.XLOOKUP(C1676,INDIRECT("tblEquipment[Equipment ID]"),INDIRECT("tblEquipment[Equipment Name]"),"")</f>
        <v/>
      </c>
      <c r="F1676" s="16" t="n"/>
      <c r="G1676" s="16" t="n"/>
      <c r="H1676" s="1">
        <f>IF(OR(F1676=0,G1676=0),"",(G1676-F1676)*24)</f>
        <v/>
      </c>
      <c r="I1676" s="10" t="n"/>
      <c r="J1676" s="1">
        <f>IF(OR(tblDowntime[[#This Row],[Failure Type]]="Sawshop",tblDowntime[[#This Row],[Failure Type]]="Electrical",tblDowntime[[#This Row],[Failure Type]]="Mechanical"),tblDowntime[[#This Row],[Downtime Hours]],"")</f>
        <v/>
      </c>
      <c r="K1676" s="10" t="n"/>
      <c r="L1676" s="10" t="n"/>
      <c r="M1676">
        <f>IF(tblDowntime[[#This Row],[Maintenance Downtime Hours]]="","",tblDowntime[[#This Row],[Equipment ID]])</f>
        <v/>
      </c>
      <c r="N1676" s="1">
        <f>IF(tblDowntime[[#This Row],[Failure Type]]="Production",tblDowntime[[#This Row],[Downtime Hours]],"")</f>
        <v/>
      </c>
      <c r="O1676">
        <f>IF(tblDowntime[[#This Row],[Production Downtime Hours]]="","",tblDowntime[[#This Row],[Equipment ID]])</f>
        <v/>
      </c>
      <c r="P1676" s="10" t="n"/>
    </row>
    <row r="1677">
      <c r="B1677">
        <f t="array" ref="B1677">_xlfn.XLOOKUP(C1677,INDIRECT("tblEquipment[Equipment ID]"),INDIRECT("tblEquipment[Production Department]"),"")</f>
        <v/>
      </c>
      <c r="D1677">
        <f t="array" ref="D1677">_xlfn.XLOOKUP(C1677,INDIRECT("tblEquipment[Equipment ID]"),INDIRECT("tblEquipment[Equipment Name]"),"")</f>
        <v/>
      </c>
      <c r="F1677" s="16" t="n"/>
      <c r="G1677" s="16" t="n"/>
      <c r="H1677" s="1">
        <f>IF(OR(F1677=0,G1677=0),"",(G1677-F1677)*24)</f>
        <v/>
      </c>
      <c r="I1677" s="10" t="n"/>
      <c r="J1677" s="1">
        <f>IF(OR(tblDowntime[[#This Row],[Failure Type]]="Sawshop",tblDowntime[[#This Row],[Failure Type]]="Electrical",tblDowntime[[#This Row],[Failure Type]]="Mechanical"),tblDowntime[[#This Row],[Downtime Hours]],"")</f>
        <v/>
      </c>
      <c r="K1677" s="10" t="n"/>
      <c r="L1677" s="10" t="n"/>
      <c r="M1677">
        <f>IF(tblDowntime[[#This Row],[Maintenance Downtime Hours]]="","",tblDowntime[[#This Row],[Equipment ID]])</f>
        <v/>
      </c>
      <c r="N1677" s="1">
        <f>IF(tblDowntime[[#This Row],[Failure Type]]="Production",tblDowntime[[#This Row],[Downtime Hours]],"")</f>
        <v/>
      </c>
      <c r="O1677">
        <f>IF(tblDowntime[[#This Row],[Production Downtime Hours]]="","",tblDowntime[[#This Row],[Equipment ID]])</f>
        <v/>
      </c>
      <c r="P1677" s="10" t="n"/>
    </row>
    <row r="1678">
      <c r="B1678">
        <f t="array" ref="B1678">_xlfn.XLOOKUP(C1678,INDIRECT("tblEquipment[Equipment ID]"),INDIRECT("tblEquipment[Production Department]"),"")</f>
        <v/>
      </c>
      <c r="D1678">
        <f t="array" ref="D1678">_xlfn.XLOOKUP(C1678,INDIRECT("tblEquipment[Equipment ID]"),INDIRECT("tblEquipment[Equipment Name]"),"")</f>
        <v/>
      </c>
      <c r="F1678" s="16" t="n"/>
      <c r="G1678" s="16" t="n"/>
      <c r="H1678" s="1">
        <f>IF(OR(F1678=0,G1678=0),"",(G1678-F1678)*24)</f>
        <v/>
      </c>
      <c r="I1678" s="10" t="n"/>
      <c r="J1678" s="1">
        <f>IF(OR(tblDowntime[[#This Row],[Failure Type]]="Sawshop",tblDowntime[[#This Row],[Failure Type]]="Electrical",tblDowntime[[#This Row],[Failure Type]]="Mechanical"),tblDowntime[[#This Row],[Downtime Hours]],"")</f>
        <v/>
      </c>
      <c r="K1678" s="10" t="n"/>
      <c r="L1678" s="10" t="n"/>
      <c r="M1678">
        <f>IF(tblDowntime[[#This Row],[Maintenance Downtime Hours]]="","",tblDowntime[[#This Row],[Equipment ID]])</f>
        <v/>
      </c>
      <c r="N1678" s="1">
        <f>IF(tblDowntime[[#This Row],[Failure Type]]="Production",tblDowntime[[#This Row],[Downtime Hours]],"")</f>
        <v/>
      </c>
      <c r="O1678">
        <f>IF(tblDowntime[[#This Row],[Production Downtime Hours]]="","",tblDowntime[[#This Row],[Equipment ID]])</f>
        <v/>
      </c>
      <c r="P1678" s="10" t="n"/>
    </row>
    <row r="1679">
      <c r="B1679">
        <f t="array" ref="B1679">_xlfn.XLOOKUP(C1679,INDIRECT("tblEquipment[Equipment ID]"),INDIRECT("tblEquipment[Production Department]"),"")</f>
        <v/>
      </c>
      <c r="D1679">
        <f t="array" ref="D1679">_xlfn.XLOOKUP(C1679,INDIRECT("tblEquipment[Equipment ID]"),INDIRECT("tblEquipment[Equipment Name]"),"")</f>
        <v/>
      </c>
      <c r="F1679" s="16" t="n"/>
      <c r="G1679" s="16" t="n"/>
      <c r="H1679" s="1">
        <f>IF(OR(F1679=0,G1679=0),"",(G1679-F1679)*24)</f>
        <v/>
      </c>
      <c r="I1679" s="10" t="n"/>
      <c r="J1679" s="1">
        <f>IF(OR(tblDowntime[[#This Row],[Failure Type]]="Sawshop",tblDowntime[[#This Row],[Failure Type]]="Electrical",tblDowntime[[#This Row],[Failure Type]]="Mechanical"),tblDowntime[[#This Row],[Downtime Hours]],"")</f>
        <v/>
      </c>
      <c r="K1679" s="10" t="n"/>
      <c r="L1679" s="10" t="n"/>
      <c r="M1679">
        <f>IF(tblDowntime[[#This Row],[Maintenance Downtime Hours]]="","",tblDowntime[[#This Row],[Equipment ID]])</f>
        <v/>
      </c>
      <c r="N1679" s="1">
        <f>IF(tblDowntime[[#This Row],[Failure Type]]="Production",tblDowntime[[#This Row],[Downtime Hours]],"")</f>
        <v/>
      </c>
      <c r="O1679">
        <f>IF(tblDowntime[[#This Row],[Production Downtime Hours]]="","",tblDowntime[[#This Row],[Equipment ID]])</f>
        <v/>
      </c>
      <c r="P1679" s="10" t="n"/>
    </row>
    <row r="1680">
      <c r="B1680">
        <f t="array" ref="B1680">_xlfn.XLOOKUP(C1680,INDIRECT("tblEquipment[Equipment ID]"),INDIRECT("tblEquipment[Production Department]"),"")</f>
        <v/>
      </c>
      <c r="D1680">
        <f t="array" ref="D1680">_xlfn.XLOOKUP(C1680,INDIRECT("tblEquipment[Equipment ID]"),INDIRECT("tblEquipment[Equipment Name]"),"")</f>
        <v/>
      </c>
      <c r="F1680" s="16" t="n"/>
      <c r="G1680" s="16" t="n"/>
      <c r="H1680" s="1">
        <f>IF(OR(F1680=0,G1680=0),"",(G1680-F1680)*24)</f>
        <v/>
      </c>
      <c r="I1680" s="10" t="n"/>
      <c r="J1680" s="1">
        <f>IF(OR(tblDowntime[[#This Row],[Failure Type]]="Sawshop",tblDowntime[[#This Row],[Failure Type]]="Electrical",tblDowntime[[#This Row],[Failure Type]]="Mechanical"),tblDowntime[[#This Row],[Downtime Hours]],"")</f>
        <v/>
      </c>
      <c r="K1680" s="10" t="n"/>
      <c r="L1680" s="10" t="n"/>
      <c r="M1680">
        <f>IF(tblDowntime[[#This Row],[Maintenance Downtime Hours]]="","",tblDowntime[[#This Row],[Equipment ID]])</f>
        <v/>
      </c>
      <c r="N1680" s="1">
        <f>IF(tblDowntime[[#This Row],[Failure Type]]="Production",tblDowntime[[#This Row],[Downtime Hours]],"")</f>
        <v/>
      </c>
      <c r="O1680">
        <f>IF(tblDowntime[[#This Row],[Production Downtime Hours]]="","",tblDowntime[[#This Row],[Equipment ID]])</f>
        <v/>
      </c>
      <c r="P1680" s="10" t="n"/>
    </row>
    <row r="1681">
      <c r="B1681">
        <f t="array" ref="B1681">_xlfn.XLOOKUP(C1681,INDIRECT("tblEquipment[Equipment ID]"),INDIRECT("tblEquipment[Production Department]"),"")</f>
        <v/>
      </c>
      <c r="D1681">
        <f t="array" ref="D1681">_xlfn.XLOOKUP(C1681,INDIRECT("tblEquipment[Equipment ID]"),INDIRECT("tblEquipment[Equipment Name]"),"")</f>
        <v/>
      </c>
      <c r="F1681" s="16" t="n"/>
      <c r="G1681" s="16" t="n"/>
      <c r="H1681" s="1">
        <f>IF(OR(F1681=0,G1681=0),"",(G1681-F1681)*24)</f>
        <v/>
      </c>
      <c r="I1681" s="10" t="n"/>
      <c r="J1681" s="1">
        <f>IF(OR(tblDowntime[[#This Row],[Failure Type]]="Sawshop",tblDowntime[[#This Row],[Failure Type]]="Electrical",tblDowntime[[#This Row],[Failure Type]]="Mechanical"),tblDowntime[[#This Row],[Downtime Hours]],"")</f>
        <v/>
      </c>
      <c r="K1681" s="10" t="n"/>
      <c r="L1681" s="10" t="n"/>
      <c r="M1681">
        <f>IF(tblDowntime[[#This Row],[Maintenance Downtime Hours]]="","",tblDowntime[[#This Row],[Equipment ID]])</f>
        <v/>
      </c>
      <c r="N1681" s="1">
        <f>IF(tblDowntime[[#This Row],[Failure Type]]="Production",tblDowntime[[#This Row],[Downtime Hours]],"")</f>
        <v/>
      </c>
      <c r="O1681">
        <f>IF(tblDowntime[[#This Row],[Production Downtime Hours]]="","",tblDowntime[[#This Row],[Equipment ID]])</f>
        <v/>
      </c>
      <c r="P1681" s="10" t="n"/>
    </row>
    <row r="1682">
      <c r="B1682">
        <f t="array" ref="B1682">_xlfn.XLOOKUP(C1682,INDIRECT("tblEquipment[Equipment ID]"),INDIRECT("tblEquipment[Production Department]"),"")</f>
        <v/>
      </c>
      <c r="D1682">
        <f t="array" ref="D1682">_xlfn.XLOOKUP(C1682,INDIRECT("tblEquipment[Equipment ID]"),INDIRECT("tblEquipment[Equipment Name]"),"")</f>
        <v/>
      </c>
      <c r="F1682" s="16" t="n"/>
      <c r="G1682" s="16" t="n"/>
      <c r="H1682" s="1">
        <f>IF(OR(F1682=0,G1682=0),"",(G1682-F1682)*24)</f>
        <v/>
      </c>
      <c r="I1682" s="10" t="n"/>
      <c r="J1682" s="1">
        <f>IF(OR(tblDowntime[[#This Row],[Failure Type]]="Sawshop",tblDowntime[[#This Row],[Failure Type]]="Electrical",tblDowntime[[#This Row],[Failure Type]]="Mechanical"),tblDowntime[[#This Row],[Downtime Hours]],"")</f>
        <v/>
      </c>
      <c r="K1682" s="10" t="n"/>
      <c r="L1682" s="10" t="n"/>
      <c r="M1682">
        <f>IF(tblDowntime[[#This Row],[Maintenance Downtime Hours]]="","",tblDowntime[[#This Row],[Equipment ID]])</f>
        <v/>
      </c>
      <c r="N1682" s="1">
        <f>IF(tblDowntime[[#This Row],[Failure Type]]="Production",tblDowntime[[#This Row],[Downtime Hours]],"")</f>
        <v/>
      </c>
      <c r="O1682">
        <f>IF(tblDowntime[[#This Row],[Production Downtime Hours]]="","",tblDowntime[[#This Row],[Equipment ID]])</f>
        <v/>
      </c>
      <c r="P1682" s="10" t="n"/>
    </row>
    <row r="1683">
      <c r="B1683">
        <f t="array" ref="B1683">_xlfn.XLOOKUP(C1683,INDIRECT("tblEquipment[Equipment ID]"),INDIRECT("tblEquipment[Production Department]"),"")</f>
        <v/>
      </c>
      <c r="D1683">
        <f t="array" ref="D1683">_xlfn.XLOOKUP(C1683,INDIRECT("tblEquipment[Equipment ID]"),INDIRECT("tblEquipment[Equipment Name]"),"")</f>
        <v/>
      </c>
      <c r="F1683" s="16" t="n"/>
      <c r="G1683" s="16" t="n"/>
      <c r="H1683" s="1">
        <f>IF(OR(F1683=0,G1683=0),"",(G1683-F1683)*24)</f>
        <v/>
      </c>
      <c r="I1683" s="10" t="n"/>
      <c r="J1683" s="1">
        <f>IF(OR(tblDowntime[[#This Row],[Failure Type]]="Sawshop",tblDowntime[[#This Row],[Failure Type]]="Electrical",tblDowntime[[#This Row],[Failure Type]]="Mechanical"),tblDowntime[[#This Row],[Downtime Hours]],"")</f>
        <v/>
      </c>
      <c r="K1683" s="10" t="n"/>
      <c r="L1683" s="10" t="n"/>
      <c r="M1683">
        <f>IF(tblDowntime[[#This Row],[Maintenance Downtime Hours]]="","",tblDowntime[[#This Row],[Equipment ID]])</f>
        <v/>
      </c>
      <c r="N1683" s="1">
        <f>IF(tblDowntime[[#This Row],[Failure Type]]="Production",tblDowntime[[#This Row],[Downtime Hours]],"")</f>
        <v/>
      </c>
      <c r="O1683">
        <f>IF(tblDowntime[[#This Row],[Production Downtime Hours]]="","",tblDowntime[[#This Row],[Equipment ID]])</f>
        <v/>
      </c>
      <c r="P1683" s="10" t="n"/>
    </row>
    <row r="1684">
      <c r="B1684">
        <f t="array" ref="B1684">_xlfn.XLOOKUP(C1684,INDIRECT("tblEquipment[Equipment ID]"),INDIRECT("tblEquipment[Production Department]"),"")</f>
        <v/>
      </c>
      <c r="D1684">
        <f t="array" ref="D1684">_xlfn.XLOOKUP(C1684,INDIRECT("tblEquipment[Equipment ID]"),INDIRECT("tblEquipment[Equipment Name]"),"")</f>
        <v/>
      </c>
      <c r="F1684" s="16" t="n"/>
      <c r="G1684" s="16" t="n"/>
      <c r="H1684" s="1">
        <f>IF(OR(F1684=0,G1684=0),"",(G1684-F1684)*24)</f>
        <v/>
      </c>
      <c r="I1684" s="10" t="n"/>
      <c r="J1684" s="1">
        <f>IF(OR(tblDowntime[[#This Row],[Failure Type]]="Sawshop",tblDowntime[[#This Row],[Failure Type]]="Electrical",tblDowntime[[#This Row],[Failure Type]]="Mechanical"),tblDowntime[[#This Row],[Downtime Hours]],"")</f>
        <v/>
      </c>
      <c r="K1684" s="10" t="n"/>
      <c r="L1684" s="10" t="n"/>
      <c r="M1684">
        <f>IF(tblDowntime[[#This Row],[Maintenance Downtime Hours]]="","",tblDowntime[[#This Row],[Equipment ID]])</f>
        <v/>
      </c>
      <c r="N1684" s="1">
        <f>IF(tblDowntime[[#This Row],[Failure Type]]="Production",tblDowntime[[#This Row],[Downtime Hours]],"")</f>
        <v/>
      </c>
      <c r="O1684">
        <f>IF(tblDowntime[[#This Row],[Production Downtime Hours]]="","",tblDowntime[[#This Row],[Equipment ID]])</f>
        <v/>
      </c>
      <c r="P1684" s="10" t="n"/>
    </row>
    <row r="1685">
      <c r="B1685">
        <f t="array" ref="B1685">_xlfn.XLOOKUP(C1685,INDIRECT("tblEquipment[Equipment ID]"),INDIRECT("tblEquipment[Production Department]"),"")</f>
        <v/>
      </c>
      <c r="D1685">
        <f t="array" ref="D1685">_xlfn.XLOOKUP(C1685,INDIRECT("tblEquipment[Equipment ID]"),INDIRECT("tblEquipment[Equipment Name]"),"")</f>
        <v/>
      </c>
      <c r="F1685" s="16" t="n"/>
      <c r="G1685" s="16" t="n"/>
      <c r="H1685" s="1">
        <f>IF(OR(F1685=0,G1685=0),"",(G1685-F1685)*24)</f>
        <v/>
      </c>
      <c r="I1685" s="10" t="n"/>
      <c r="J1685" s="1">
        <f>IF(OR(tblDowntime[[#This Row],[Failure Type]]="Sawshop",tblDowntime[[#This Row],[Failure Type]]="Electrical",tblDowntime[[#This Row],[Failure Type]]="Mechanical"),tblDowntime[[#This Row],[Downtime Hours]],"")</f>
        <v/>
      </c>
      <c r="K1685" s="10" t="n"/>
      <c r="L1685" s="10" t="n"/>
      <c r="M1685">
        <f>IF(tblDowntime[[#This Row],[Maintenance Downtime Hours]]="","",tblDowntime[[#This Row],[Equipment ID]])</f>
        <v/>
      </c>
      <c r="N1685" s="1">
        <f>IF(tblDowntime[[#This Row],[Failure Type]]="Production",tblDowntime[[#This Row],[Downtime Hours]],"")</f>
        <v/>
      </c>
      <c r="O1685">
        <f>IF(tblDowntime[[#This Row],[Production Downtime Hours]]="","",tblDowntime[[#This Row],[Equipment ID]])</f>
        <v/>
      </c>
      <c r="P1685" s="10" t="n"/>
    </row>
    <row r="1686">
      <c r="B1686">
        <f t="array" ref="B1686">_xlfn.XLOOKUP(C1686,INDIRECT("tblEquipment[Equipment ID]"),INDIRECT("tblEquipment[Production Department]"),"")</f>
        <v/>
      </c>
      <c r="D1686">
        <f t="array" ref="D1686">_xlfn.XLOOKUP(C1686,INDIRECT("tblEquipment[Equipment ID]"),INDIRECT("tblEquipment[Equipment Name]"),"")</f>
        <v/>
      </c>
      <c r="F1686" s="16" t="n"/>
      <c r="G1686" s="16" t="n"/>
      <c r="H1686" s="1">
        <f>IF(OR(F1686=0,G1686=0),"",(G1686-F1686)*24)</f>
        <v/>
      </c>
      <c r="I1686" s="10" t="n"/>
      <c r="J1686" s="1">
        <f>IF(OR(tblDowntime[[#This Row],[Failure Type]]="Sawshop",tblDowntime[[#This Row],[Failure Type]]="Electrical",tblDowntime[[#This Row],[Failure Type]]="Mechanical"),tblDowntime[[#This Row],[Downtime Hours]],"")</f>
        <v/>
      </c>
      <c r="K1686" s="10" t="n"/>
      <c r="L1686" s="10" t="n"/>
      <c r="M1686">
        <f>IF(tblDowntime[[#This Row],[Maintenance Downtime Hours]]="","",tblDowntime[[#This Row],[Equipment ID]])</f>
        <v/>
      </c>
      <c r="N1686" s="1">
        <f>IF(tblDowntime[[#This Row],[Failure Type]]="Production",tblDowntime[[#This Row],[Downtime Hours]],"")</f>
        <v/>
      </c>
      <c r="O1686">
        <f>IF(tblDowntime[[#This Row],[Production Downtime Hours]]="","",tblDowntime[[#This Row],[Equipment ID]])</f>
        <v/>
      </c>
      <c r="P1686" s="10" t="n"/>
    </row>
    <row r="1687">
      <c r="B1687">
        <f t="array" ref="B1687">_xlfn.XLOOKUP(C1687,INDIRECT("tblEquipment[Equipment ID]"),INDIRECT("tblEquipment[Production Department]"),"")</f>
        <v/>
      </c>
      <c r="D1687">
        <f t="array" ref="D1687">_xlfn.XLOOKUP(C1687,INDIRECT("tblEquipment[Equipment ID]"),INDIRECT("tblEquipment[Equipment Name]"),"")</f>
        <v/>
      </c>
      <c r="F1687" s="16" t="n"/>
      <c r="G1687" s="16" t="n"/>
      <c r="H1687" s="1">
        <f>IF(OR(F1687=0,G1687=0),"",(G1687-F1687)*24)</f>
        <v/>
      </c>
      <c r="I1687" s="10" t="n"/>
      <c r="J1687" s="1">
        <f>IF(OR(tblDowntime[[#This Row],[Failure Type]]="Sawshop",tblDowntime[[#This Row],[Failure Type]]="Electrical",tblDowntime[[#This Row],[Failure Type]]="Mechanical"),tblDowntime[[#This Row],[Downtime Hours]],"")</f>
        <v/>
      </c>
      <c r="K1687" s="10" t="n"/>
      <c r="L1687" s="10" t="n"/>
      <c r="M1687">
        <f>IF(tblDowntime[[#This Row],[Maintenance Downtime Hours]]="","",tblDowntime[[#This Row],[Equipment ID]])</f>
        <v/>
      </c>
      <c r="N1687" s="1">
        <f>IF(tblDowntime[[#This Row],[Failure Type]]="Production",tblDowntime[[#This Row],[Downtime Hours]],"")</f>
        <v/>
      </c>
      <c r="O1687">
        <f>IF(tblDowntime[[#This Row],[Production Downtime Hours]]="","",tblDowntime[[#This Row],[Equipment ID]])</f>
        <v/>
      </c>
      <c r="P1687" s="10" t="n"/>
    </row>
    <row r="1688">
      <c r="B1688">
        <f t="array" ref="B1688">_xlfn.XLOOKUP(C1688,INDIRECT("tblEquipment[Equipment ID]"),INDIRECT("tblEquipment[Production Department]"),"")</f>
        <v/>
      </c>
      <c r="D1688">
        <f t="array" ref="D1688">_xlfn.XLOOKUP(C1688,INDIRECT("tblEquipment[Equipment ID]"),INDIRECT("tblEquipment[Equipment Name]"),"")</f>
        <v/>
      </c>
      <c r="F1688" s="16" t="n"/>
      <c r="G1688" s="16" t="n"/>
      <c r="H1688" s="1">
        <f>IF(OR(F1688=0,G1688=0),"",(G1688-F1688)*24)</f>
        <v/>
      </c>
      <c r="I1688" s="10" t="n"/>
      <c r="J1688" s="1">
        <f>IF(OR(tblDowntime[[#This Row],[Failure Type]]="Sawshop",tblDowntime[[#This Row],[Failure Type]]="Electrical",tblDowntime[[#This Row],[Failure Type]]="Mechanical"),tblDowntime[[#This Row],[Downtime Hours]],"")</f>
        <v/>
      </c>
      <c r="K1688" s="10" t="n"/>
      <c r="L1688" s="10" t="n"/>
      <c r="M1688">
        <f>IF(tblDowntime[[#This Row],[Maintenance Downtime Hours]]="","",tblDowntime[[#This Row],[Equipment ID]])</f>
        <v/>
      </c>
      <c r="N1688" s="1">
        <f>IF(tblDowntime[[#This Row],[Failure Type]]="Production",tblDowntime[[#This Row],[Downtime Hours]],"")</f>
        <v/>
      </c>
      <c r="O1688">
        <f>IF(tblDowntime[[#This Row],[Production Downtime Hours]]="","",tblDowntime[[#This Row],[Equipment ID]])</f>
        <v/>
      </c>
      <c r="P1688" s="10" t="n"/>
    </row>
    <row r="1689">
      <c r="B1689">
        <f t="array" ref="B1689">_xlfn.XLOOKUP(C1689,INDIRECT("tblEquipment[Equipment ID]"),INDIRECT("tblEquipment[Production Department]"),"")</f>
        <v/>
      </c>
      <c r="D1689">
        <f t="array" ref="D1689">_xlfn.XLOOKUP(C1689,INDIRECT("tblEquipment[Equipment ID]"),INDIRECT("tblEquipment[Equipment Name]"),"")</f>
        <v/>
      </c>
      <c r="F1689" s="16" t="n"/>
      <c r="G1689" s="16" t="n"/>
      <c r="H1689" s="1">
        <f>IF(OR(F1689=0,G1689=0),"",(G1689-F1689)*24)</f>
        <v/>
      </c>
      <c r="I1689" s="10" t="n"/>
      <c r="J1689" s="1">
        <f>IF(OR(tblDowntime[[#This Row],[Failure Type]]="Sawshop",tblDowntime[[#This Row],[Failure Type]]="Electrical",tblDowntime[[#This Row],[Failure Type]]="Mechanical"),tblDowntime[[#This Row],[Downtime Hours]],"")</f>
        <v/>
      </c>
      <c r="K1689" s="10" t="n"/>
      <c r="L1689" s="10" t="n"/>
      <c r="M1689">
        <f>IF(tblDowntime[[#This Row],[Maintenance Downtime Hours]]="","",tblDowntime[[#This Row],[Equipment ID]])</f>
        <v/>
      </c>
      <c r="N1689" s="1">
        <f>IF(tblDowntime[[#This Row],[Failure Type]]="Production",tblDowntime[[#This Row],[Downtime Hours]],"")</f>
        <v/>
      </c>
      <c r="O1689">
        <f>IF(tblDowntime[[#This Row],[Production Downtime Hours]]="","",tblDowntime[[#This Row],[Equipment ID]])</f>
        <v/>
      </c>
      <c r="P1689" s="10" t="n"/>
    </row>
    <row r="1690">
      <c r="B1690">
        <f t="array" ref="B1690">_xlfn.XLOOKUP(C1690,INDIRECT("tblEquipment[Equipment ID]"),INDIRECT("tblEquipment[Production Department]"),"")</f>
        <v/>
      </c>
      <c r="D1690">
        <f t="array" ref="D1690">_xlfn.XLOOKUP(C1690,INDIRECT("tblEquipment[Equipment ID]"),INDIRECT("tblEquipment[Equipment Name]"),"")</f>
        <v/>
      </c>
      <c r="F1690" s="16" t="n"/>
      <c r="G1690" s="16" t="n"/>
      <c r="H1690" s="1">
        <f>IF(OR(F1690=0,G1690=0),"",(G1690-F1690)*24)</f>
        <v/>
      </c>
      <c r="I1690" s="10" t="n"/>
      <c r="J1690" s="1">
        <f>IF(OR(tblDowntime[[#This Row],[Failure Type]]="Sawshop",tblDowntime[[#This Row],[Failure Type]]="Electrical",tblDowntime[[#This Row],[Failure Type]]="Mechanical"),tblDowntime[[#This Row],[Downtime Hours]],"")</f>
        <v/>
      </c>
      <c r="K1690" s="10" t="n"/>
      <c r="L1690" s="10" t="n"/>
      <c r="M1690">
        <f>IF(tblDowntime[[#This Row],[Maintenance Downtime Hours]]="","",tblDowntime[[#This Row],[Equipment ID]])</f>
        <v/>
      </c>
      <c r="N1690" s="1">
        <f>IF(tblDowntime[[#This Row],[Failure Type]]="Production",tblDowntime[[#This Row],[Downtime Hours]],"")</f>
        <v/>
      </c>
      <c r="O1690">
        <f>IF(tblDowntime[[#This Row],[Production Downtime Hours]]="","",tblDowntime[[#This Row],[Equipment ID]])</f>
        <v/>
      </c>
      <c r="P1690" s="10" t="n"/>
    </row>
    <row r="1691">
      <c r="B1691">
        <f t="array" ref="B1691">_xlfn.XLOOKUP(C1691,INDIRECT("tblEquipment[Equipment ID]"),INDIRECT("tblEquipment[Production Department]"),"")</f>
        <v/>
      </c>
      <c r="D1691">
        <f t="array" ref="D1691">_xlfn.XLOOKUP(C1691,INDIRECT("tblEquipment[Equipment ID]"),INDIRECT("tblEquipment[Equipment Name]"),"")</f>
        <v/>
      </c>
      <c r="F1691" s="16" t="n"/>
      <c r="G1691" s="16" t="n"/>
      <c r="H1691" s="1">
        <f>IF(OR(F1691=0,G1691=0),"",(G1691-F1691)*24)</f>
        <v/>
      </c>
      <c r="I1691" s="10" t="n"/>
      <c r="J1691" s="1">
        <f>IF(OR(tblDowntime[[#This Row],[Failure Type]]="Sawshop",tblDowntime[[#This Row],[Failure Type]]="Electrical",tblDowntime[[#This Row],[Failure Type]]="Mechanical"),tblDowntime[[#This Row],[Downtime Hours]],"")</f>
        <v/>
      </c>
      <c r="K1691" s="10" t="n"/>
      <c r="L1691" s="10" t="n"/>
      <c r="M1691">
        <f>IF(tblDowntime[[#This Row],[Maintenance Downtime Hours]]="","",tblDowntime[[#This Row],[Equipment ID]])</f>
        <v/>
      </c>
      <c r="N1691" s="1">
        <f>IF(tblDowntime[[#This Row],[Failure Type]]="Production",tblDowntime[[#This Row],[Downtime Hours]],"")</f>
        <v/>
      </c>
      <c r="O1691">
        <f>IF(tblDowntime[[#This Row],[Production Downtime Hours]]="","",tblDowntime[[#This Row],[Equipment ID]])</f>
        <v/>
      </c>
      <c r="P1691" s="10" t="n"/>
    </row>
    <row r="1692">
      <c r="B1692">
        <f t="array" ref="B1692">_xlfn.XLOOKUP(C1692,INDIRECT("tblEquipment[Equipment ID]"),INDIRECT("tblEquipment[Production Department]"),"")</f>
        <v/>
      </c>
      <c r="D1692">
        <f t="array" ref="D1692">_xlfn.XLOOKUP(C1692,INDIRECT("tblEquipment[Equipment ID]"),INDIRECT("tblEquipment[Equipment Name]"),"")</f>
        <v/>
      </c>
      <c r="F1692" s="16" t="n"/>
      <c r="G1692" s="16" t="n"/>
      <c r="H1692" s="1">
        <f>IF(OR(F1692=0,G1692=0),"",(G1692-F1692)*24)</f>
        <v/>
      </c>
      <c r="I1692" s="10" t="n"/>
      <c r="J1692" s="1">
        <f>IF(OR(tblDowntime[[#This Row],[Failure Type]]="Sawshop",tblDowntime[[#This Row],[Failure Type]]="Electrical",tblDowntime[[#This Row],[Failure Type]]="Mechanical"),tblDowntime[[#This Row],[Downtime Hours]],"")</f>
        <v/>
      </c>
      <c r="K1692" s="10" t="n"/>
      <c r="L1692" s="10" t="n"/>
      <c r="M1692">
        <f>IF(tblDowntime[[#This Row],[Maintenance Downtime Hours]]="","",tblDowntime[[#This Row],[Equipment ID]])</f>
        <v/>
      </c>
      <c r="N1692" s="1">
        <f>IF(tblDowntime[[#This Row],[Failure Type]]="Production",tblDowntime[[#This Row],[Downtime Hours]],"")</f>
        <v/>
      </c>
      <c r="O1692">
        <f>IF(tblDowntime[[#This Row],[Production Downtime Hours]]="","",tblDowntime[[#This Row],[Equipment ID]])</f>
        <v/>
      </c>
      <c r="P1692" s="10" t="n"/>
    </row>
    <row r="1693">
      <c r="B1693">
        <f t="array" ref="B1693">_xlfn.XLOOKUP(C1693,INDIRECT("tblEquipment[Equipment ID]"),INDIRECT("tblEquipment[Production Department]"),"")</f>
        <v/>
      </c>
      <c r="D1693">
        <f t="array" ref="D1693">_xlfn.XLOOKUP(C1693,INDIRECT("tblEquipment[Equipment ID]"),INDIRECT("tblEquipment[Equipment Name]"),"")</f>
        <v/>
      </c>
      <c r="F1693" s="16" t="n"/>
      <c r="G1693" s="16" t="n"/>
      <c r="H1693" s="1">
        <f>IF(OR(F1693=0,G1693=0),"",(G1693-F1693)*24)</f>
        <v/>
      </c>
      <c r="I1693" s="10" t="n"/>
      <c r="J1693" s="1">
        <f>IF(OR(tblDowntime[[#This Row],[Failure Type]]="Sawshop",tblDowntime[[#This Row],[Failure Type]]="Electrical",tblDowntime[[#This Row],[Failure Type]]="Mechanical"),tblDowntime[[#This Row],[Downtime Hours]],"")</f>
        <v/>
      </c>
      <c r="K1693" s="10" t="n"/>
      <c r="L1693" s="10" t="n"/>
      <c r="M1693">
        <f>IF(tblDowntime[[#This Row],[Maintenance Downtime Hours]]="","",tblDowntime[[#This Row],[Equipment ID]])</f>
        <v/>
      </c>
      <c r="N1693" s="1">
        <f>IF(tblDowntime[[#This Row],[Failure Type]]="Production",tblDowntime[[#This Row],[Downtime Hours]],"")</f>
        <v/>
      </c>
      <c r="O1693">
        <f>IF(tblDowntime[[#This Row],[Production Downtime Hours]]="","",tblDowntime[[#This Row],[Equipment ID]])</f>
        <v/>
      </c>
      <c r="P1693" s="10" t="n"/>
    </row>
    <row r="1694">
      <c r="B1694">
        <f t="array" ref="B1694">_xlfn.XLOOKUP(C1694,INDIRECT("tblEquipment[Equipment ID]"),INDIRECT("tblEquipment[Production Department]"),"")</f>
        <v/>
      </c>
      <c r="D1694">
        <f t="array" ref="D1694">_xlfn.XLOOKUP(C1694,INDIRECT("tblEquipment[Equipment ID]"),INDIRECT("tblEquipment[Equipment Name]"),"")</f>
        <v/>
      </c>
      <c r="F1694" s="16" t="n"/>
      <c r="G1694" s="16" t="n"/>
      <c r="H1694" s="1">
        <f>IF(OR(F1694=0,G1694=0),"",(G1694-F1694)*24)</f>
        <v/>
      </c>
      <c r="I1694" s="10" t="n"/>
      <c r="J1694" s="1">
        <f>IF(OR(tblDowntime[[#This Row],[Failure Type]]="Sawshop",tblDowntime[[#This Row],[Failure Type]]="Electrical",tblDowntime[[#This Row],[Failure Type]]="Mechanical"),tblDowntime[[#This Row],[Downtime Hours]],"")</f>
        <v/>
      </c>
      <c r="K1694" s="10" t="n"/>
      <c r="L1694" s="10" t="n"/>
      <c r="M1694">
        <f>IF(tblDowntime[[#This Row],[Maintenance Downtime Hours]]="","",tblDowntime[[#This Row],[Equipment ID]])</f>
        <v/>
      </c>
      <c r="N1694" s="1">
        <f>IF(tblDowntime[[#This Row],[Failure Type]]="Production",tblDowntime[[#This Row],[Downtime Hours]],"")</f>
        <v/>
      </c>
      <c r="O1694">
        <f>IF(tblDowntime[[#This Row],[Production Downtime Hours]]="","",tblDowntime[[#This Row],[Equipment ID]])</f>
        <v/>
      </c>
      <c r="P1694" s="10" t="n"/>
    </row>
    <row r="1695">
      <c r="B1695">
        <f t="array" ref="B1695">_xlfn.XLOOKUP(C1695,INDIRECT("tblEquipment[Equipment ID]"),INDIRECT("tblEquipment[Production Department]"),"")</f>
        <v/>
      </c>
      <c r="D1695">
        <f t="array" ref="D1695">_xlfn.XLOOKUP(C1695,INDIRECT("tblEquipment[Equipment ID]"),INDIRECT("tblEquipment[Equipment Name]"),"")</f>
        <v/>
      </c>
      <c r="F1695" s="16" t="n"/>
      <c r="G1695" s="16" t="n"/>
      <c r="H1695" s="1">
        <f>IF(OR(F1695=0,G1695=0),"",(G1695-F1695)*24)</f>
        <v/>
      </c>
      <c r="I1695" s="10" t="n"/>
      <c r="J1695" s="1">
        <f>IF(OR(tblDowntime[[#This Row],[Failure Type]]="Sawshop",tblDowntime[[#This Row],[Failure Type]]="Electrical",tblDowntime[[#This Row],[Failure Type]]="Mechanical"),tblDowntime[[#This Row],[Downtime Hours]],"")</f>
        <v/>
      </c>
      <c r="K1695" s="10" t="n"/>
      <c r="L1695" s="10" t="n"/>
      <c r="M1695">
        <f>IF(tblDowntime[[#This Row],[Maintenance Downtime Hours]]="","",tblDowntime[[#This Row],[Equipment ID]])</f>
        <v/>
      </c>
      <c r="N1695" s="1">
        <f>IF(tblDowntime[[#This Row],[Failure Type]]="Production",tblDowntime[[#This Row],[Downtime Hours]],"")</f>
        <v/>
      </c>
      <c r="O1695">
        <f>IF(tblDowntime[[#This Row],[Production Downtime Hours]]="","",tblDowntime[[#This Row],[Equipment ID]])</f>
        <v/>
      </c>
      <c r="P1695" s="10" t="n"/>
    </row>
    <row r="1696">
      <c r="B1696">
        <f t="array" ref="B1696">_xlfn.XLOOKUP(C1696,INDIRECT("tblEquipment[Equipment ID]"),INDIRECT("tblEquipment[Production Department]"),"")</f>
        <v/>
      </c>
      <c r="D1696">
        <f t="array" ref="D1696">_xlfn.XLOOKUP(C1696,INDIRECT("tblEquipment[Equipment ID]"),INDIRECT("tblEquipment[Equipment Name]"),"")</f>
        <v/>
      </c>
      <c r="F1696" s="16" t="n"/>
      <c r="G1696" s="16" t="n"/>
      <c r="H1696" s="1">
        <f>IF(OR(F1696=0,G1696=0),"",(G1696-F1696)*24)</f>
        <v/>
      </c>
      <c r="I1696" s="10" t="n"/>
      <c r="J1696" s="1">
        <f>IF(OR(tblDowntime[[#This Row],[Failure Type]]="Sawshop",tblDowntime[[#This Row],[Failure Type]]="Electrical",tblDowntime[[#This Row],[Failure Type]]="Mechanical"),tblDowntime[[#This Row],[Downtime Hours]],"")</f>
        <v/>
      </c>
      <c r="K1696" s="10" t="n"/>
      <c r="L1696" s="10" t="n"/>
      <c r="M1696">
        <f>IF(tblDowntime[[#This Row],[Maintenance Downtime Hours]]="","",tblDowntime[[#This Row],[Equipment ID]])</f>
        <v/>
      </c>
      <c r="N1696" s="1">
        <f>IF(tblDowntime[[#This Row],[Failure Type]]="Production",tblDowntime[[#This Row],[Downtime Hours]],"")</f>
        <v/>
      </c>
      <c r="O1696">
        <f>IF(tblDowntime[[#This Row],[Production Downtime Hours]]="","",tblDowntime[[#This Row],[Equipment ID]])</f>
        <v/>
      </c>
      <c r="P1696" s="10" t="n"/>
    </row>
    <row r="1697">
      <c r="B1697">
        <f t="array" ref="B1697">_xlfn.XLOOKUP(C1697,INDIRECT("tblEquipment[Equipment ID]"),INDIRECT("tblEquipment[Production Department]"),"")</f>
        <v/>
      </c>
      <c r="D1697">
        <f t="array" ref="D1697">_xlfn.XLOOKUP(C1697,INDIRECT("tblEquipment[Equipment ID]"),INDIRECT("tblEquipment[Equipment Name]"),"")</f>
        <v/>
      </c>
      <c r="F1697" s="16" t="n"/>
      <c r="G1697" s="16" t="n"/>
      <c r="H1697" s="1">
        <f>IF(OR(F1697=0,G1697=0),"",(G1697-F1697)*24)</f>
        <v/>
      </c>
      <c r="I1697" s="10" t="n"/>
      <c r="J1697" s="1">
        <f>IF(OR(tblDowntime[[#This Row],[Failure Type]]="Sawshop",tblDowntime[[#This Row],[Failure Type]]="Electrical",tblDowntime[[#This Row],[Failure Type]]="Mechanical"),tblDowntime[[#This Row],[Downtime Hours]],"")</f>
        <v/>
      </c>
      <c r="K1697" s="10" t="n"/>
      <c r="L1697" s="10" t="n"/>
      <c r="M1697">
        <f>IF(tblDowntime[[#This Row],[Maintenance Downtime Hours]]="","",tblDowntime[[#This Row],[Equipment ID]])</f>
        <v/>
      </c>
      <c r="N1697" s="1">
        <f>IF(tblDowntime[[#This Row],[Failure Type]]="Production",tblDowntime[[#This Row],[Downtime Hours]],"")</f>
        <v/>
      </c>
      <c r="O1697">
        <f>IF(tblDowntime[[#This Row],[Production Downtime Hours]]="","",tblDowntime[[#This Row],[Equipment ID]])</f>
        <v/>
      </c>
      <c r="P1697" s="10" t="n"/>
    </row>
    <row r="1698">
      <c r="B1698">
        <f t="array" ref="B1698">_xlfn.XLOOKUP(C1698,INDIRECT("tblEquipment[Equipment ID]"),INDIRECT("tblEquipment[Production Department]"),"")</f>
        <v/>
      </c>
      <c r="D1698">
        <f t="array" ref="D1698">_xlfn.XLOOKUP(C1698,INDIRECT("tblEquipment[Equipment ID]"),INDIRECT("tblEquipment[Equipment Name]"),"")</f>
        <v/>
      </c>
      <c r="F1698" s="16" t="n"/>
      <c r="G1698" s="16" t="n"/>
      <c r="H1698" s="1">
        <f>IF(OR(F1698=0,G1698=0),"",(G1698-F1698)*24)</f>
        <v/>
      </c>
      <c r="I1698" s="10" t="n"/>
      <c r="J1698" s="1">
        <f>IF(OR(tblDowntime[[#This Row],[Failure Type]]="Sawshop",tblDowntime[[#This Row],[Failure Type]]="Electrical",tblDowntime[[#This Row],[Failure Type]]="Mechanical"),tblDowntime[[#This Row],[Downtime Hours]],"")</f>
        <v/>
      </c>
      <c r="K1698" s="10" t="n"/>
      <c r="L1698" s="10" t="n"/>
      <c r="M1698">
        <f>IF(tblDowntime[[#This Row],[Maintenance Downtime Hours]]="","",tblDowntime[[#This Row],[Equipment ID]])</f>
        <v/>
      </c>
      <c r="N1698" s="1">
        <f>IF(tblDowntime[[#This Row],[Failure Type]]="Production",tblDowntime[[#This Row],[Downtime Hours]],"")</f>
        <v/>
      </c>
      <c r="O1698">
        <f>IF(tblDowntime[[#This Row],[Production Downtime Hours]]="","",tblDowntime[[#This Row],[Equipment ID]])</f>
        <v/>
      </c>
      <c r="P1698" s="10" t="n"/>
    </row>
    <row r="1699">
      <c r="B1699">
        <f t="array" ref="B1699">_xlfn.XLOOKUP(C1699,INDIRECT("tblEquipment[Equipment ID]"),INDIRECT("tblEquipment[Production Department]"),"")</f>
        <v/>
      </c>
      <c r="D1699">
        <f t="array" ref="D1699">_xlfn.XLOOKUP(C1699,INDIRECT("tblEquipment[Equipment ID]"),INDIRECT("tblEquipment[Equipment Name]"),"")</f>
        <v/>
      </c>
      <c r="F1699" s="16" t="n"/>
      <c r="G1699" s="16" t="n"/>
      <c r="H1699" s="1">
        <f>IF(OR(F1699=0,G1699=0),"",(G1699-F1699)*24)</f>
        <v/>
      </c>
      <c r="I1699" s="10" t="n"/>
      <c r="J1699" s="1">
        <f>IF(OR(tblDowntime[[#This Row],[Failure Type]]="Sawshop",tblDowntime[[#This Row],[Failure Type]]="Electrical",tblDowntime[[#This Row],[Failure Type]]="Mechanical"),tblDowntime[[#This Row],[Downtime Hours]],"")</f>
        <v/>
      </c>
      <c r="K1699" s="10" t="n"/>
      <c r="L1699" s="10" t="n"/>
      <c r="M1699">
        <f>IF(tblDowntime[[#This Row],[Maintenance Downtime Hours]]="","",tblDowntime[[#This Row],[Equipment ID]])</f>
        <v/>
      </c>
      <c r="N1699" s="1">
        <f>IF(tblDowntime[[#This Row],[Failure Type]]="Production",tblDowntime[[#This Row],[Downtime Hours]],"")</f>
        <v/>
      </c>
      <c r="O1699">
        <f>IF(tblDowntime[[#This Row],[Production Downtime Hours]]="","",tblDowntime[[#This Row],[Equipment ID]])</f>
        <v/>
      </c>
      <c r="P1699" s="10" t="n"/>
    </row>
    <row r="1700">
      <c r="B1700">
        <f t="array" ref="B1700">_xlfn.XLOOKUP(C1700,INDIRECT("tblEquipment[Equipment ID]"),INDIRECT("tblEquipment[Production Department]"),"")</f>
        <v/>
      </c>
      <c r="D1700">
        <f t="array" ref="D1700">_xlfn.XLOOKUP(C1700,INDIRECT("tblEquipment[Equipment ID]"),INDIRECT("tblEquipment[Equipment Name]"),"")</f>
        <v/>
      </c>
      <c r="F1700" s="16" t="n"/>
      <c r="G1700" s="16" t="n"/>
      <c r="H1700" s="1">
        <f>IF(OR(F1700=0,G1700=0),"",(G1700-F1700)*24)</f>
        <v/>
      </c>
      <c r="I1700" s="10" t="n"/>
      <c r="J1700" s="1">
        <f>IF(OR(tblDowntime[[#This Row],[Failure Type]]="Sawshop",tblDowntime[[#This Row],[Failure Type]]="Electrical",tblDowntime[[#This Row],[Failure Type]]="Mechanical"),tblDowntime[[#This Row],[Downtime Hours]],"")</f>
        <v/>
      </c>
      <c r="K1700" s="10" t="n"/>
      <c r="L1700" s="10" t="n"/>
      <c r="M1700">
        <f>IF(tblDowntime[[#This Row],[Maintenance Downtime Hours]]="","",tblDowntime[[#This Row],[Equipment ID]])</f>
        <v/>
      </c>
      <c r="N1700" s="1">
        <f>IF(tblDowntime[[#This Row],[Failure Type]]="Production",tblDowntime[[#This Row],[Downtime Hours]],"")</f>
        <v/>
      </c>
      <c r="O1700">
        <f>IF(tblDowntime[[#This Row],[Production Downtime Hours]]="","",tblDowntime[[#This Row],[Equipment ID]])</f>
        <v/>
      </c>
      <c r="P1700" s="10" t="n"/>
    </row>
    <row r="1701">
      <c r="B1701">
        <f t="array" ref="B1701">_xlfn.XLOOKUP(C1701,INDIRECT("tblEquipment[Equipment ID]"),INDIRECT("tblEquipment[Production Department]"),"")</f>
        <v/>
      </c>
      <c r="D1701">
        <f t="array" ref="D1701">_xlfn.XLOOKUP(C1701,INDIRECT("tblEquipment[Equipment ID]"),INDIRECT("tblEquipment[Equipment Name]"),"")</f>
        <v/>
      </c>
      <c r="F1701" s="16" t="n"/>
      <c r="G1701" s="16" t="n"/>
      <c r="H1701" s="1">
        <f>IF(OR(F1701=0,G1701=0),"",(G1701-F1701)*24)</f>
        <v/>
      </c>
      <c r="I1701" s="10" t="n"/>
      <c r="J1701" s="1">
        <f>IF(OR(tblDowntime[[#This Row],[Failure Type]]="Sawshop",tblDowntime[[#This Row],[Failure Type]]="Electrical",tblDowntime[[#This Row],[Failure Type]]="Mechanical"),tblDowntime[[#This Row],[Downtime Hours]],"")</f>
        <v/>
      </c>
      <c r="K1701" s="10" t="n"/>
      <c r="L1701" s="10" t="n"/>
      <c r="M1701">
        <f>IF(tblDowntime[[#This Row],[Maintenance Downtime Hours]]="","",tblDowntime[[#This Row],[Equipment ID]])</f>
        <v/>
      </c>
      <c r="N1701" s="1">
        <f>IF(tblDowntime[[#This Row],[Failure Type]]="Production",tblDowntime[[#This Row],[Downtime Hours]],"")</f>
        <v/>
      </c>
      <c r="O1701">
        <f>IF(tblDowntime[[#This Row],[Production Downtime Hours]]="","",tblDowntime[[#This Row],[Equipment ID]])</f>
        <v/>
      </c>
      <c r="P1701" s="10" t="n"/>
    </row>
    <row r="1702">
      <c r="B1702">
        <f t="array" ref="B1702">_xlfn.XLOOKUP(C1702,INDIRECT("tblEquipment[Equipment ID]"),INDIRECT("tblEquipment[Production Department]"),"")</f>
        <v/>
      </c>
      <c r="D1702">
        <f t="array" ref="D1702">_xlfn.XLOOKUP(C1702,INDIRECT("tblEquipment[Equipment ID]"),INDIRECT("tblEquipment[Equipment Name]"),"")</f>
        <v/>
      </c>
      <c r="F1702" s="16" t="n"/>
      <c r="G1702" s="16" t="n"/>
      <c r="H1702" s="1">
        <f>IF(OR(F1702=0,G1702=0),"",(G1702-F1702)*24)</f>
        <v/>
      </c>
      <c r="I1702" s="10" t="n"/>
      <c r="J1702" s="1">
        <f>IF(OR(tblDowntime[[#This Row],[Failure Type]]="Sawshop",tblDowntime[[#This Row],[Failure Type]]="Electrical",tblDowntime[[#This Row],[Failure Type]]="Mechanical"),tblDowntime[[#This Row],[Downtime Hours]],"")</f>
        <v/>
      </c>
      <c r="K1702" s="10" t="n"/>
      <c r="L1702" s="10" t="n"/>
      <c r="M1702">
        <f>IF(tblDowntime[[#This Row],[Maintenance Downtime Hours]]="","",tblDowntime[[#This Row],[Equipment ID]])</f>
        <v/>
      </c>
      <c r="N1702" s="1">
        <f>IF(tblDowntime[[#This Row],[Failure Type]]="Production",tblDowntime[[#This Row],[Downtime Hours]],"")</f>
        <v/>
      </c>
      <c r="O1702">
        <f>IF(tblDowntime[[#This Row],[Production Downtime Hours]]="","",tblDowntime[[#This Row],[Equipment ID]])</f>
        <v/>
      </c>
      <c r="P1702" s="10" t="n"/>
    </row>
    <row r="1703">
      <c r="B1703">
        <f t="array" ref="B1703">_xlfn.XLOOKUP(C1703,INDIRECT("tblEquipment[Equipment ID]"),INDIRECT("tblEquipment[Production Department]"),"")</f>
        <v/>
      </c>
      <c r="D1703">
        <f t="array" ref="D1703">_xlfn.XLOOKUP(C1703,INDIRECT("tblEquipment[Equipment ID]"),INDIRECT("tblEquipment[Equipment Name]"),"")</f>
        <v/>
      </c>
      <c r="F1703" s="16" t="n"/>
      <c r="G1703" s="16" t="n"/>
      <c r="H1703" s="1">
        <f>IF(OR(F1703=0,G1703=0),"",(G1703-F1703)*24)</f>
        <v/>
      </c>
      <c r="I1703" s="10" t="n"/>
      <c r="J1703" s="1">
        <f>IF(OR(tblDowntime[[#This Row],[Failure Type]]="Sawshop",tblDowntime[[#This Row],[Failure Type]]="Electrical",tblDowntime[[#This Row],[Failure Type]]="Mechanical"),tblDowntime[[#This Row],[Downtime Hours]],"")</f>
        <v/>
      </c>
      <c r="K1703" s="10" t="n"/>
      <c r="L1703" s="10" t="n"/>
      <c r="M1703">
        <f>IF(tblDowntime[[#This Row],[Maintenance Downtime Hours]]="","",tblDowntime[[#This Row],[Equipment ID]])</f>
        <v/>
      </c>
      <c r="N1703" s="1">
        <f>IF(tblDowntime[[#This Row],[Failure Type]]="Production",tblDowntime[[#This Row],[Downtime Hours]],"")</f>
        <v/>
      </c>
      <c r="O1703">
        <f>IF(tblDowntime[[#This Row],[Production Downtime Hours]]="","",tblDowntime[[#This Row],[Equipment ID]])</f>
        <v/>
      </c>
      <c r="P1703" s="10" t="n"/>
    </row>
    <row r="1704">
      <c r="B1704">
        <f t="array" ref="B1704">_xlfn.XLOOKUP(C1704,INDIRECT("tblEquipment[Equipment ID]"),INDIRECT("tblEquipment[Production Department]"),"")</f>
        <v/>
      </c>
      <c r="D1704">
        <f t="array" ref="D1704">_xlfn.XLOOKUP(C1704,INDIRECT("tblEquipment[Equipment ID]"),INDIRECT("tblEquipment[Equipment Name]"),"")</f>
        <v/>
      </c>
      <c r="F1704" s="16" t="n"/>
      <c r="G1704" s="16" t="n"/>
      <c r="H1704" s="1">
        <f>IF(OR(F1704=0,G1704=0),"",(G1704-F1704)*24)</f>
        <v/>
      </c>
      <c r="I1704" s="10" t="n"/>
      <c r="J1704" s="1">
        <f>IF(OR(tblDowntime[[#This Row],[Failure Type]]="Sawshop",tblDowntime[[#This Row],[Failure Type]]="Electrical",tblDowntime[[#This Row],[Failure Type]]="Mechanical"),tblDowntime[[#This Row],[Downtime Hours]],"")</f>
        <v/>
      </c>
      <c r="K1704" s="10" t="n"/>
      <c r="L1704" s="10" t="n"/>
      <c r="M1704">
        <f>IF(tblDowntime[[#This Row],[Maintenance Downtime Hours]]="","",tblDowntime[[#This Row],[Equipment ID]])</f>
        <v/>
      </c>
      <c r="N1704" s="1">
        <f>IF(tblDowntime[[#This Row],[Failure Type]]="Production",tblDowntime[[#This Row],[Downtime Hours]],"")</f>
        <v/>
      </c>
      <c r="O1704">
        <f>IF(tblDowntime[[#This Row],[Production Downtime Hours]]="","",tblDowntime[[#This Row],[Equipment ID]])</f>
        <v/>
      </c>
      <c r="P1704" s="10" t="n"/>
    </row>
    <row r="1705">
      <c r="B1705">
        <f t="array" ref="B1705">_xlfn.XLOOKUP(C1705,INDIRECT("tblEquipment[Equipment ID]"),INDIRECT("tblEquipment[Production Department]"),"")</f>
        <v/>
      </c>
      <c r="D1705">
        <f t="array" ref="D1705">_xlfn.XLOOKUP(C1705,INDIRECT("tblEquipment[Equipment ID]"),INDIRECT("tblEquipment[Equipment Name]"),"")</f>
        <v/>
      </c>
      <c r="F1705" s="16" t="n"/>
      <c r="G1705" s="16" t="n"/>
      <c r="H1705" s="1">
        <f>IF(OR(F1705=0,G1705=0),"",(G1705-F1705)*24)</f>
        <v/>
      </c>
      <c r="I1705" s="10" t="n"/>
      <c r="J1705" s="1">
        <f>IF(OR(tblDowntime[[#This Row],[Failure Type]]="Sawshop",tblDowntime[[#This Row],[Failure Type]]="Electrical",tblDowntime[[#This Row],[Failure Type]]="Mechanical"),tblDowntime[[#This Row],[Downtime Hours]],"")</f>
        <v/>
      </c>
      <c r="K1705" s="10" t="n"/>
      <c r="L1705" s="10" t="n"/>
      <c r="M1705">
        <f>IF(tblDowntime[[#This Row],[Maintenance Downtime Hours]]="","",tblDowntime[[#This Row],[Equipment ID]])</f>
        <v/>
      </c>
      <c r="N1705" s="1">
        <f>IF(tblDowntime[[#This Row],[Failure Type]]="Production",tblDowntime[[#This Row],[Downtime Hours]],"")</f>
        <v/>
      </c>
      <c r="O1705">
        <f>IF(tblDowntime[[#This Row],[Production Downtime Hours]]="","",tblDowntime[[#This Row],[Equipment ID]])</f>
        <v/>
      </c>
      <c r="P1705" s="10" t="n"/>
    </row>
    <row r="1706">
      <c r="B1706">
        <f t="array" ref="B1706">_xlfn.XLOOKUP(C1706,INDIRECT("tblEquipment[Equipment ID]"),INDIRECT("tblEquipment[Production Department]"),"")</f>
        <v/>
      </c>
      <c r="D1706">
        <f t="array" ref="D1706">_xlfn.XLOOKUP(C1706,INDIRECT("tblEquipment[Equipment ID]"),INDIRECT("tblEquipment[Equipment Name]"),"")</f>
        <v/>
      </c>
      <c r="F1706" s="16" t="n"/>
      <c r="G1706" s="16" t="n"/>
      <c r="H1706" s="1">
        <f>IF(OR(F1706=0,G1706=0),"",(G1706-F1706)*24)</f>
        <v/>
      </c>
      <c r="I1706" s="10" t="n"/>
      <c r="J1706" s="1">
        <f>IF(OR(tblDowntime[[#This Row],[Failure Type]]="Sawshop",tblDowntime[[#This Row],[Failure Type]]="Electrical",tblDowntime[[#This Row],[Failure Type]]="Mechanical"),tblDowntime[[#This Row],[Downtime Hours]],"")</f>
        <v/>
      </c>
      <c r="K1706" s="10" t="n"/>
      <c r="L1706" s="10" t="n"/>
      <c r="M1706">
        <f>IF(tblDowntime[[#This Row],[Maintenance Downtime Hours]]="","",tblDowntime[[#This Row],[Equipment ID]])</f>
        <v/>
      </c>
      <c r="N1706" s="1">
        <f>IF(tblDowntime[[#This Row],[Failure Type]]="Production",tblDowntime[[#This Row],[Downtime Hours]],"")</f>
        <v/>
      </c>
      <c r="O1706">
        <f>IF(tblDowntime[[#This Row],[Production Downtime Hours]]="","",tblDowntime[[#This Row],[Equipment ID]])</f>
        <v/>
      </c>
      <c r="P1706" s="10" t="n"/>
    </row>
    <row r="1707">
      <c r="B1707">
        <f t="array" ref="B1707">_xlfn.XLOOKUP(C1707,INDIRECT("tblEquipment[Equipment ID]"),INDIRECT("tblEquipment[Production Department]"),"")</f>
        <v/>
      </c>
      <c r="D1707">
        <f t="array" ref="D1707">_xlfn.XLOOKUP(C1707,INDIRECT("tblEquipment[Equipment ID]"),INDIRECT("tblEquipment[Equipment Name]"),"")</f>
        <v/>
      </c>
      <c r="F1707" s="16" t="n"/>
      <c r="G1707" s="16" t="n"/>
      <c r="H1707" s="1">
        <f>IF(OR(F1707=0,G1707=0),"",(G1707-F1707)*24)</f>
        <v/>
      </c>
      <c r="I1707" s="10" t="n"/>
      <c r="J1707" s="1">
        <f>IF(OR(tblDowntime[[#This Row],[Failure Type]]="Sawshop",tblDowntime[[#This Row],[Failure Type]]="Electrical",tblDowntime[[#This Row],[Failure Type]]="Mechanical"),tblDowntime[[#This Row],[Downtime Hours]],"")</f>
        <v/>
      </c>
      <c r="K1707" s="10" t="n"/>
      <c r="L1707" s="10" t="n"/>
      <c r="M1707">
        <f>IF(tblDowntime[[#This Row],[Maintenance Downtime Hours]]="","",tblDowntime[[#This Row],[Equipment ID]])</f>
        <v/>
      </c>
      <c r="N1707" s="1">
        <f>IF(tblDowntime[[#This Row],[Failure Type]]="Production",tblDowntime[[#This Row],[Downtime Hours]],"")</f>
        <v/>
      </c>
      <c r="O1707">
        <f>IF(tblDowntime[[#This Row],[Production Downtime Hours]]="","",tblDowntime[[#This Row],[Equipment ID]])</f>
        <v/>
      </c>
      <c r="P1707" s="10" t="n"/>
    </row>
    <row r="1708">
      <c r="B1708">
        <f t="array" ref="B1708">_xlfn.XLOOKUP(C1708,INDIRECT("tblEquipment[Equipment ID]"),INDIRECT("tblEquipment[Production Department]"),"")</f>
        <v/>
      </c>
      <c r="D1708">
        <f t="array" ref="D1708">_xlfn.XLOOKUP(C1708,INDIRECT("tblEquipment[Equipment ID]"),INDIRECT("tblEquipment[Equipment Name]"),"")</f>
        <v/>
      </c>
      <c r="F1708" s="16" t="n"/>
      <c r="G1708" s="16" t="n"/>
      <c r="H1708" s="1">
        <f>IF(OR(F1708=0,G1708=0),"",(G1708-F1708)*24)</f>
        <v/>
      </c>
      <c r="I1708" s="10" t="n"/>
      <c r="J1708" s="1">
        <f>IF(OR(tblDowntime[[#This Row],[Failure Type]]="Sawshop",tblDowntime[[#This Row],[Failure Type]]="Electrical",tblDowntime[[#This Row],[Failure Type]]="Mechanical"),tblDowntime[[#This Row],[Downtime Hours]],"")</f>
        <v/>
      </c>
      <c r="K1708" s="10" t="n"/>
      <c r="L1708" s="10" t="n"/>
      <c r="M1708">
        <f>IF(tblDowntime[[#This Row],[Maintenance Downtime Hours]]="","",tblDowntime[[#This Row],[Equipment ID]])</f>
        <v/>
      </c>
      <c r="N1708" s="1">
        <f>IF(tblDowntime[[#This Row],[Failure Type]]="Production",tblDowntime[[#This Row],[Downtime Hours]],"")</f>
        <v/>
      </c>
      <c r="O1708">
        <f>IF(tblDowntime[[#This Row],[Production Downtime Hours]]="","",tblDowntime[[#This Row],[Equipment ID]])</f>
        <v/>
      </c>
      <c r="P1708" s="10" t="n"/>
    </row>
    <row r="1709">
      <c r="B1709">
        <f t="array" ref="B1709">_xlfn.XLOOKUP(C1709,INDIRECT("tblEquipment[Equipment ID]"),INDIRECT("tblEquipment[Production Department]"),"")</f>
        <v/>
      </c>
      <c r="D1709">
        <f t="array" ref="D1709">_xlfn.XLOOKUP(C1709,INDIRECT("tblEquipment[Equipment ID]"),INDIRECT("tblEquipment[Equipment Name]"),"")</f>
        <v/>
      </c>
      <c r="F1709" s="16" t="n"/>
      <c r="G1709" s="16" t="n"/>
      <c r="H1709" s="1">
        <f>IF(OR(F1709=0,G1709=0),"",(G1709-F1709)*24)</f>
        <v/>
      </c>
      <c r="I1709" s="10" t="n"/>
      <c r="J1709" s="1">
        <f>IF(OR(tblDowntime[[#This Row],[Failure Type]]="Sawshop",tblDowntime[[#This Row],[Failure Type]]="Electrical",tblDowntime[[#This Row],[Failure Type]]="Mechanical"),tblDowntime[[#This Row],[Downtime Hours]],"")</f>
        <v/>
      </c>
      <c r="K1709" s="10" t="n"/>
      <c r="L1709" s="10" t="n"/>
      <c r="M1709">
        <f>IF(tblDowntime[[#This Row],[Maintenance Downtime Hours]]="","",tblDowntime[[#This Row],[Equipment ID]])</f>
        <v/>
      </c>
      <c r="N1709" s="1">
        <f>IF(tblDowntime[[#This Row],[Failure Type]]="Production",tblDowntime[[#This Row],[Downtime Hours]],"")</f>
        <v/>
      </c>
      <c r="O1709">
        <f>IF(tblDowntime[[#This Row],[Production Downtime Hours]]="","",tblDowntime[[#This Row],[Equipment ID]])</f>
        <v/>
      </c>
      <c r="P1709" s="10" t="n"/>
    </row>
    <row r="1710">
      <c r="B1710">
        <f t="array" ref="B1710">_xlfn.XLOOKUP(C1710,INDIRECT("tblEquipment[Equipment ID]"),INDIRECT("tblEquipment[Production Department]"),"")</f>
        <v/>
      </c>
      <c r="D1710">
        <f t="array" ref="D1710">_xlfn.XLOOKUP(C1710,INDIRECT("tblEquipment[Equipment ID]"),INDIRECT("tblEquipment[Equipment Name]"),"")</f>
        <v/>
      </c>
      <c r="F1710" s="16" t="n"/>
      <c r="G1710" s="16" t="n"/>
      <c r="H1710" s="1">
        <f>IF(OR(F1710=0,G1710=0),"",(G1710-F1710)*24)</f>
        <v/>
      </c>
      <c r="I1710" s="10" t="n"/>
      <c r="J1710" s="1">
        <f>IF(OR(tblDowntime[[#This Row],[Failure Type]]="Sawshop",tblDowntime[[#This Row],[Failure Type]]="Electrical",tblDowntime[[#This Row],[Failure Type]]="Mechanical"),tblDowntime[[#This Row],[Downtime Hours]],"")</f>
        <v/>
      </c>
      <c r="K1710" s="10" t="n"/>
      <c r="L1710" s="10" t="n"/>
      <c r="M1710">
        <f>IF(tblDowntime[[#This Row],[Maintenance Downtime Hours]]="","",tblDowntime[[#This Row],[Equipment ID]])</f>
        <v/>
      </c>
      <c r="N1710" s="1">
        <f>IF(tblDowntime[[#This Row],[Failure Type]]="Production",tblDowntime[[#This Row],[Downtime Hours]],"")</f>
        <v/>
      </c>
      <c r="O1710">
        <f>IF(tblDowntime[[#This Row],[Production Downtime Hours]]="","",tblDowntime[[#This Row],[Equipment ID]])</f>
        <v/>
      </c>
      <c r="P1710" s="10" t="n"/>
    </row>
    <row r="1711">
      <c r="B1711">
        <f t="array" ref="B1711">_xlfn.XLOOKUP(C1711,INDIRECT("tblEquipment[Equipment ID]"),INDIRECT("tblEquipment[Production Department]"),"")</f>
        <v/>
      </c>
      <c r="D1711">
        <f t="array" ref="D1711">_xlfn.XLOOKUP(C1711,INDIRECT("tblEquipment[Equipment ID]"),INDIRECT("tblEquipment[Equipment Name]"),"")</f>
        <v/>
      </c>
      <c r="F1711" s="16" t="n"/>
      <c r="G1711" s="16" t="n"/>
      <c r="H1711" s="1">
        <f>IF(OR(F1711=0,G1711=0),"",(G1711-F1711)*24)</f>
        <v/>
      </c>
      <c r="I1711" s="10" t="n"/>
      <c r="J1711" s="1">
        <f>IF(OR(tblDowntime[[#This Row],[Failure Type]]="Sawshop",tblDowntime[[#This Row],[Failure Type]]="Electrical",tblDowntime[[#This Row],[Failure Type]]="Mechanical"),tblDowntime[[#This Row],[Downtime Hours]],"")</f>
        <v/>
      </c>
      <c r="K1711" s="10" t="n"/>
      <c r="L1711" s="10" t="n"/>
      <c r="M1711">
        <f>IF(tblDowntime[[#This Row],[Maintenance Downtime Hours]]="","",tblDowntime[[#This Row],[Equipment ID]])</f>
        <v/>
      </c>
      <c r="N1711" s="1">
        <f>IF(tblDowntime[[#This Row],[Failure Type]]="Production",tblDowntime[[#This Row],[Downtime Hours]],"")</f>
        <v/>
      </c>
      <c r="O1711">
        <f>IF(tblDowntime[[#This Row],[Production Downtime Hours]]="","",tblDowntime[[#This Row],[Equipment ID]])</f>
        <v/>
      </c>
      <c r="P1711" s="10" t="n"/>
    </row>
    <row r="1712">
      <c r="B1712">
        <f t="array" ref="B1712">_xlfn.XLOOKUP(C1712,INDIRECT("tblEquipment[Equipment ID]"),INDIRECT("tblEquipment[Production Department]"),"")</f>
        <v/>
      </c>
      <c r="D1712">
        <f t="array" ref="D1712">_xlfn.XLOOKUP(C1712,INDIRECT("tblEquipment[Equipment ID]"),INDIRECT("tblEquipment[Equipment Name]"),"")</f>
        <v/>
      </c>
      <c r="F1712" s="16" t="n"/>
      <c r="G1712" s="16" t="n"/>
      <c r="H1712" s="1">
        <f>IF(OR(F1712=0,G1712=0),"",(G1712-F1712)*24)</f>
        <v/>
      </c>
      <c r="I1712" s="10" t="n"/>
      <c r="J1712" s="1">
        <f>IF(OR(tblDowntime[[#This Row],[Failure Type]]="Sawshop",tblDowntime[[#This Row],[Failure Type]]="Electrical",tblDowntime[[#This Row],[Failure Type]]="Mechanical"),tblDowntime[[#This Row],[Downtime Hours]],"")</f>
        <v/>
      </c>
      <c r="K1712" s="10" t="n"/>
      <c r="L1712" s="10" t="n"/>
      <c r="M1712">
        <f>IF(tblDowntime[[#This Row],[Maintenance Downtime Hours]]="","",tblDowntime[[#This Row],[Equipment ID]])</f>
        <v/>
      </c>
      <c r="N1712" s="1">
        <f>IF(tblDowntime[[#This Row],[Failure Type]]="Production",tblDowntime[[#This Row],[Downtime Hours]],"")</f>
        <v/>
      </c>
      <c r="O1712">
        <f>IF(tblDowntime[[#This Row],[Production Downtime Hours]]="","",tblDowntime[[#This Row],[Equipment ID]])</f>
        <v/>
      </c>
      <c r="P1712" s="10" t="n"/>
    </row>
    <row r="1713">
      <c r="B1713">
        <f t="array" ref="B1713">_xlfn.XLOOKUP(C1713,INDIRECT("tblEquipment[Equipment ID]"),INDIRECT("tblEquipment[Production Department]"),"")</f>
        <v/>
      </c>
      <c r="D1713">
        <f t="array" ref="D1713">_xlfn.XLOOKUP(C1713,INDIRECT("tblEquipment[Equipment ID]"),INDIRECT("tblEquipment[Equipment Name]"),"")</f>
        <v/>
      </c>
      <c r="F1713" s="16" t="n"/>
      <c r="G1713" s="16" t="n"/>
      <c r="H1713" s="1">
        <f>IF(OR(F1713=0,G1713=0),"",(G1713-F1713)*24)</f>
        <v/>
      </c>
      <c r="I1713" s="10" t="n"/>
      <c r="J1713" s="1">
        <f>IF(OR(tblDowntime[[#This Row],[Failure Type]]="Sawshop",tblDowntime[[#This Row],[Failure Type]]="Electrical",tblDowntime[[#This Row],[Failure Type]]="Mechanical"),tblDowntime[[#This Row],[Downtime Hours]],"")</f>
        <v/>
      </c>
      <c r="K1713" s="10" t="n"/>
      <c r="L1713" s="10" t="n"/>
      <c r="M1713">
        <f>IF(tblDowntime[[#This Row],[Maintenance Downtime Hours]]="","",tblDowntime[[#This Row],[Equipment ID]])</f>
        <v/>
      </c>
      <c r="N1713" s="1">
        <f>IF(tblDowntime[[#This Row],[Failure Type]]="Production",tblDowntime[[#This Row],[Downtime Hours]],"")</f>
        <v/>
      </c>
      <c r="O1713">
        <f>IF(tblDowntime[[#This Row],[Production Downtime Hours]]="","",tblDowntime[[#This Row],[Equipment ID]])</f>
        <v/>
      </c>
      <c r="P1713" s="10" t="n"/>
    </row>
    <row r="1714">
      <c r="B1714">
        <f t="array" ref="B1714">_xlfn.XLOOKUP(C1714,INDIRECT("tblEquipment[Equipment ID]"),INDIRECT("tblEquipment[Production Department]"),"")</f>
        <v/>
      </c>
      <c r="D1714">
        <f t="array" ref="D1714">_xlfn.XLOOKUP(C1714,INDIRECT("tblEquipment[Equipment ID]"),INDIRECT("tblEquipment[Equipment Name]"),"")</f>
        <v/>
      </c>
      <c r="F1714" s="16" t="n"/>
      <c r="G1714" s="16" t="n"/>
      <c r="H1714" s="1">
        <f>IF(OR(F1714=0,G1714=0),"",(G1714-F1714)*24)</f>
        <v/>
      </c>
      <c r="I1714" s="10" t="n"/>
      <c r="J1714" s="1">
        <f>IF(OR(tblDowntime[[#This Row],[Failure Type]]="Sawshop",tblDowntime[[#This Row],[Failure Type]]="Electrical",tblDowntime[[#This Row],[Failure Type]]="Mechanical"),tblDowntime[[#This Row],[Downtime Hours]],"")</f>
        <v/>
      </c>
      <c r="K1714" s="10" t="n"/>
      <c r="L1714" s="10" t="n"/>
      <c r="M1714">
        <f>IF(tblDowntime[[#This Row],[Maintenance Downtime Hours]]="","",tblDowntime[[#This Row],[Equipment ID]])</f>
        <v/>
      </c>
      <c r="N1714" s="1">
        <f>IF(tblDowntime[[#This Row],[Failure Type]]="Production",tblDowntime[[#This Row],[Downtime Hours]],"")</f>
        <v/>
      </c>
      <c r="O1714">
        <f>IF(tblDowntime[[#This Row],[Production Downtime Hours]]="","",tblDowntime[[#This Row],[Equipment ID]])</f>
        <v/>
      </c>
      <c r="P1714" s="10" t="n"/>
    </row>
    <row r="1715">
      <c r="B1715">
        <f t="array" ref="B1715">_xlfn.XLOOKUP(C1715,INDIRECT("tblEquipment[Equipment ID]"),INDIRECT("tblEquipment[Production Department]"),"")</f>
        <v/>
      </c>
      <c r="D1715">
        <f t="array" ref="D1715">_xlfn.XLOOKUP(C1715,INDIRECT("tblEquipment[Equipment ID]"),INDIRECT("tblEquipment[Equipment Name]"),"")</f>
        <v/>
      </c>
      <c r="F1715" s="16" t="n"/>
      <c r="G1715" s="16" t="n"/>
      <c r="H1715" s="1">
        <f>IF(OR(F1715=0,G1715=0),"",(G1715-F1715)*24)</f>
        <v/>
      </c>
      <c r="I1715" s="10" t="n"/>
      <c r="J1715" s="1">
        <f>IF(OR(tblDowntime[[#This Row],[Failure Type]]="Sawshop",tblDowntime[[#This Row],[Failure Type]]="Electrical",tblDowntime[[#This Row],[Failure Type]]="Mechanical"),tblDowntime[[#This Row],[Downtime Hours]],"")</f>
        <v/>
      </c>
      <c r="K1715" s="10" t="n"/>
      <c r="L1715" s="10" t="n"/>
      <c r="M1715">
        <f>IF(tblDowntime[[#This Row],[Maintenance Downtime Hours]]="","",tblDowntime[[#This Row],[Equipment ID]])</f>
        <v/>
      </c>
      <c r="N1715" s="1">
        <f>IF(tblDowntime[[#This Row],[Failure Type]]="Production",tblDowntime[[#This Row],[Downtime Hours]],"")</f>
        <v/>
      </c>
      <c r="O1715">
        <f>IF(tblDowntime[[#This Row],[Production Downtime Hours]]="","",tblDowntime[[#This Row],[Equipment ID]])</f>
        <v/>
      </c>
      <c r="P1715" s="10" t="n"/>
    </row>
    <row r="1716">
      <c r="B1716">
        <f t="array" ref="B1716">_xlfn.XLOOKUP(C1716,INDIRECT("tblEquipment[Equipment ID]"),INDIRECT("tblEquipment[Production Department]"),"")</f>
        <v/>
      </c>
      <c r="D1716">
        <f t="array" ref="D1716">_xlfn.XLOOKUP(C1716,INDIRECT("tblEquipment[Equipment ID]"),INDIRECT("tblEquipment[Equipment Name]"),"")</f>
        <v/>
      </c>
      <c r="F1716" s="16" t="n"/>
      <c r="G1716" s="16" t="n"/>
      <c r="H1716" s="1">
        <f>IF(OR(F1716=0,G1716=0),"",(G1716-F1716)*24)</f>
        <v/>
      </c>
      <c r="I1716" s="10" t="n"/>
      <c r="J1716" s="1">
        <f>IF(OR(tblDowntime[[#This Row],[Failure Type]]="Sawshop",tblDowntime[[#This Row],[Failure Type]]="Electrical",tblDowntime[[#This Row],[Failure Type]]="Mechanical"),tblDowntime[[#This Row],[Downtime Hours]],"")</f>
        <v/>
      </c>
      <c r="K1716" s="10" t="n"/>
      <c r="L1716" s="10" t="n"/>
      <c r="M1716">
        <f>IF(tblDowntime[[#This Row],[Maintenance Downtime Hours]]="","",tblDowntime[[#This Row],[Equipment ID]])</f>
        <v/>
      </c>
      <c r="N1716" s="1">
        <f>IF(tblDowntime[[#This Row],[Failure Type]]="Production",tblDowntime[[#This Row],[Downtime Hours]],"")</f>
        <v/>
      </c>
      <c r="O1716">
        <f>IF(tblDowntime[[#This Row],[Production Downtime Hours]]="","",tblDowntime[[#This Row],[Equipment ID]])</f>
        <v/>
      </c>
      <c r="P1716" s="10" t="n"/>
    </row>
    <row r="1717">
      <c r="B1717">
        <f t="array" ref="B1717">_xlfn.XLOOKUP(C1717,INDIRECT("tblEquipment[Equipment ID]"),INDIRECT("tblEquipment[Production Department]"),"")</f>
        <v/>
      </c>
      <c r="D1717">
        <f t="array" ref="D1717">_xlfn.XLOOKUP(C1717,INDIRECT("tblEquipment[Equipment ID]"),INDIRECT("tblEquipment[Equipment Name]"),"")</f>
        <v/>
      </c>
      <c r="F1717" s="16" t="n"/>
      <c r="G1717" s="16" t="n"/>
      <c r="H1717" s="1">
        <f>IF(OR(F1717=0,G1717=0),"",(G1717-F1717)*24)</f>
        <v/>
      </c>
      <c r="I1717" s="10" t="n"/>
      <c r="J1717" s="1">
        <f>IF(OR(tblDowntime[[#This Row],[Failure Type]]="Sawshop",tblDowntime[[#This Row],[Failure Type]]="Electrical",tblDowntime[[#This Row],[Failure Type]]="Mechanical"),tblDowntime[[#This Row],[Downtime Hours]],"")</f>
        <v/>
      </c>
      <c r="K1717" s="10" t="n"/>
      <c r="L1717" s="10" t="n"/>
      <c r="M1717">
        <f>IF(tblDowntime[[#This Row],[Maintenance Downtime Hours]]="","",tblDowntime[[#This Row],[Equipment ID]])</f>
        <v/>
      </c>
      <c r="N1717" s="1">
        <f>IF(tblDowntime[[#This Row],[Failure Type]]="Production",tblDowntime[[#This Row],[Downtime Hours]],"")</f>
        <v/>
      </c>
      <c r="O1717">
        <f>IF(tblDowntime[[#This Row],[Production Downtime Hours]]="","",tblDowntime[[#This Row],[Equipment ID]])</f>
        <v/>
      </c>
      <c r="P1717" s="10" t="n"/>
    </row>
    <row r="1718">
      <c r="B1718">
        <f t="array" ref="B1718">_xlfn.XLOOKUP(C1718,INDIRECT("tblEquipment[Equipment ID]"),INDIRECT("tblEquipment[Production Department]"),"")</f>
        <v/>
      </c>
      <c r="D1718">
        <f t="array" ref="D1718">_xlfn.XLOOKUP(C1718,INDIRECT("tblEquipment[Equipment ID]"),INDIRECT("tblEquipment[Equipment Name]"),"")</f>
        <v/>
      </c>
      <c r="F1718" s="16" t="n"/>
      <c r="G1718" s="16" t="n"/>
      <c r="H1718" s="1">
        <f>IF(OR(F1718=0,G1718=0),"",(G1718-F1718)*24)</f>
        <v/>
      </c>
      <c r="I1718" s="10" t="n"/>
      <c r="J1718" s="1">
        <f>IF(OR(tblDowntime[[#This Row],[Failure Type]]="Sawshop",tblDowntime[[#This Row],[Failure Type]]="Electrical",tblDowntime[[#This Row],[Failure Type]]="Mechanical"),tblDowntime[[#This Row],[Downtime Hours]],"")</f>
        <v/>
      </c>
      <c r="K1718" s="10" t="n"/>
      <c r="L1718" s="10" t="n"/>
      <c r="M1718">
        <f>IF(tblDowntime[[#This Row],[Maintenance Downtime Hours]]="","",tblDowntime[[#This Row],[Equipment ID]])</f>
        <v/>
      </c>
      <c r="N1718" s="1">
        <f>IF(tblDowntime[[#This Row],[Failure Type]]="Production",tblDowntime[[#This Row],[Downtime Hours]],"")</f>
        <v/>
      </c>
      <c r="O1718">
        <f>IF(tblDowntime[[#This Row],[Production Downtime Hours]]="","",tblDowntime[[#This Row],[Equipment ID]])</f>
        <v/>
      </c>
      <c r="P1718" s="10" t="n"/>
    </row>
    <row r="1719">
      <c r="B1719">
        <f t="array" ref="B1719">_xlfn.XLOOKUP(C1719,INDIRECT("tblEquipment[Equipment ID]"),INDIRECT("tblEquipment[Production Department]"),"")</f>
        <v/>
      </c>
      <c r="D1719">
        <f t="array" ref="D1719">_xlfn.XLOOKUP(C1719,INDIRECT("tblEquipment[Equipment ID]"),INDIRECT("tblEquipment[Equipment Name]"),"")</f>
        <v/>
      </c>
      <c r="F1719" s="16" t="n"/>
      <c r="G1719" s="16" t="n"/>
      <c r="H1719" s="1">
        <f>IF(OR(F1719=0,G1719=0),"",(G1719-F1719)*24)</f>
        <v/>
      </c>
      <c r="I1719" s="10" t="n"/>
      <c r="J1719" s="1">
        <f>IF(OR(tblDowntime[[#This Row],[Failure Type]]="Sawshop",tblDowntime[[#This Row],[Failure Type]]="Electrical",tblDowntime[[#This Row],[Failure Type]]="Mechanical"),tblDowntime[[#This Row],[Downtime Hours]],"")</f>
        <v/>
      </c>
      <c r="K1719" s="10" t="n"/>
      <c r="L1719" s="10" t="n"/>
      <c r="M1719">
        <f>IF(tblDowntime[[#This Row],[Maintenance Downtime Hours]]="","",tblDowntime[[#This Row],[Equipment ID]])</f>
        <v/>
      </c>
      <c r="N1719" s="1">
        <f>IF(tblDowntime[[#This Row],[Failure Type]]="Production",tblDowntime[[#This Row],[Downtime Hours]],"")</f>
        <v/>
      </c>
      <c r="O1719">
        <f>IF(tblDowntime[[#This Row],[Production Downtime Hours]]="","",tblDowntime[[#This Row],[Equipment ID]])</f>
        <v/>
      </c>
      <c r="P1719" s="10" t="n"/>
    </row>
    <row r="1720">
      <c r="B1720">
        <f t="array" ref="B1720">_xlfn.XLOOKUP(C1720,INDIRECT("tblEquipment[Equipment ID]"),INDIRECT("tblEquipment[Production Department]"),"")</f>
        <v/>
      </c>
      <c r="D1720">
        <f t="array" ref="D1720">_xlfn.XLOOKUP(C1720,INDIRECT("tblEquipment[Equipment ID]"),INDIRECT("tblEquipment[Equipment Name]"),"")</f>
        <v/>
      </c>
      <c r="F1720" s="16" t="n"/>
      <c r="G1720" s="16" t="n"/>
      <c r="H1720" s="1">
        <f>IF(OR(F1720=0,G1720=0),"",(G1720-F1720)*24)</f>
        <v/>
      </c>
      <c r="I1720" s="10" t="n"/>
      <c r="J1720" s="1">
        <f>IF(OR(tblDowntime[[#This Row],[Failure Type]]="Sawshop",tblDowntime[[#This Row],[Failure Type]]="Electrical",tblDowntime[[#This Row],[Failure Type]]="Mechanical"),tblDowntime[[#This Row],[Downtime Hours]],"")</f>
        <v/>
      </c>
      <c r="K1720" s="10" t="n"/>
      <c r="L1720" s="10" t="n"/>
      <c r="M1720">
        <f>IF(tblDowntime[[#This Row],[Maintenance Downtime Hours]]="","",tblDowntime[[#This Row],[Equipment ID]])</f>
        <v/>
      </c>
      <c r="N1720" s="1">
        <f>IF(tblDowntime[[#This Row],[Failure Type]]="Production",tblDowntime[[#This Row],[Downtime Hours]],"")</f>
        <v/>
      </c>
      <c r="O1720">
        <f>IF(tblDowntime[[#This Row],[Production Downtime Hours]]="","",tblDowntime[[#This Row],[Equipment ID]])</f>
        <v/>
      </c>
      <c r="P1720" s="10" t="n"/>
    </row>
    <row r="1721">
      <c r="B1721">
        <f t="array" ref="B1721">_xlfn.XLOOKUP(C1721,INDIRECT("tblEquipment[Equipment ID]"),INDIRECT("tblEquipment[Production Department]"),"")</f>
        <v/>
      </c>
      <c r="D1721">
        <f t="array" ref="D1721">_xlfn.XLOOKUP(C1721,INDIRECT("tblEquipment[Equipment ID]"),INDIRECT("tblEquipment[Equipment Name]"),"")</f>
        <v/>
      </c>
      <c r="F1721" s="16" t="n"/>
      <c r="G1721" s="16" t="n"/>
      <c r="H1721" s="1">
        <f>IF(OR(F1721=0,G1721=0),"",(G1721-F1721)*24)</f>
        <v/>
      </c>
      <c r="I1721" s="10" t="n"/>
      <c r="J1721" s="1">
        <f>IF(OR(tblDowntime[[#This Row],[Failure Type]]="Sawshop",tblDowntime[[#This Row],[Failure Type]]="Electrical",tblDowntime[[#This Row],[Failure Type]]="Mechanical"),tblDowntime[[#This Row],[Downtime Hours]],"")</f>
        <v/>
      </c>
      <c r="K1721" s="10" t="n"/>
      <c r="L1721" s="10" t="n"/>
      <c r="M1721">
        <f>IF(tblDowntime[[#This Row],[Maintenance Downtime Hours]]="","",tblDowntime[[#This Row],[Equipment ID]])</f>
        <v/>
      </c>
      <c r="N1721" s="1">
        <f>IF(tblDowntime[[#This Row],[Failure Type]]="Production",tblDowntime[[#This Row],[Downtime Hours]],"")</f>
        <v/>
      </c>
      <c r="O1721">
        <f>IF(tblDowntime[[#This Row],[Production Downtime Hours]]="","",tblDowntime[[#This Row],[Equipment ID]])</f>
        <v/>
      </c>
      <c r="P1721" s="10" t="n"/>
    </row>
    <row r="1722">
      <c r="B1722">
        <f t="array" ref="B1722">_xlfn.XLOOKUP(C1722,INDIRECT("tblEquipment[Equipment ID]"),INDIRECT("tblEquipment[Production Department]"),"")</f>
        <v/>
      </c>
      <c r="D1722">
        <f t="array" ref="D1722">_xlfn.XLOOKUP(C1722,INDIRECT("tblEquipment[Equipment ID]"),INDIRECT("tblEquipment[Equipment Name]"),"")</f>
        <v/>
      </c>
      <c r="F1722" s="16" t="n"/>
      <c r="G1722" s="16" t="n"/>
      <c r="H1722" s="1">
        <f>IF(OR(F1722=0,G1722=0),"",(G1722-F1722)*24)</f>
        <v/>
      </c>
      <c r="I1722" s="10" t="n"/>
      <c r="J1722" s="1">
        <f>IF(OR(tblDowntime[[#This Row],[Failure Type]]="Sawshop",tblDowntime[[#This Row],[Failure Type]]="Electrical",tblDowntime[[#This Row],[Failure Type]]="Mechanical"),tblDowntime[[#This Row],[Downtime Hours]],"")</f>
        <v/>
      </c>
      <c r="K1722" s="10" t="n"/>
      <c r="L1722" s="10" t="n"/>
      <c r="M1722">
        <f>IF(tblDowntime[[#This Row],[Maintenance Downtime Hours]]="","",tblDowntime[[#This Row],[Equipment ID]])</f>
        <v/>
      </c>
      <c r="N1722" s="1">
        <f>IF(tblDowntime[[#This Row],[Failure Type]]="Production",tblDowntime[[#This Row],[Downtime Hours]],"")</f>
        <v/>
      </c>
      <c r="O1722">
        <f>IF(tblDowntime[[#This Row],[Production Downtime Hours]]="","",tblDowntime[[#This Row],[Equipment ID]])</f>
        <v/>
      </c>
      <c r="P1722" s="10" t="n"/>
    </row>
    <row r="1723">
      <c r="B1723">
        <f t="array" ref="B1723">_xlfn.XLOOKUP(C1723,INDIRECT("tblEquipment[Equipment ID]"),INDIRECT("tblEquipment[Production Department]"),"")</f>
        <v/>
      </c>
      <c r="D1723">
        <f t="array" ref="D1723">_xlfn.XLOOKUP(C1723,INDIRECT("tblEquipment[Equipment ID]"),INDIRECT("tblEquipment[Equipment Name]"),"")</f>
        <v/>
      </c>
      <c r="F1723" s="16" t="n"/>
      <c r="G1723" s="16" t="n"/>
      <c r="H1723" s="1">
        <f>IF(OR(F1723=0,G1723=0),"",(G1723-F1723)*24)</f>
        <v/>
      </c>
      <c r="I1723" s="10" t="n"/>
      <c r="J1723" s="1">
        <f>IF(OR(tblDowntime[[#This Row],[Failure Type]]="Sawshop",tblDowntime[[#This Row],[Failure Type]]="Electrical",tblDowntime[[#This Row],[Failure Type]]="Mechanical"),tblDowntime[[#This Row],[Downtime Hours]],"")</f>
        <v/>
      </c>
      <c r="K1723" s="10" t="n"/>
      <c r="L1723" s="10" t="n"/>
      <c r="M1723">
        <f>IF(tblDowntime[[#This Row],[Maintenance Downtime Hours]]="","",tblDowntime[[#This Row],[Equipment ID]])</f>
        <v/>
      </c>
      <c r="N1723" s="1">
        <f>IF(tblDowntime[[#This Row],[Failure Type]]="Production",tblDowntime[[#This Row],[Downtime Hours]],"")</f>
        <v/>
      </c>
      <c r="O1723">
        <f>IF(tblDowntime[[#This Row],[Production Downtime Hours]]="","",tblDowntime[[#This Row],[Equipment ID]])</f>
        <v/>
      </c>
      <c r="P1723" s="10" t="n"/>
    </row>
    <row r="1724">
      <c r="B1724">
        <f t="array" ref="B1724">_xlfn.XLOOKUP(C1724,INDIRECT("tblEquipment[Equipment ID]"),INDIRECT("tblEquipment[Production Department]"),"")</f>
        <v/>
      </c>
      <c r="D1724">
        <f t="array" ref="D1724">_xlfn.XLOOKUP(C1724,INDIRECT("tblEquipment[Equipment ID]"),INDIRECT("tblEquipment[Equipment Name]"),"")</f>
        <v/>
      </c>
      <c r="F1724" s="16" t="n"/>
      <c r="G1724" s="16" t="n"/>
      <c r="H1724" s="1">
        <f>IF(OR(F1724=0,G1724=0),"",(G1724-F1724)*24)</f>
        <v/>
      </c>
      <c r="I1724" s="10" t="n"/>
      <c r="J1724" s="1">
        <f>IF(OR(tblDowntime[[#This Row],[Failure Type]]="Sawshop",tblDowntime[[#This Row],[Failure Type]]="Electrical",tblDowntime[[#This Row],[Failure Type]]="Mechanical"),tblDowntime[[#This Row],[Downtime Hours]],"")</f>
        <v/>
      </c>
      <c r="K1724" s="10" t="n"/>
      <c r="L1724" s="10" t="n"/>
      <c r="M1724">
        <f>IF(tblDowntime[[#This Row],[Maintenance Downtime Hours]]="","",tblDowntime[[#This Row],[Equipment ID]])</f>
        <v/>
      </c>
      <c r="N1724" s="1">
        <f>IF(tblDowntime[[#This Row],[Failure Type]]="Production",tblDowntime[[#This Row],[Downtime Hours]],"")</f>
        <v/>
      </c>
      <c r="O1724">
        <f>IF(tblDowntime[[#This Row],[Production Downtime Hours]]="","",tblDowntime[[#This Row],[Equipment ID]])</f>
        <v/>
      </c>
      <c r="P1724" s="10" t="n"/>
    </row>
    <row r="1725">
      <c r="B1725">
        <f t="array" ref="B1725">_xlfn.XLOOKUP(C1725,INDIRECT("tblEquipment[Equipment ID]"),INDIRECT("tblEquipment[Production Department]"),"")</f>
        <v/>
      </c>
      <c r="D1725">
        <f t="array" ref="D1725">_xlfn.XLOOKUP(C1725,INDIRECT("tblEquipment[Equipment ID]"),INDIRECT("tblEquipment[Equipment Name]"),"")</f>
        <v/>
      </c>
      <c r="F1725" s="16" t="n"/>
      <c r="G1725" s="16" t="n"/>
      <c r="H1725" s="1">
        <f>IF(OR(F1725=0,G1725=0),"",(G1725-F1725)*24)</f>
        <v/>
      </c>
      <c r="I1725" s="10" t="n"/>
      <c r="J1725" s="1">
        <f>IF(OR(tblDowntime[[#This Row],[Failure Type]]="Sawshop",tblDowntime[[#This Row],[Failure Type]]="Electrical",tblDowntime[[#This Row],[Failure Type]]="Mechanical"),tblDowntime[[#This Row],[Downtime Hours]],"")</f>
        <v/>
      </c>
      <c r="K1725" s="10" t="n"/>
      <c r="L1725" s="10" t="n"/>
      <c r="M1725">
        <f>IF(tblDowntime[[#This Row],[Maintenance Downtime Hours]]="","",tblDowntime[[#This Row],[Equipment ID]])</f>
        <v/>
      </c>
      <c r="N1725" s="1">
        <f>IF(tblDowntime[[#This Row],[Failure Type]]="Production",tblDowntime[[#This Row],[Downtime Hours]],"")</f>
        <v/>
      </c>
      <c r="O1725">
        <f>IF(tblDowntime[[#This Row],[Production Downtime Hours]]="","",tblDowntime[[#This Row],[Equipment ID]])</f>
        <v/>
      </c>
      <c r="P1725" s="10" t="n"/>
    </row>
    <row r="1726">
      <c r="B1726">
        <f t="array" ref="B1726">_xlfn.XLOOKUP(C1726,INDIRECT("tblEquipment[Equipment ID]"),INDIRECT("tblEquipment[Production Department]"),"")</f>
        <v/>
      </c>
      <c r="D1726">
        <f t="array" ref="D1726">_xlfn.XLOOKUP(C1726,INDIRECT("tblEquipment[Equipment ID]"),INDIRECT("tblEquipment[Equipment Name]"),"")</f>
        <v/>
      </c>
      <c r="F1726" s="16" t="n"/>
      <c r="G1726" s="16" t="n"/>
      <c r="H1726" s="1">
        <f>IF(OR(F1726=0,G1726=0),"",(G1726-F1726)*24)</f>
        <v/>
      </c>
      <c r="I1726" s="10" t="n"/>
      <c r="J1726" s="1">
        <f>IF(OR(tblDowntime[[#This Row],[Failure Type]]="Sawshop",tblDowntime[[#This Row],[Failure Type]]="Electrical",tblDowntime[[#This Row],[Failure Type]]="Mechanical"),tblDowntime[[#This Row],[Downtime Hours]],"")</f>
        <v/>
      </c>
      <c r="K1726" s="10" t="n"/>
      <c r="L1726" s="10" t="n"/>
      <c r="M1726">
        <f>IF(tblDowntime[[#This Row],[Maintenance Downtime Hours]]="","",tblDowntime[[#This Row],[Equipment ID]])</f>
        <v/>
      </c>
      <c r="N1726" s="1">
        <f>IF(tblDowntime[[#This Row],[Failure Type]]="Production",tblDowntime[[#This Row],[Downtime Hours]],"")</f>
        <v/>
      </c>
      <c r="O1726">
        <f>IF(tblDowntime[[#This Row],[Production Downtime Hours]]="","",tblDowntime[[#This Row],[Equipment ID]])</f>
        <v/>
      </c>
      <c r="P1726" s="10" t="n"/>
    </row>
    <row r="1727">
      <c r="B1727">
        <f t="array" ref="B1727">_xlfn.XLOOKUP(C1727,INDIRECT("tblEquipment[Equipment ID]"),INDIRECT("tblEquipment[Production Department]"),"")</f>
        <v/>
      </c>
      <c r="D1727">
        <f t="array" ref="D1727">_xlfn.XLOOKUP(C1727,INDIRECT("tblEquipment[Equipment ID]"),INDIRECT("tblEquipment[Equipment Name]"),"")</f>
        <v/>
      </c>
      <c r="F1727" s="16" t="n"/>
      <c r="G1727" s="16" t="n"/>
      <c r="H1727" s="1">
        <f>IF(OR(F1727=0,G1727=0),"",(G1727-F1727)*24)</f>
        <v/>
      </c>
      <c r="I1727" s="10" t="n"/>
      <c r="J1727" s="1">
        <f>IF(OR(tblDowntime[[#This Row],[Failure Type]]="Sawshop",tblDowntime[[#This Row],[Failure Type]]="Electrical",tblDowntime[[#This Row],[Failure Type]]="Mechanical"),tblDowntime[[#This Row],[Downtime Hours]],"")</f>
        <v/>
      </c>
      <c r="K1727" s="10" t="n"/>
      <c r="L1727" s="10" t="n"/>
      <c r="M1727">
        <f>IF(tblDowntime[[#This Row],[Maintenance Downtime Hours]]="","",tblDowntime[[#This Row],[Equipment ID]])</f>
        <v/>
      </c>
      <c r="N1727" s="1">
        <f>IF(tblDowntime[[#This Row],[Failure Type]]="Production",tblDowntime[[#This Row],[Downtime Hours]],"")</f>
        <v/>
      </c>
      <c r="O1727">
        <f>IF(tblDowntime[[#This Row],[Production Downtime Hours]]="","",tblDowntime[[#This Row],[Equipment ID]])</f>
        <v/>
      </c>
      <c r="P1727" s="10" t="n"/>
    </row>
    <row r="1728">
      <c r="B1728">
        <f t="array" ref="B1728">_xlfn.XLOOKUP(C1728,INDIRECT("tblEquipment[Equipment ID]"),INDIRECT("tblEquipment[Production Department]"),"")</f>
        <v/>
      </c>
      <c r="D1728">
        <f t="array" ref="D1728">_xlfn.XLOOKUP(C1728,INDIRECT("tblEquipment[Equipment ID]"),INDIRECT("tblEquipment[Equipment Name]"),"")</f>
        <v/>
      </c>
      <c r="F1728" s="16" t="n"/>
      <c r="G1728" s="16" t="n"/>
      <c r="H1728" s="1">
        <f>IF(OR(F1728=0,G1728=0),"",(G1728-F1728)*24)</f>
        <v/>
      </c>
      <c r="I1728" s="10" t="n"/>
      <c r="J1728" s="1">
        <f>IF(OR(tblDowntime[[#This Row],[Failure Type]]="Sawshop",tblDowntime[[#This Row],[Failure Type]]="Electrical",tblDowntime[[#This Row],[Failure Type]]="Mechanical"),tblDowntime[[#This Row],[Downtime Hours]],"")</f>
        <v/>
      </c>
      <c r="K1728" s="10" t="n"/>
      <c r="L1728" s="10" t="n"/>
      <c r="M1728">
        <f>IF(tblDowntime[[#This Row],[Maintenance Downtime Hours]]="","",tblDowntime[[#This Row],[Equipment ID]])</f>
        <v/>
      </c>
      <c r="N1728" s="1">
        <f>IF(tblDowntime[[#This Row],[Failure Type]]="Production",tblDowntime[[#This Row],[Downtime Hours]],"")</f>
        <v/>
      </c>
      <c r="O1728">
        <f>IF(tblDowntime[[#This Row],[Production Downtime Hours]]="","",tblDowntime[[#This Row],[Equipment ID]])</f>
        <v/>
      </c>
      <c r="P1728" s="10" t="n"/>
    </row>
    <row r="1729">
      <c r="B1729">
        <f t="array" ref="B1729">_xlfn.XLOOKUP(C1729,INDIRECT("tblEquipment[Equipment ID]"),INDIRECT("tblEquipment[Production Department]"),"")</f>
        <v/>
      </c>
      <c r="D1729">
        <f t="array" ref="D1729">_xlfn.XLOOKUP(C1729,INDIRECT("tblEquipment[Equipment ID]"),INDIRECT("tblEquipment[Equipment Name]"),"")</f>
        <v/>
      </c>
      <c r="F1729" s="16" t="n"/>
      <c r="G1729" s="16" t="n"/>
      <c r="H1729" s="1">
        <f>IF(OR(F1729=0,G1729=0),"",(G1729-F1729)*24)</f>
        <v/>
      </c>
      <c r="I1729" s="10" t="n"/>
      <c r="J1729" s="1">
        <f>IF(OR(tblDowntime[[#This Row],[Failure Type]]="Sawshop",tblDowntime[[#This Row],[Failure Type]]="Electrical",tblDowntime[[#This Row],[Failure Type]]="Mechanical"),tblDowntime[[#This Row],[Downtime Hours]],"")</f>
        <v/>
      </c>
      <c r="K1729" s="10" t="n"/>
      <c r="L1729" s="10" t="n"/>
      <c r="M1729">
        <f>IF(tblDowntime[[#This Row],[Maintenance Downtime Hours]]="","",tblDowntime[[#This Row],[Equipment ID]])</f>
        <v/>
      </c>
      <c r="N1729" s="1">
        <f>IF(tblDowntime[[#This Row],[Failure Type]]="Production",tblDowntime[[#This Row],[Downtime Hours]],"")</f>
        <v/>
      </c>
      <c r="O1729">
        <f>IF(tblDowntime[[#This Row],[Production Downtime Hours]]="","",tblDowntime[[#This Row],[Equipment ID]])</f>
        <v/>
      </c>
      <c r="P1729" s="10" t="n"/>
    </row>
    <row r="1730">
      <c r="B1730">
        <f t="array" ref="B1730">_xlfn.XLOOKUP(C1730,INDIRECT("tblEquipment[Equipment ID]"),INDIRECT("tblEquipment[Production Department]"),"")</f>
        <v/>
      </c>
      <c r="D1730">
        <f t="array" ref="D1730">_xlfn.XLOOKUP(C1730,INDIRECT("tblEquipment[Equipment ID]"),INDIRECT("tblEquipment[Equipment Name]"),"")</f>
        <v/>
      </c>
      <c r="F1730" s="16" t="n"/>
      <c r="G1730" s="16" t="n"/>
      <c r="H1730" s="1">
        <f>IF(OR(F1730=0,G1730=0),"",(G1730-F1730)*24)</f>
        <v/>
      </c>
      <c r="I1730" s="10" t="n"/>
      <c r="J1730" s="1">
        <f>IF(OR(tblDowntime[[#This Row],[Failure Type]]="Sawshop",tblDowntime[[#This Row],[Failure Type]]="Electrical",tblDowntime[[#This Row],[Failure Type]]="Mechanical"),tblDowntime[[#This Row],[Downtime Hours]],"")</f>
        <v/>
      </c>
      <c r="K1730" s="10" t="n"/>
      <c r="L1730" s="10" t="n"/>
      <c r="M1730">
        <f>IF(tblDowntime[[#This Row],[Maintenance Downtime Hours]]="","",tblDowntime[[#This Row],[Equipment ID]])</f>
        <v/>
      </c>
      <c r="N1730" s="1">
        <f>IF(tblDowntime[[#This Row],[Failure Type]]="Production",tblDowntime[[#This Row],[Downtime Hours]],"")</f>
        <v/>
      </c>
      <c r="O1730">
        <f>IF(tblDowntime[[#This Row],[Production Downtime Hours]]="","",tblDowntime[[#This Row],[Equipment ID]])</f>
        <v/>
      </c>
      <c r="P1730" s="10" t="n"/>
    </row>
    <row r="1731">
      <c r="B1731">
        <f t="array" ref="B1731">_xlfn.XLOOKUP(C1731,INDIRECT("tblEquipment[Equipment ID]"),INDIRECT("tblEquipment[Production Department]"),"")</f>
        <v/>
      </c>
      <c r="D1731">
        <f t="array" ref="D1731">_xlfn.XLOOKUP(C1731,INDIRECT("tblEquipment[Equipment ID]"),INDIRECT("tblEquipment[Equipment Name]"),"")</f>
        <v/>
      </c>
      <c r="F1731" s="16" t="n"/>
      <c r="G1731" s="16" t="n"/>
      <c r="H1731" s="1">
        <f>IF(OR(F1731=0,G1731=0),"",(G1731-F1731)*24)</f>
        <v/>
      </c>
      <c r="I1731" s="10" t="n"/>
      <c r="J1731" s="1">
        <f>IF(OR(tblDowntime[[#This Row],[Failure Type]]="Sawshop",tblDowntime[[#This Row],[Failure Type]]="Electrical",tblDowntime[[#This Row],[Failure Type]]="Mechanical"),tblDowntime[[#This Row],[Downtime Hours]],"")</f>
        <v/>
      </c>
      <c r="K1731" s="10" t="n"/>
      <c r="L1731" s="10" t="n"/>
      <c r="M1731">
        <f>IF(tblDowntime[[#This Row],[Maintenance Downtime Hours]]="","",tblDowntime[[#This Row],[Equipment ID]])</f>
        <v/>
      </c>
      <c r="N1731" s="1">
        <f>IF(tblDowntime[[#This Row],[Failure Type]]="Production",tblDowntime[[#This Row],[Downtime Hours]],"")</f>
        <v/>
      </c>
      <c r="O1731">
        <f>IF(tblDowntime[[#This Row],[Production Downtime Hours]]="","",tblDowntime[[#This Row],[Equipment ID]])</f>
        <v/>
      </c>
      <c r="P1731" s="10" t="n"/>
    </row>
    <row r="1732">
      <c r="B1732">
        <f t="array" ref="B1732">_xlfn.XLOOKUP(C1732,INDIRECT("tblEquipment[Equipment ID]"),INDIRECT("tblEquipment[Production Department]"),"")</f>
        <v/>
      </c>
      <c r="D1732">
        <f t="array" ref="D1732">_xlfn.XLOOKUP(C1732,INDIRECT("tblEquipment[Equipment ID]"),INDIRECT("tblEquipment[Equipment Name]"),"")</f>
        <v/>
      </c>
      <c r="F1732" s="16" t="n"/>
      <c r="G1732" s="16" t="n"/>
      <c r="H1732" s="1">
        <f>IF(OR(F1732=0,G1732=0),"",(G1732-F1732)*24)</f>
        <v/>
      </c>
      <c r="I1732" s="10" t="n"/>
      <c r="J1732" s="1">
        <f>IF(OR(tblDowntime[[#This Row],[Failure Type]]="Sawshop",tblDowntime[[#This Row],[Failure Type]]="Electrical",tblDowntime[[#This Row],[Failure Type]]="Mechanical"),tblDowntime[[#This Row],[Downtime Hours]],"")</f>
        <v/>
      </c>
      <c r="K1732" s="10" t="n"/>
      <c r="L1732" s="10" t="n"/>
      <c r="M1732">
        <f>IF(tblDowntime[[#This Row],[Maintenance Downtime Hours]]="","",tblDowntime[[#This Row],[Equipment ID]])</f>
        <v/>
      </c>
      <c r="N1732" s="1">
        <f>IF(tblDowntime[[#This Row],[Failure Type]]="Production",tblDowntime[[#This Row],[Downtime Hours]],"")</f>
        <v/>
      </c>
      <c r="O1732">
        <f>IF(tblDowntime[[#This Row],[Production Downtime Hours]]="","",tblDowntime[[#This Row],[Equipment ID]])</f>
        <v/>
      </c>
      <c r="P1732" s="10" t="n"/>
    </row>
    <row r="1733">
      <c r="B1733">
        <f t="array" ref="B1733">_xlfn.XLOOKUP(C1733,INDIRECT("tblEquipment[Equipment ID]"),INDIRECT("tblEquipment[Production Department]"),"")</f>
        <v/>
      </c>
      <c r="D1733">
        <f t="array" ref="D1733">_xlfn.XLOOKUP(C1733,INDIRECT("tblEquipment[Equipment ID]"),INDIRECT("tblEquipment[Equipment Name]"),"")</f>
        <v/>
      </c>
      <c r="F1733" s="16" t="n"/>
      <c r="G1733" s="16" t="n"/>
      <c r="H1733" s="1">
        <f>IF(OR(F1733=0,G1733=0),"",(G1733-F1733)*24)</f>
        <v/>
      </c>
      <c r="I1733" s="10" t="n"/>
      <c r="J1733" s="1">
        <f>IF(OR(tblDowntime[[#This Row],[Failure Type]]="Sawshop",tblDowntime[[#This Row],[Failure Type]]="Electrical",tblDowntime[[#This Row],[Failure Type]]="Mechanical"),tblDowntime[[#This Row],[Downtime Hours]],"")</f>
        <v/>
      </c>
      <c r="K1733" s="10" t="n"/>
      <c r="L1733" s="10" t="n"/>
      <c r="M1733">
        <f>IF(tblDowntime[[#This Row],[Maintenance Downtime Hours]]="","",tblDowntime[[#This Row],[Equipment ID]])</f>
        <v/>
      </c>
      <c r="N1733" s="1">
        <f>IF(tblDowntime[[#This Row],[Failure Type]]="Production",tblDowntime[[#This Row],[Downtime Hours]],"")</f>
        <v/>
      </c>
      <c r="O1733">
        <f>IF(tblDowntime[[#This Row],[Production Downtime Hours]]="","",tblDowntime[[#This Row],[Equipment ID]])</f>
        <v/>
      </c>
      <c r="P1733" s="10" t="n"/>
    </row>
    <row r="1734">
      <c r="B1734">
        <f t="array" ref="B1734">_xlfn.XLOOKUP(C1734,INDIRECT("tblEquipment[Equipment ID]"),INDIRECT("tblEquipment[Production Department]"),"")</f>
        <v/>
      </c>
      <c r="D1734">
        <f t="array" ref="D1734">_xlfn.XLOOKUP(C1734,INDIRECT("tblEquipment[Equipment ID]"),INDIRECT("tblEquipment[Equipment Name]"),"")</f>
        <v/>
      </c>
      <c r="F1734" s="16" t="n"/>
      <c r="G1734" s="16" t="n"/>
      <c r="H1734" s="1">
        <f>IF(OR(F1734=0,G1734=0),"",(G1734-F1734)*24)</f>
        <v/>
      </c>
      <c r="I1734" s="10" t="n"/>
      <c r="J1734" s="1">
        <f>IF(OR(tblDowntime[[#This Row],[Failure Type]]="Sawshop",tblDowntime[[#This Row],[Failure Type]]="Electrical",tblDowntime[[#This Row],[Failure Type]]="Mechanical"),tblDowntime[[#This Row],[Downtime Hours]],"")</f>
        <v/>
      </c>
      <c r="K1734" s="10" t="n"/>
      <c r="L1734" s="10" t="n"/>
      <c r="M1734">
        <f>IF(tblDowntime[[#This Row],[Maintenance Downtime Hours]]="","",tblDowntime[[#This Row],[Equipment ID]])</f>
        <v/>
      </c>
      <c r="N1734" s="1">
        <f>IF(tblDowntime[[#This Row],[Failure Type]]="Production",tblDowntime[[#This Row],[Downtime Hours]],"")</f>
        <v/>
      </c>
      <c r="O1734">
        <f>IF(tblDowntime[[#This Row],[Production Downtime Hours]]="","",tblDowntime[[#This Row],[Equipment ID]])</f>
        <v/>
      </c>
      <c r="P1734" s="10" t="n"/>
    </row>
    <row r="1735">
      <c r="B1735">
        <f t="array" ref="B1735">_xlfn.XLOOKUP(C1735,INDIRECT("tblEquipment[Equipment ID]"),INDIRECT("tblEquipment[Production Department]"),"")</f>
        <v/>
      </c>
      <c r="D1735">
        <f t="array" ref="D1735">_xlfn.XLOOKUP(C1735,INDIRECT("tblEquipment[Equipment ID]"),INDIRECT("tblEquipment[Equipment Name]"),"")</f>
        <v/>
      </c>
      <c r="F1735" s="16" t="n"/>
      <c r="G1735" s="16" t="n"/>
      <c r="H1735" s="1">
        <f>IF(OR(F1735=0,G1735=0),"",(G1735-F1735)*24)</f>
        <v/>
      </c>
      <c r="I1735" s="10" t="n"/>
      <c r="J1735" s="1">
        <f>IF(OR(tblDowntime[[#This Row],[Failure Type]]="Sawshop",tblDowntime[[#This Row],[Failure Type]]="Electrical",tblDowntime[[#This Row],[Failure Type]]="Mechanical"),tblDowntime[[#This Row],[Downtime Hours]],"")</f>
        <v/>
      </c>
      <c r="K1735" s="10" t="n"/>
      <c r="L1735" s="10" t="n"/>
      <c r="M1735">
        <f>IF(tblDowntime[[#This Row],[Maintenance Downtime Hours]]="","",tblDowntime[[#This Row],[Equipment ID]])</f>
        <v/>
      </c>
      <c r="N1735" s="1">
        <f>IF(tblDowntime[[#This Row],[Failure Type]]="Production",tblDowntime[[#This Row],[Downtime Hours]],"")</f>
        <v/>
      </c>
      <c r="O1735">
        <f>IF(tblDowntime[[#This Row],[Production Downtime Hours]]="","",tblDowntime[[#This Row],[Equipment ID]])</f>
        <v/>
      </c>
      <c r="P1735" s="10" t="n"/>
    </row>
    <row r="1736">
      <c r="B1736">
        <f t="array" ref="B1736">_xlfn.XLOOKUP(C1736,INDIRECT("tblEquipment[Equipment ID]"),INDIRECT("tblEquipment[Production Department]"),"")</f>
        <v/>
      </c>
      <c r="D1736">
        <f t="array" ref="D1736">_xlfn.XLOOKUP(C1736,INDIRECT("tblEquipment[Equipment ID]"),INDIRECT("tblEquipment[Equipment Name]"),"")</f>
        <v/>
      </c>
      <c r="F1736" s="16" t="n"/>
      <c r="G1736" s="16" t="n"/>
      <c r="H1736" s="1">
        <f>IF(OR(F1736=0,G1736=0),"",(G1736-F1736)*24)</f>
        <v/>
      </c>
      <c r="I1736" s="10" t="n"/>
      <c r="J1736" s="1">
        <f>IF(OR(tblDowntime[[#This Row],[Failure Type]]="Sawshop",tblDowntime[[#This Row],[Failure Type]]="Electrical",tblDowntime[[#This Row],[Failure Type]]="Mechanical"),tblDowntime[[#This Row],[Downtime Hours]],"")</f>
        <v/>
      </c>
      <c r="K1736" s="10" t="n"/>
      <c r="L1736" s="10" t="n"/>
      <c r="M1736">
        <f>IF(tblDowntime[[#This Row],[Maintenance Downtime Hours]]="","",tblDowntime[[#This Row],[Equipment ID]])</f>
        <v/>
      </c>
      <c r="N1736" s="1">
        <f>IF(tblDowntime[[#This Row],[Failure Type]]="Production",tblDowntime[[#This Row],[Downtime Hours]],"")</f>
        <v/>
      </c>
      <c r="O1736">
        <f>IF(tblDowntime[[#This Row],[Production Downtime Hours]]="","",tblDowntime[[#This Row],[Equipment ID]])</f>
        <v/>
      </c>
      <c r="P1736" s="10" t="n"/>
    </row>
    <row r="1737">
      <c r="B1737">
        <f t="array" ref="B1737">_xlfn.XLOOKUP(C1737,INDIRECT("tblEquipment[Equipment ID]"),INDIRECT("tblEquipment[Production Department]"),"")</f>
        <v/>
      </c>
      <c r="D1737">
        <f t="array" ref="D1737">_xlfn.XLOOKUP(C1737,INDIRECT("tblEquipment[Equipment ID]"),INDIRECT("tblEquipment[Equipment Name]"),"")</f>
        <v/>
      </c>
      <c r="F1737" s="16" t="n"/>
      <c r="G1737" s="16" t="n"/>
      <c r="H1737" s="1">
        <f>IF(OR(F1737=0,G1737=0),"",(G1737-F1737)*24)</f>
        <v/>
      </c>
      <c r="I1737" s="10" t="n"/>
      <c r="J1737" s="1">
        <f>IF(OR(tblDowntime[[#This Row],[Failure Type]]="Sawshop",tblDowntime[[#This Row],[Failure Type]]="Electrical",tblDowntime[[#This Row],[Failure Type]]="Mechanical"),tblDowntime[[#This Row],[Downtime Hours]],"")</f>
        <v/>
      </c>
      <c r="K1737" s="10" t="n"/>
      <c r="L1737" s="10" t="n"/>
      <c r="M1737">
        <f>IF(tblDowntime[[#This Row],[Maintenance Downtime Hours]]="","",tblDowntime[[#This Row],[Equipment ID]])</f>
        <v/>
      </c>
      <c r="N1737" s="1">
        <f>IF(tblDowntime[[#This Row],[Failure Type]]="Production",tblDowntime[[#This Row],[Downtime Hours]],"")</f>
        <v/>
      </c>
      <c r="O1737">
        <f>IF(tblDowntime[[#This Row],[Production Downtime Hours]]="","",tblDowntime[[#This Row],[Equipment ID]])</f>
        <v/>
      </c>
      <c r="P1737" s="10" t="n"/>
    </row>
    <row r="1738">
      <c r="B1738">
        <f t="array" ref="B1738">_xlfn.XLOOKUP(C1738,INDIRECT("tblEquipment[Equipment ID]"),INDIRECT("tblEquipment[Production Department]"),"")</f>
        <v/>
      </c>
      <c r="D1738">
        <f t="array" ref="D1738">_xlfn.XLOOKUP(C1738,INDIRECT("tblEquipment[Equipment ID]"),INDIRECT("tblEquipment[Equipment Name]"),"")</f>
        <v/>
      </c>
      <c r="F1738" s="16" t="n"/>
      <c r="G1738" s="16" t="n"/>
      <c r="H1738" s="1">
        <f>IF(OR(F1738=0,G1738=0),"",(G1738-F1738)*24)</f>
        <v/>
      </c>
      <c r="I1738" s="10" t="n"/>
      <c r="J1738" s="1">
        <f>IF(OR(tblDowntime[[#This Row],[Failure Type]]="Sawshop",tblDowntime[[#This Row],[Failure Type]]="Electrical",tblDowntime[[#This Row],[Failure Type]]="Mechanical"),tblDowntime[[#This Row],[Downtime Hours]],"")</f>
        <v/>
      </c>
      <c r="K1738" s="10" t="n"/>
      <c r="L1738" s="10" t="n"/>
      <c r="M1738">
        <f>IF(tblDowntime[[#This Row],[Maintenance Downtime Hours]]="","",tblDowntime[[#This Row],[Equipment ID]])</f>
        <v/>
      </c>
      <c r="N1738" s="1">
        <f>IF(tblDowntime[[#This Row],[Failure Type]]="Production",tblDowntime[[#This Row],[Downtime Hours]],"")</f>
        <v/>
      </c>
      <c r="O1738">
        <f>IF(tblDowntime[[#This Row],[Production Downtime Hours]]="","",tblDowntime[[#This Row],[Equipment ID]])</f>
        <v/>
      </c>
      <c r="P1738" s="10" t="n"/>
    </row>
    <row r="1739">
      <c r="B1739">
        <f t="array" ref="B1739">_xlfn.XLOOKUP(C1739,INDIRECT("tblEquipment[Equipment ID]"),INDIRECT("tblEquipment[Production Department]"),"")</f>
        <v/>
      </c>
      <c r="D1739">
        <f t="array" ref="D1739">_xlfn.XLOOKUP(C1739,INDIRECT("tblEquipment[Equipment ID]"),INDIRECT("tblEquipment[Equipment Name]"),"")</f>
        <v/>
      </c>
      <c r="F1739" s="16" t="n"/>
      <c r="G1739" s="16" t="n"/>
      <c r="H1739" s="1">
        <f>IF(OR(F1739=0,G1739=0),"",(G1739-F1739)*24)</f>
        <v/>
      </c>
      <c r="I1739" s="10" t="n"/>
      <c r="J1739" s="1">
        <f>IF(OR(tblDowntime[[#This Row],[Failure Type]]="Sawshop",tblDowntime[[#This Row],[Failure Type]]="Electrical",tblDowntime[[#This Row],[Failure Type]]="Mechanical"),tblDowntime[[#This Row],[Downtime Hours]],"")</f>
        <v/>
      </c>
      <c r="K1739" s="10" t="n"/>
      <c r="L1739" s="10" t="n"/>
      <c r="M1739">
        <f>IF(tblDowntime[[#This Row],[Maintenance Downtime Hours]]="","",tblDowntime[[#This Row],[Equipment ID]])</f>
        <v/>
      </c>
      <c r="N1739" s="1">
        <f>IF(tblDowntime[[#This Row],[Failure Type]]="Production",tblDowntime[[#This Row],[Downtime Hours]],"")</f>
        <v/>
      </c>
      <c r="O1739">
        <f>IF(tblDowntime[[#This Row],[Production Downtime Hours]]="","",tblDowntime[[#This Row],[Equipment ID]])</f>
        <v/>
      </c>
      <c r="P1739" s="10" t="n"/>
    </row>
    <row r="1740">
      <c r="B1740">
        <f t="array" ref="B1740">_xlfn.XLOOKUP(C1740,INDIRECT("tblEquipment[Equipment ID]"),INDIRECT("tblEquipment[Production Department]"),"")</f>
        <v/>
      </c>
      <c r="D1740">
        <f t="array" ref="D1740">_xlfn.XLOOKUP(C1740,INDIRECT("tblEquipment[Equipment ID]"),INDIRECT("tblEquipment[Equipment Name]"),"")</f>
        <v/>
      </c>
      <c r="F1740" s="16" t="n"/>
      <c r="G1740" s="16" t="n"/>
      <c r="H1740" s="1">
        <f>IF(OR(F1740=0,G1740=0),"",(G1740-F1740)*24)</f>
        <v/>
      </c>
      <c r="I1740" s="10" t="n"/>
      <c r="J1740" s="1">
        <f>IF(OR(tblDowntime[[#This Row],[Failure Type]]="Sawshop",tblDowntime[[#This Row],[Failure Type]]="Electrical",tblDowntime[[#This Row],[Failure Type]]="Mechanical"),tblDowntime[[#This Row],[Downtime Hours]],"")</f>
        <v/>
      </c>
      <c r="K1740" s="10" t="n"/>
      <c r="L1740" s="10" t="n"/>
      <c r="M1740">
        <f>IF(tblDowntime[[#This Row],[Maintenance Downtime Hours]]="","",tblDowntime[[#This Row],[Equipment ID]])</f>
        <v/>
      </c>
      <c r="N1740" s="1">
        <f>IF(tblDowntime[[#This Row],[Failure Type]]="Production",tblDowntime[[#This Row],[Downtime Hours]],"")</f>
        <v/>
      </c>
      <c r="O1740">
        <f>IF(tblDowntime[[#This Row],[Production Downtime Hours]]="","",tblDowntime[[#This Row],[Equipment ID]])</f>
        <v/>
      </c>
      <c r="P1740" s="10" t="n"/>
    </row>
    <row r="1741">
      <c r="B1741">
        <f t="array" ref="B1741">_xlfn.XLOOKUP(C1741,INDIRECT("tblEquipment[Equipment ID]"),INDIRECT("tblEquipment[Production Department]"),"")</f>
        <v/>
      </c>
      <c r="D1741">
        <f t="array" ref="D1741">_xlfn.XLOOKUP(C1741,INDIRECT("tblEquipment[Equipment ID]"),INDIRECT("tblEquipment[Equipment Name]"),"")</f>
        <v/>
      </c>
      <c r="F1741" s="16" t="n"/>
      <c r="G1741" s="16" t="n"/>
      <c r="H1741" s="1">
        <f>IF(OR(F1741=0,G1741=0),"",(G1741-F1741)*24)</f>
        <v/>
      </c>
      <c r="I1741" s="10" t="n"/>
      <c r="J1741" s="1">
        <f>IF(OR(tblDowntime[[#This Row],[Failure Type]]="Sawshop",tblDowntime[[#This Row],[Failure Type]]="Electrical",tblDowntime[[#This Row],[Failure Type]]="Mechanical"),tblDowntime[[#This Row],[Downtime Hours]],"")</f>
        <v/>
      </c>
      <c r="K1741" s="10" t="n"/>
      <c r="L1741" s="10" t="n"/>
      <c r="M1741">
        <f>IF(tblDowntime[[#This Row],[Maintenance Downtime Hours]]="","",tblDowntime[[#This Row],[Equipment ID]])</f>
        <v/>
      </c>
      <c r="N1741" s="1">
        <f>IF(tblDowntime[[#This Row],[Failure Type]]="Production",tblDowntime[[#This Row],[Downtime Hours]],"")</f>
        <v/>
      </c>
      <c r="O1741">
        <f>IF(tblDowntime[[#This Row],[Production Downtime Hours]]="","",tblDowntime[[#This Row],[Equipment ID]])</f>
        <v/>
      </c>
      <c r="P1741" s="10" t="n"/>
    </row>
    <row r="1742">
      <c r="B1742">
        <f t="array" ref="B1742">_xlfn.XLOOKUP(C1742,INDIRECT("tblEquipment[Equipment ID]"),INDIRECT("tblEquipment[Production Department]"),"")</f>
        <v/>
      </c>
      <c r="D1742">
        <f t="array" ref="D1742">_xlfn.XLOOKUP(C1742,INDIRECT("tblEquipment[Equipment ID]"),INDIRECT("tblEquipment[Equipment Name]"),"")</f>
        <v/>
      </c>
      <c r="F1742" s="16" t="n"/>
      <c r="G1742" s="16" t="n"/>
      <c r="H1742" s="1">
        <f>IF(OR(F1742=0,G1742=0),"",(G1742-F1742)*24)</f>
        <v/>
      </c>
      <c r="I1742" s="10" t="n"/>
      <c r="J1742" s="1">
        <f>IF(OR(tblDowntime[[#This Row],[Failure Type]]="Sawshop",tblDowntime[[#This Row],[Failure Type]]="Electrical",tblDowntime[[#This Row],[Failure Type]]="Mechanical"),tblDowntime[[#This Row],[Downtime Hours]],"")</f>
        <v/>
      </c>
      <c r="K1742" s="10" t="n"/>
      <c r="L1742" s="10" t="n"/>
      <c r="M1742">
        <f>IF(tblDowntime[[#This Row],[Maintenance Downtime Hours]]="","",tblDowntime[[#This Row],[Equipment ID]])</f>
        <v/>
      </c>
      <c r="N1742" s="1">
        <f>IF(tblDowntime[[#This Row],[Failure Type]]="Production",tblDowntime[[#This Row],[Downtime Hours]],"")</f>
        <v/>
      </c>
      <c r="O1742">
        <f>IF(tblDowntime[[#This Row],[Production Downtime Hours]]="","",tblDowntime[[#This Row],[Equipment ID]])</f>
        <v/>
      </c>
      <c r="P1742" s="10" t="n"/>
    </row>
    <row r="1743">
      <c r="B1743">
        <f t="array" ref="B1743">_xlfn.XLOOKUP(C1743,INDIRECT("tblEquipment[Equipment ID]"),INDIRECT("tblEquipment[Production Department]"),"")</f>
        <v/>
      </c>
      <c r="D1743">
        <f t="array" ref="D1743">_xlfn.XLOOKUP(C1743,INDIRECT("tblEquipment[Equipment ID]"),INDIRECT("tblEquipment[Equipment Name]"),"")</f>
        <v/>
      </c>
      <c r="F1743" s="16" t="n"/>
      <c r="G1743" s="16" t="n"/>
      <c r="H1743" s="1">
        <f>IF(OR(F1743=0,G1743=0),"",(G1743-F1743)*24)</f>
        <v/>
      </c>
      <c r="I1743" s="10" t="n"/>
      <c r="J1743" s="1">
        <f>IF(OR(tblDowntime[[#This Row],[Failure Type]]="Sawshop",tblDowntime[[#This Row],[Failure Type]]="Electrical",tblDowntime[[#This Row],[Failure Type]]="Mechanical"),tblDowntime[[#This Row],[Downtime Hours]],"")</f>
        <v/>
      </c>
      <c r="K1743" s="10" t="n"/>
      <c r="L1743" s="10" t="n"/>
      <c r="M1743">
        <f>IF(tblDowntime[[#This Row],[Maintenance Downtime Hours]]="","",tblDowntime[[#This Row],[Equipment ID]])</f>
        <v/>
      </c>
      <c r="N1743" s="1">
        <f>IF(tblDowntime[[#This Row],[Failure Type]]="Production",tblDowntime[[#This Row],[Downtime Hours]],"")</f>
        <v/>
      </c>
      <c r="O1743">
        <f>IF(tblDowntime[[#This Row],[Production Downtime Hours]]="","",tblDowntime[[#This Row],[Equipment ID]])</f>
        <v/>
      </c>
      <c r="P1743" s="10" t="n"/>
    </row>
    <row r="1744">
      <c r="B1744">
        <f t="array" ref="B1744">_xlfn.XLOOKUP(C1744,INDIRECT("tblEquipment[Equipment ID]"),INDIRECT("tblEquipment[Production Department]"),"")</f>
        <v/>
      </c>
      <c r="D1744">
        <f t="array" ref="D1744">_xlfn.XLOOKUP(C1744,INDIRECT("tblEquipment[Equipment ID]"),INDIRECT("tblEquipment[Equipment Name]"),"")</f>
        <v/>
      </c>
      <c r="F1744" s="16" t="n"/>
      <c r="G1744" s="16" t="n"/>
      <c r="H1744" s="1">
        <f>IF(OR(F1744=0,G1744=0),"",(G1744-F1744)*24)</f>
        <v/>
      </c>
      <c r="I1744" s="10" t="n"/>
      <c r="J1744" s="1">
        <f>IF(OR(tblDowntime[[#This Row],[Failure Type]]="Sawshop",tblDowntime[[#This Row],[Failure Type]]="Electrical",tblDowntime[[#This Row],[Failure Type]]="Mechanical"),tblDowntime[[#This Row],[Downtime Hours]],"")</f>
        <v/>
      </c>
      <c r="K1744" s="10" t="n"/>
      <c r="L1744" s="10" t="n"/>
      <c r="M1744">
        <f>IF(tblDowntime[[#This Row],[Maintenance Downtime Hours]]="","",tblDowntime[[#This Row],[Equipment ID]])</f>
        <v/>
      </c>
      <c r="N1744" s="1">
        <f>IF(tblDowntime[[#This Row],[Failure Type]]="Production",tblDowntime[[#This Row],[Downtime Hours]],"")</f>
        <v/>
      </c>
      <c r="O1744">
        <f>IF(tblDowntime[[#This Row],[Production Downtime Hours]]="","",tblDowntime[[#This Row],[Equipment ID]])</f>
        <v/>
      </c>
      <c r="P1744" s="10" t="n"/>
    </row>
    <row r="1745">
      <c r="B1745">
        <f t="array" ref="B1745">_xlfn.XLOOKUP(C1745,INDIRECT("tblEquipment[Equipment ID]"),INDIRECT("tblEquipment[Production Department]"),"")</f>
        <v/>
      </c>
      <c r="D1745">
        <f t="array" ref="D1745">_xlfn.XLOOKUP(C1745,INDIRECT("tblEquipment[Equipment ID]"),INDIRECT("tblEquipment[Equipment Name]"),"")</f>
        <v/>
      </c>
      <c r="F1745" s="16" t="n"/>
      <c r="G1745" s="16" t="n"/>
      <c r="H1745" s="1">
        <f>IF(OR(F1745=0,G1745=0),"",(G1745-F1745)*24)</f>
        <v/>
      </c>
      <c r="I1745" s="10" t="n"/>
      <c r="J1745" s="1">
        <f>IF(OR(tblDowntime[[#This Row],[Failure Type]]="Sawshop",tblDowntime[[#This Row],[Failure Type]]="Electrical",tblDowntime[[#This Row],[Failure Type]]="Mechanical"),tblDowntime[[#This Row],[Downtime Hours]],"")</f>
        <v/>
      </c>
      <c r="K1745" s="10" t="n"/>
      <c r="L1745" s="10" t="n"/>
      <c r="M1745">
        <f>IF(tblDowntime[[#This Row],[Maintenance Downtime Hours]]="","",tblDowntime[[#This Row],[Equipment ID]])</f>
        <v/>
      </c>
      <c r="N1745" s="1">
        <f>IF(tblDowntime[[#This Row],[Failure Type]]="Production",tblDowntime[[#This Row],[Downtime Hours]],"")</f>
        <v/>
      </c>
      <c r="O1745">
        <f>IF(tblDowntime[[#This Row],[Production Downtime Hours]]="","",tblDowntime[[#This Row],[Equipment ID]])</f>
        <v/>
      </c>
      <c r="P1745" s="10" t="n"/>
    </row>
    <row r="1746">
      <c r="B1746">
        <f t="array" ref="B1746">_xlfn.XLOOKUP(C1746,INDIRECT("tblEquipment[Equipment ID]"),INDIRECT("tblEquipment[Production Department]"),"")</f>
        <v/>
      </c>
      <c r="D1746">
        <f t="array" ref="D1746">_xlfn.XLOOKUP(C1746,INDIRECT("tblEquipment[Equipment ID]"),INDIRECT("tblEquipment[Equipment Name]"),"")</f>
        <v/>
      </c>
      <c r="F1746" s="16" t="n"/>
      <c r="G1746" s="16" t="n"/>
      <c r="H1746" s="1">
        <f>IF(OR(F1746=0,G1746=0),"",(G1746-F1746)*24)</f>
        <v/>
      </c>
      <c r="I1746" s="10" t="n"/>
      <c r="J1746" s="1">
        <f>IF(OR(tblDowntime[[#This Row],[Failure Type]]="Sawshop",tblDowntime[[#This Row],[Failure Type]]="Electrical",tblDowntime[[#This Row],[Failure Type]]="Mechanical"),tblDowntime[[#This Row],[Downtime Hours]],"")</f>
        <v/>
      </c>
      <c r="K1746" s="10" t="n"/>
      <c r="L1746" s="10" t="n"/>
      <c r="M1746">
        <f>IF(tblDowntime[[#This Row],[Maintenance Downtime Hours]]="","",tblDowntime[[#This Row],[Equipment ID]])</f>
        <v/>
      </c>
      <c r="N1746" s="1">
        <f>IF(tblDowntime[[#This Row],[Failure Type]]="Production",tblDowntime[[#This Row],[Downtime Hours]],"")</f>
        <v/>
      </c>
      <c r="O1746">
        <f>IF(tblDowntime[[#This Row],[Production Downtime Hours]]="","",tblDowntime[[#This Row],[Equipment ID]])</f>
        <v/>
      </c>
      <c r="P1746" s="10" t="n"/>
    </row>
    <row r="1747">
      <c r="B1747">
        <f t="array" ref="B1747">_xlfn.XLOOKUP(C1747,INDIRECT("tblEquipment[Equipment ID]"),INDIRECT("tblEquipment[Production Department]"),"")</f>
        <v/>
      </c>
      <c r="D1747">
        <f t="array" ref="D1747">_xlfn.XLOOKUP(C1747,INDIRECT("tblEquipment[Equipment ID]"),INDIRECT("tblEquipment[Equipment Name]"),"")</f>
        <v/>
      </c>
      <c r="F1747" s="16" t="n"/>
      <c r="G1747" s="16" t="n"/>
      <c r="H1747" s="1">
        <f>IF(OR(F1747=0,G1747=0),"",(G1747-F1747)*24)</f>
        <v/>
      </c>
      <c r="I1747" s="10" t="n"/>
      <c r="J1747" s="1">
        <f>IF(OR(tblDowntime[[#This Row],[Failure Type]]="Sawshop",tblDowntime[[#This Row],[Failure Type]]="Electrical",tblDowntime[[#This Row],[Failure Type]]="Mechanical"),tblDowntime[[#This Row],[Downtime Hours]],"")</f>
        <v/>
      </c>
      <c r="K1747" s="10" t="n"/>
      <c r="L1747" s="10" t="n"/>
      <c r="M1747">
        <f>IF(tblDowntime[[#This Row],[Maintenance Downtime Hours]]="","",tblDowntime[[#This Row],[Equipment ID]])</f>
        <v/>
      </c>
      <c r="N1747" s="1">
        <f>IF(tblDowntime[[#This Row],[Failure Type]]="Production",tblDowntime[[#This Row],[Downtime Hours]],"")</f>
        <v/>
      </c>
      <c r="O1747">
        <f>IF(tblDowntime[[#This Row],[Production Downtime Hours]]="","",tblDowntime[[#This Row],[Equipment ID]])</f>
        <v/>
      </c>
      <c r="P1747" s="10" t="n"/>
    </row>
    <row r="1748">
      <c r="B1748">
        <f t="array" ref="B1748">_xlfn.XLOOKUP(C1748,INDIRECT("tblEquipment[Equipment ID]"),INDIRECT("tblEquipment[Production Department]"),"")</f>
        <v/>
      </c>
      <c r="D1748">
        <f t="array" ref="D1748">_xlfn.XLOOKUP(C1748,INDIRECT("tblEquipment[Equipment ID]"),INDIRECT("tblEquipment[Equipment Name]"),"")</f>
        <v/>
      </c>
      <c r="F1748" s="16" t="n"/>
      <c r="G1748" s="16" t="n"/>
      <c r="H1748" s="1">
        <f>IF(OR(F1748=0,G1748=0),"",(G1748-F1748)*24)</f>
        <v/>
      </c>
      <c r="I1748" s="10" t="n"/>
      <c r="J1748" s="1">
        <f>IF(OR(tblDowntime[[#This Row],[Failure Type]]="Sawshop",tblDowntime[[#This Row],[Failure Type]]="Electrical",tblDowntime[[#This Row],[Failure Type]]="Mechanical"),tblDowntime[[#This Row],[Downtime Hours]],"")</f>
        <v/>
      </c>
      <c r="K1748" s="10" t="n"/>
      <c r="L1748" s="10" t="n"/>
      <c r="M1748">
        <f>IF(tblDowntime[[#This Row],[Maintenance Downtime Hours]]="","",tblDowntime[[#This Row],[Equipment ID]])</f>
        <v/>
      </c>
      <c r="N1748" s="1">
        <f>IF(tblDowntime[[#This Row],[Failure Type]]="Production",tblDowntime[[#This Row],[Downtime Hours]],"")</f>
        <v/>
      </c>
      <c r="O1748">
        <f>IF(tblDowntime[[#This Row],[Production Downtime Hours]]="","",tblDowntime[[#This Row],[Equipment ID]])</f>
        <v/>
      </c>
      <c r="P1748" s="10" t="n"/>
    </row>
    <row r="1749">
      <c r="B1749">
        <f t="array" ref="B1749">_xlfn.XLOOKUP(C1749,INDIRECT("tblEquipment[Equipment ID]"),INDIRECT("tblEquipment[Production Department]"),"")</f>
        <v/>
      </c>
      <c r="D1749">
        <f t="array" ref="D1749">_xlfn.XLOOKUP(C1749,INDIRECT("tblEquipment[Equipment ID]"),INDIRECT("tblEquipment[Equipment Name]"),"")</f>
        <v/>
      </c>
      <c r="F1749" s="16" t="n"/>
      <c r="G1749" s="16" t="n"/>
      <c r="H1749" s="1">
        <f>IF(OR(F1749=0,G1749=0),"",(G1749-F1749)*24)</f>
        <v/>
      </c>
      <c r="I1749" s="10" t="n"/>
      <c r="J1749" s="1">
        <f>IF(OR(tblDowntime[[#This Row],[Failure Type]]="Sawshop",tblDowntime[[#This Row],[Failure Type]]="Electrical",tblDowntime[[#This Row],[Failure Type]]="Mechanical"),tblDowntime[[#This Row],[Downtime Hours]],"")</f>
        <v/>
      </c>
      <c r="K1749" s="10" t="n"/>
      <c r="L1749" s="10" t="n"/>
      <c r="M1749">
        <f>IF(tblDowntime[[#This Row],[Maintenance Downtime Hours]]="","",tblDowntime[[#This Row],[Equipment ID]])</f>
        <v/>
      </c>
      <c r="N1749" s="1">
        <f>IF(tblDowntime[[#This Row],[Failure Type]]="Production",tblDowntime[[#This Row],[Downtime Hours]],"")</f>
        <v/>
      </c>
      <c r="O1749">
        <f>IF(tblDowntime[[#This Row],[Production Downtime Hours]]="","",tblDowntime[[#This Row],[Equipment ID]])</f>
        <v/>
      </c>
      <c r="P1749" s="10" t="n"/>
    </row>
    <row r="1750">
      <c r="B1750">
        <f t="array" ref="B1750">_xlfn.XLOOKUP(C1750,INDIRECT("tblEquipment[Equipment ID]"),INDIRECT("tblEquipment[Production Department]"),"")</f>
        <v/>
      </c>
      <c r="D1750">
        <f t="array" ref="D1750">_xlfn.XLOOKUP(C1750,INDIRECT("tblEquipment[Equipment ID]"),INDIRECT("tblEquipment[Equipment Name]"),"")</f>
        <v/>
      </c>
      <c r="F1750" s="16" t="n"/>
      <c r="G1750" s="16" t="n"/>
      <c r="H1750" s="1">
        <f>IF(OR(F1750=0,G1750=0),"",(G1750-F1750)*24)</f>
        <v/>
      </c>
      <c r="I1750" s="10" t="n"/>
      <c r="J1750" s="1">
        <f>IF(OR(tblDowntime[[#This Row],[Failure Type]]="Sawshop",tblDowntime[[#This Row],[Failure Type]]="Electrical",tblDowntime[[#This Row],[Failure Type]]="Mechanical"),tblDowntime[[#This Row],[Downtime Hours]],"")</f>
        <v/>
      </c>
      <c r="K1750" s="10" t="n"/>
      <c r="L1750" s="10" t="n"/>
      <c r="M1750">
        <f>IF(tblDowntime[[#This Row],[Maintenance Downtime Hours]]="","",tblDowntime[[#This Row],[Equipment ID]])</f>
        <v/>
      </c>
      <c r="N1750" s="1">
        <f>IF(tblDowntime[[#This Row],[Failure Type]]="Production",tblDowntime[[#This Row],[Downtime Hours]],"")</f>
        <v/>
      </c>
      <c r="O1750">
        <f>IF(tblDowntime[[#This Row],[Production Downtime Hours]]="","",tblDowntime[[#This Row],[Equipment ID]])</f>
        <v/>
      </c>
      <c r="P1750" s="10" t="n"/>
    </row>
    <row r="1751">
      <c r="B1751">
        <f t="array" ref="B1751">_xlfn.XLOOKUP(C1751,INDIRECT("tblEquipment[Equipment ID]"),INDIRECT("tblEquipment[Production Department]"),"")</f>
        <v/>
      </c>
      <c r="D1751">
        <f t="array" ref="D1751">_xlfn.XLOOKUP(C1751,INDIRECT("tblEquipment[Equipment ID]"),INDIRECT("tblEquipment[Equipment Name]"),"")</f>
        <v/>
      </c>
      <c r="F1751" s="16" t="n"/>
      <c r="G1751" s="16" t="n"/>
      <c r="H1751" s="1">
        <f>IF(OR(F1751=0,G1751=0),"",(G1751-F1751)*24)</f>
        <v/>
      </c>
      <c r="I1751" s="10" t="n"/>
      <c r="J1751" s="1">
        <f>IF(OR(tblDowntime[[#This Row],[Failure Type]]="Sawshop",tblDowntime[[#This Row],[Failure Type]]="Electrical",tblDowntime[[#This Row],[Failure Type]]="Mechanical"),tblDowntime[[#This Row],[Downtime Hours]],"")</f>
        <v/>
      </c>
      <c r="K1751" s="10" t="n"/>
      <c r="L1751" s="10" t="n"/>
      <c r="M1751">
        <f>IF(tblDowntime[[#This Row],[Maintenance Downtime Hours]]="","",tblDowntime[[#This Row],[Equipment ID]])</f>
        <v/>
      </c>
      <c r="N1751" s="1">
        <f>IF(tblDowntime[[#This Row],[Failure Type]]="Production",tblDowntime[[#This Row],[Downtime Hours]],"")</f>
        <v/>
      </c>
      <c r="O1751">
        <f>IF(tblDowntime[[#This Row],[Production Downtime Hours]]="","",tblDowntime[[#This Row],[Equipment ID]])</f>
        <v/>
      </c>
      <c r="P1751" s="10" t="n"/>
    </row>
    <row r="1752">
      <c r="B1752">
        <f t="array" ref="B1752">_xlfn.XLOOKUP(C1752,INDIRECT("tblEquipment[Equipment ID]"),INDIRECT("tblEquipment[Production Department]"),"")</f>
        <v/>
      </c>
      <c r="D1752">
        <f t="array" ref="D1752">_xlfn.XLOOKUP(C1752,INDIRECT("tblEquipment[Equipment ID]"),INDIRECT("tblEquipment[Equipment Name]"),"")</f>
        <v/>
      </c>
      <c r="F1752" s="16" t="n"/>
      <c r="G1752" s="16" t="n"/>
      <c r="H1752" s="1">
        <f>IF(OR(F1752=0,G1752=0),"",(G1752-F1752)*24)</f>
        <v/>
      </c>
      <c r="I1752" s="10" t="n"/>
      <c r="J1752" s="1">
        <f>IF(OR(tblDowntime[[#This Row],[Failure Type]]="Sawshop",tblDowntime[[#This Row],[Failure Type]]="Electrical",tblDowntime[[#This Row],[Failure Type]]="Mechanical"),tblDowntime[[#This Row],[Downtime Hours]],"")</f>
        <v/>
      </c>
      <c r="K1752" s="10" t="n"/>
      <c r="L1752" s="10" t="n"/>
      <c r="M1752">
        <f>IF(tblDowntime[[#This Row],[Maintenance Downtime Hours]]="","",tblDowntime[[#This Row],[Equipment ID]])</f>
        <v/>
      </c>
      <c r="N1752" s="1">
        <f>IF(tblDowntime[[#This Row],[Failure Type]]="Production",tblDowntime[[#This Row],[Downtime Hours]],"")</f>
        <v/>
      </c>
      <c r="O1752">
        <f>IF(tblDowntime[[#This Row],[Production Downtime Hours]]="","",tblDowntime[[#This Row],[Equipment ID]])</f>
        <v/>
      </c>
      <c r="P1752" s="10" t="n"/>
    </row>
    <row r="1753">
      <c r="B1753">
        <f t="array" ref="B1753">_xlfn.XLOOKUP(C1753,INDIRECT("tblEquipment[Equipment ID]"),INDIRECT("tblEquipment[Production Department]"),"")</f>
        <v/>
      </c>
      <c r="D1753">
        <f t="array" ref="D1753">_xlfn.XLOOKUP(C1753,INDIRECT("tblEquipment[Equipment ID]"),INDIRECT("tblEquipment[Equipment Name]"),"")</f>
        <v/>
      </c>
      <c r="F1753" s="16" t="n"/>
      <c r="G1753" s="16" t="n"/>
      <c r="H1753" s="1">
        <f>IF(OR(F1753=0,G1753=0),"",(G1753-F1753)*24)</f>
        <v/>
      </c>
      <c r="I1753" s="10" t="n"/>
      <c r="J1753" s="1">
        <f>IF(OR(tblDowntime[[#This Row],[Failure Type]]="Sawshop",tblDowntime[[#This Row],[Failure Type]]="Electrical",tblDowntime[[#This Row],[Failure Type]]="Mechanical"),tblDowntime[[#This Row],[Downtime Hours]],"")</f>
        <v/>
      </c>
      <c r="K1753" s="10" t="n"/>
      <c r="L1753" s="10" t="n"/>
      <c r="M1753">
        <f>IF(tblDowntime[[#This Row],[Maintenance Downtime Hours]]="","",tblDowntime[[#This Row],[Equipment ID]])</f>
        <v/>
      </c>
      <c r="N1753" s="1">
        <f>IF(tblDowntime[[#This Row],[Failure Type]]="Production",tblDowntime[[#This Row],[Downtime Hours]],"")</f>
        <v/>
      </c>
      <c r="O1753">
        <f>IF(tblDowntime[[#This Row],[Production Downtime Hours]]="","",tblDowntime[[#This Row],[Equipment ID]])</f>
        <v/>
      </c>
      <c r="P1753" s="10" t="n"/>
    </row>
    <row r="1754">
      <c r="B1754">
        <f t="array" ref="B1754">_xlfn.XLOOKUP(C1754,INDIRECT("tblEquipment[Equipment ID]"),INDIRECT("tblEquipment[Production Department]"),"")</f>
        <v/>
      </c>
      <c r="D1754">
        <f t="array" ref="D1754">_xlfn.XLOOKUP(C1754,INDIRECT("tblEquipment[Equipment ID]"),INDIRECT("tblEquipment[Equipment Name]"),"")</f>
        <v/>
      </c>
      <c r="F1754" s="16" t="n"/>
      <c r="G1754" s="16" t="n"/>
      <c r="H1754" s="1">
        <f>IF(OR(F1754=0,G1754=0),"",(G1754-F1754)*24)</f>
        <v/>
      </c>
      <c r="I1754" s="10" t="n"/>
      <c r="J1754" s="1">
        <f>IF(OR(tblDowntime[[#This Row],[Failure Type]]="Sawshop",tblDowntime[[#This Row],[Failure Type]]="Electrical",tblDowntime[[#This Row],[Failure Type]]="Mechanical"),tblDowntime[[#This Row],[Downtime Hours]],"")</f>
        <v/>
      </c>
      <c r="K1754" s="10" t="n"/>
      <c r="L1754" s="10" t="n"/>
      <c r="M1754">
        <f>IF(tblDowntime[[#This Row],[Maintenance Downtime Hours]]="","",tblDowntime[[#This Row],[Equipment ID]])</f>
        <v/>
      </c>
      <c r="N1754" s="1">
        <f>IF(tblDowntime[[#This Row],[Failure Type]]="Production",tblDowntime[[#This Row],[Downtime Hours]],"")</f>
        <v/>
      </c>
      <c r="O1754">
        <f>IF(tblDowntime[[#This Row],[Production Downtime Hours]]="","",tblDowntime[[#This Row],[Equipment ID]])</f>
        <v/>
      </c>
      <c r="P1754" s="10" t="n"/>
    </row>
    <row r="1755">
      <c r="B1755">
        <f t="array" ref="B1755">_xlfn.XLOOKUP(C1755,INDIRECT("tblEquipment[Equipment ID]"),INDIRECT("tblEquipment[Production Department]"),"")</f>
        <v/>
      </c>
      <c r="D1755">
        <f t="array" ref="D1755">_xlfn.XLOOKUP(C1755,INDIRECT("tblEquipment[Equipment ID]"),INDIRECT("tblEquipment[Equipment Name]"),"")</f>
        <v/>
      </c>
      <c r="F1755" s="16" t="n"/>
      <c r="G1755" s="16" t="n"/>
      <c r="H1755" s="1">
        <f>IF(OR(F1755=0,G1755=0),"",(G1755-F1755)*24)</f>
        <v/>
      </c>
      <c r="I1755" s="10" t="n"/>
      <c r="J1755" s="1">
        <f>IF(OR(tblDowntime[[#This Row],[Failure Type]]="Sawshop",tblDowntime[[#This Row],[Failure Type]]="Electrical",tblDowntime[[#This Row],[Failure Type]]="Mechanical"),tblDowntime[[#This Row],[Downtime Hours]],"")</f>
        <v/>
      </c>
      <c r="K1755" s="10" t="n"/>
      <c r="L1755" s="10" t="n"/>
      <c r="M1755">
        <f>IF(tblDowntime[[#This Row],[Maintenance Downtime Hours]]="","",tblDowntime[[#This Row],[Equipment ID]])</f>
        <v/>
      </c>
      <c r="N1755" s="1">
        <f>IF(tblDowntime[[#This Row],[Failure Type]]="Production",tblDowntime[[#This Row],[Downtime Hours]],"")</f>
        <v/>
      </c>
      <c r="O1755">
        <f>IF(tblDowntime[[#This Row],[Production Downtime Hours]]="","",tblDowntime[[#This Row],[Equipment ID]])</f>
        <v/>
      </c>
      <c r="P1755" s="10" t="n"/>
    </row>
    <row r="1756">
      <c r="B1756">
        <f t="array" ref="B1756">_xlfn.XLOOKUP(C1756,INDIRECT("tblEquipment[Equipment ID]"),INDIRECT("tblEquipment[Production Department]"),"")</f>
        <v/>
      </c>
      <c r="D1756">
        <f t="array" ref="D1756">_xlfn.XLOOKUP(C1756,INDIRECT("tblEquipment[Equipment ID]"),INDIRECT("tblEquipment[Equipment Name]"),"")</f>
        <v/>
      </c>
      <c r="F1756" s="16" t="n"/>
      <c r="G1756" s="16" t="n"/>
      <c r="H1756" s="1">
        <f>IF(OR(F1756=0,G1756=0),"",(G1756-F1756)*24)</f>
        <v/>
      </c>
      <c r="I1756" s="10" t="n"/>
      <c r="J1756" s="1">
        <f>IF(OR(tblDowntime[[#This Row],[Failure Type]]="Sawshop",tblDowntime[[#This Row],[Failure Type]]="Electrical",tblDowntime[[#This Row],[Failure Type]]="Mechanical"),tblDowntime[[#This Row],[Downtime Hours]],"")</f>
        <v/>
      </c>
      <c r="K1756" s="10" t="n"/>
      <c r="L1756" s="10" t="n"/>
      <c r="M1756">
        <f>IF(tblDowntime[[#This Row],[Maintenance Downtime Hours]]="","",tblDowntime[[#This Row],[Equipment ID]])</f>
        <v/>
      </c>
      <c r="N1756" s="1">
        <f>IF(tblDowntime[[#This Row],[Failure Type]]="Production",tblDowntime[[#This Row],[Downtime Hours]],"")</f>
        <v/>
      </c>
      <c r="O1756">
        <f>IF(tblDowntime[[#This Row],[Production Downtime Hours]]="","",tblDowntime[[#This Row],[Equipment ID]])</f>
        <v/>
      </c>
      <c r="P1756" s="10" t="n"/>
    </row>
    <row r="1757">
      <c r="B1757">
        <f t="array" ref="B1757">_xlfn.XLOOKUP(C1757,INDIRECT("tblEquipment[Equipment ID]"),INDIRECT("tblEquipment[Production Department]"),"")</f>
        <v/>
      </c>
      <c r="D1757">
        <f t="array" ref="D1757">_xlfn.XLOOKUP(C1757,INDIRECT("tblEquipment[Equipment ID]"),INDIRECT("tblEquipment[Equipment Name]"),"")</f>
        <v/>
      </c>
      <c r="F1757" s="16" t="n"/>
      <c r="G1757" s="16" t="n"/>
      <c r="H1757" s="1">
        <f>IF(OR(F1757=0,G1757=0),"",(G1757-F1757)*24)</f>
        <v/>
      </c>
      <c r="I1757" s="10" t="n"/>
      <c r="J1757" s="1">
        <f>IF(OR(tblDowntime[[#This Row],[Failure Type]]="Sawshop",tblDowntime[[#This Row],[Failure Type]]="Electrical",tblDowntime[[#This Row],[Failure Type]]="Mechanical"),tblDowntime[[#This Row],[Downtime Hours]],"")</f>
        <v/>
      </c>
      <c r="K1757" s="10" t="n"/>
      <c r="L1757" s="10" t="n"/>
      <c r="M1757">
        <f>IF(tblDowntime[[#This Row],[Maintenance Downtime Hours]]="","",tblDowntime[[#This Row],[Equipment ID]])</f>
        <v/>
      </c>
      <c r="N1757" s="1">
        <f>IF(tblDowntime[[#This Row],[Failure Type]]="Production",tblDowntime[[#This Row],[Downtime Hours]],"")</f>
        <v/>
      </c>
      <c r="O1757">
        <f>IF(tblDowntime[[#This Row],[Production Downtime Hours]]="","",tblDowntime[[#This Row],[Equipment ID]])</f>
        <v/>
      </c>
      <c r="P1757" s="10" t="n"/>
    </row>
    <row r="1758">
      <c r="B1758">
        <f t="array" ref="B1758">_xlfn.XLOOKUP(C1758,INDIRECT("tblEquipment[Equipment ID]"),INDIRECT("tblEquipment[Production Department]"),"")</f>
        <v/>
      </c>
      <c r="D1758">
        <f t="array" ref="D1758">_xlfn.XLOOKUP(C1758,INDIRECT("tblEquipment[Equipment ID]"),INDIRECT("tblEquipment[Equipment Name]"),"")</f>
        <v/>
      </c>
      <c r="F1758" s="16" t="n"/>
      <c r="G1758" s="16" t="n"/>
      <c r="H1758" s="1">
        <f>IF(OR(F1758=0,G1758=0),"",(G1758-F1758)*24)</f>
        <v/>
      </c>
      <c r="I1758" s="10" t="n"/>
      <c r="J1758" s="1">
        <f>IF(OR(tblDowntime[[#This Row],[Failure Type]]="Sawshop",tblDowntime[[#This Row],[Failure Type]]="Electrical",tblDowntime[[#This Row],[Failure Type]]="Mechanical"),tblDowntime[[#This Row],[Downtime Hours]],"")</f>
        <v/>
      </c>
      <c r="K1758" s="10" t="n"/>
      <c r="L1758" s="10" t="n"/>
      <c r="M1758">
        <f>IF(tblDowntime[[#This Row],[Maintenance Downtime Hours]]="","",tblDowntime[[#This Row],[Equipment ID]])</f>
        <v/>
      </c>
      <c r="N1758" s="1">
        <f>IF(tblDowntime[[#This Row],[Failure Type]]="Production",tblDowntime[[#This Row],[Downtime Hours]],"")</f>
        <v/>
      </c>
      <c r="O1758">
        <f>IF(tblDowntime[[#This Row],[Production Downtime Hours]]="","",tblDowntime[[#This Row],[Equipment ID]])</f>
        <v/>
      </c>
      <c r="P1758" s="10" t="n"/>
    </row>
    <row r="1759">
      <c r="B1759">
        <f t="array" ref="B1759">_xlfn.XLOOKUP(C1759,INDIRECT("tblEquipment[Equipment ID]"),INDIRECT("tblEquipment[Production Department]"),"")</f>
        <v/>
      </c>
      <c r="D1759">
        <f t="array" ref="D1759">_xlfn.XLOOKUP(C1759,INDIRECT("tblEquipment[Equipment ID]"),INDIRECT("tblEquipment[Equipment Name]"),"")</f>
        <v/>
      </c>
      <c r="F1759" s="16" t="n"/>
      <c r="G1759" s="16" t="n"/>
      <c r="H1759" s="1">
        <f>IF(OR(F1759=0,G1759=0),"",(G1759-F1759)*24)</f>
        <v/>
      </c>
      <c r="I1759" s="10" t="n"/>
      <c r="J1759" s="1">
        <f>IF(OR(tblDowntime[[#This Row],[Failure Type]]="Sawshop",tblDowntime[[#This Row],[Failure Type]]="Electrical",tblDowntime[[#This Row],[Failure Type]]="Mechanical"),tblDowntime[[#This Row],[Downtime Hours]],"")</f>
        <v/>
      </c>
      <c r="K1759" s="10" t="n"/>
      <c r="L1759" s="10" t="n"/>
      <c r="M1759">
        <f>IF(tblDowntime[[#This Row],[Maintenance Downtime Hours]]="","",tblDowntime[[#This Row],[Equipment ID]])</f>
        <v/>
      </c>
      <c r="N1759" s="1">
        <f>IF(tblDowntime[[#This Row],[Failure Type]]="Production",tblDowntime[[#This Row],[Downtime Hours]],"")</f>
        <v/>
      </c>
      <c r="O1759">
        <f>IF(tblDowntime[[#This Row],[Production Downtime Hours]]="","",tblDowntime[[#This Row],[Equipment ID]])</f>
        <v/>
      </c>
      <c r="P1759" s="10" t="n"/>
    </row>
    <row r="1760">
      <c r="B1760">
        <f t="array" ref="B1760">_xlfn.XLOOKUP(C1760,INDIRECT("tblEquipment[Equipment ID]"),INDIRECT("tblEquipment[Production Department]"),"")</f>
        <v/>
      </c>
      <c r="D1760">
        <f t="array" ref="D1760">_xlfn.XLOOKUP(C1760,INDIRECT("tblEquipment[Equipment ID]"),INDIRECT("tblEquipment[Equipment Name]"),"")</f>
        <v/>
      </c>
      <c r="F1760" s="16" t="n"/>
      <c r="G1760" s="16" t="n"/>
      <c r="H1760" s="1">
        <f>IF(OR(F1760=0,G1760=0),"",(G1760-F1760)*24)</f>
        <v/>
      </c>
      <c r="I1760" s="10" t="n"/>
      <c r="J1760" s="1">
        <f>IF(OR(tblDowntime[[#This Row],[Failure Type]]="Sawshop",tblDowntime[[#This Row],[Failure Type]]="Electrical",tblDowntime[[#This Row],[Failure Type]]="Mechanical"),tblDowntime[[#This Row],[Downtime Hours]],"")</f>
        <v/>
      </c>
      <c r="K1760" s="10" t="n"/>
      <c r="L1760" s="10" t="n"/>
      <c r="M1760">
        <f>IF(tblDowntime[[#This Row],[Maintenance Downtime Hours]]="","",tblDowntime[[#This Row],[Equipment ID]])</f>
        <v/>
      </c>
      <c r="N1760" s="1">
        <f>IF(tblDowntime[[#This Row],[Failure Type]]="Production",tblDowntime[[#This Row],[Downtime Hours]],"")</f>
        <v/>
      </c>
      <c r="O1760">
        <f>IF(tblDowntime[[#This Row],[Production Downtime Hours]]="","",tblDowntime[[#This Row],[Equipment ID]])</f>
        <v/>
      </c>
      <c r="P1760" s="10" t="n"/>
    </row>
    <row r="1761">
      <c r="B1761">
        <f t="array" ref="B1761">_xlfn.XLOOKUP(C1761,INDIRECT("tblEquipment[Equipment ID]"),INDIRECT("tblEquipment[Production Department]"),"")</f>
        <v/>
      </c>
      <c r="D1761">
        <f t="array" ref="D1761">_xlfn.XLOOKUP(C1761,INDIRECT("tblEquipment[Equipment ID]"),INDIRECT("tblEquipment[Equipment Name]"),"")</f>
        <v/>
      </c>
      <c r="F1761" s="16" t="n"/>
      <c r="G1761" s="16" t="n"/>
      <c r="H1761" s="1">
        <f>IF(OR(F1761=0,G1761=0),"",(G1761-F1761)*24)</f>
        <v/>
      </c>
      <c r="I1761" s="10" t="n"/>
      <c r="J1761" s="1">
        <f>IF(OR(tblDowntime[[#This Row],[Failure Type]]="Sawshop",tblDowntime[[#This Row],[Failure Type]]="Electrical",tblDowntime[[#This Row],[Failure Type]]="Mechanical"),tblDowntime[[#This Row],[Downtime Hours]],"")</f>
        <v/>
      </c>
      <c r="K1761" s="10" t="n"/>
      <c r="L1761" s="10" t="n"/>
      <c r="M1761">
        <f>IF(tblDowntime[[#This Row],[Maintenance Downtime Hours]]="","",tblDowntime[[#This Row],[Equipment ID]])</f>
        <v/>
      </c>
      <c r="N1761" s="1">
        <f>IF(tblDowntime[[#This Row],[Failure Type]]="Production",tblDowntime[[#This Row],[Downtime Hours]],"")</f>
        <v/>
      </c>
      <c r="O1761">
        <f>IF(tblDowntime[[#This Row],[Production Downtime Hours]]="","",tblDowntime[[#This Row],[Equipment ID]])</f>
        <v/>
      </c>
      <c r="P1761" s="10" t="n"/>
    </row>
    <row r="1762">
      <c r="B1762">
        <f t="array" ref="B1762">_xlfn.XLOOKUP(C1762,INDIRECT("tblEquipment[Equipment ID]"),INDIRECT("tblEquipment[Production Department]"),"")</f>
        <v/>
      </c>
      <c r="D1762">
        <f t="array" ref="D1762">_xlfn.XLOOKUP(C1762,INDIRECT("tblEquipment[Equipment ID]"),INDIRECT("tblEquipment[Equipment Name]"),"")</f>
        <v/>
      </c>
      <c r="F1762" s="16" t="n"/>
      <c r="G1762" s="16" t="n"/>
      <c r="H1762" s="1">
        <f>IF(OR(F1762=0,G1762=0),"",(G1762-F1762)*24)</f>
        <v/>
      </c>
      <c r="I1762" s="10" t="n"/>
      <c r="J1762" s="1">
        <f>IF(OR(tblDowntime[[#This Row],[Failure Type]]="Sawshop",tblDowntime[[#This Row],[Failure Type]]="Electrical",tblDowntime[[#This Row],[Failure Type]]="Mechanical"),tblDowntime[[#This Row],[Downtime Hours]],"")</f>
        <v/>
      </c>
      <c r="K1762" s="10" t="n"/>
      <c r="L1762" s="10" t="n"/>
      <c r="M1762">
        <f>IF(tblDowntime[[#This Row],[Maintenance Downtime Hours]]="","",tblDowntime[[#This Row],[Equipment ID]])</f>
        <v/>
      </c>
      <c r="N1762" s="1">
        <f>IF(tblDowntime[[#This Row],[Failure Type]]="Production",tblDowntime[[#This Row],[Downtime Hours]],"")</f>
        <v/>
      </c>
      <c r="O1762">
        <f>IF(tblDowntime[[#This Row],[Production Downtime Hours]]="","",tblDowntime[[#This Row],[Equipment ID]])</f>
        <v/>
      </c>
      <c r="P1762" s="10" t="n"/>
    </row>
    <row r="1763">
      <c r="B1763">
        <f t="array" ref="B1763">_xlfn.XLOOKUP(C1763,INDIRECT("tblEquipment[Equipment ID]"),INDIRECT("tblEquipment[Production Department]"),"")</f>
        <v/>
      </c>
      <c r="D1763">
        <f t="array" ref="D1763">_xlfn.XLOOKUP(C1763,INDIRECT("tblEquipment[Equipment ID]"),INDIRECT("tblEquipment[Equipment Name]"),"")</f>
        <v/>
      </c>
      <c r="F1763" s="16" t="n"/>
      <c r="G1763" s="16" t="n"/>
      <c r="H1763" s="1">
        <f>IF(OR(F1763=0,G1763=0),"",(G1763-F1763)*24)</f>
        <v/>
      </c>
      <c r="I1763" s="10" t="n"/>
      <c r="J1763" s="1">
        <f>IF(OR(tblDowntime[[#This Row],[Failure Type]]="Sawshop",tblDowntime[[#This Row],[Failure Type]]="Electrical",tblDowntime[[#This Row],[Failure Type]]="Mechanical"),tblDowntime[[#This Row],[Downtime Hours]],"")</f>
        <v/>
      </c>
      <c r="K1763" s="10" t="n"/>
      <c r="L1763" s="10" t="n"/>
      <c r="M1763">
        <f>IF(tblDowntime[[#This Row],[Maintenance Downtime Hours]]="","",tblDowntime[[#This Row],[Equipment ID]])</f>
        <v/>
      </c>
      <c r="N1763" s="1">
        <f>IF(tblDowntime[[#This Row],[Failure Type]]="Production",tblDowntime[[#This Row],[Downtime Hours]],"")</f>
        <v/>
      </c>
      <c r="O1763">
        <f>IF(tblDowntime[[#This Row],[Production Downtime Hours]]="","",tblDowntime[[#This Row],[Equipment ID]])</f>
        <v/>
      </c>
      <c r="P1763" s="10" t="n"/>
    </row>
    <row r="1764">
      <c r="B1764">
        <f t="array" ref="B1764">_xlfn.XLOOKUP(C1764,INDIRECT("tblEquipment[Equipment ID]"),INDIRECT("tblEquipment[Production Department]"),"")</f>
        <v/>
      </c>
      <c r="D1764">
        <f t="array" ref="D1764">_xlfn.XLOOKUP(C1764,INDIRECT("tblEquipment[Equipment ID]"),INDIRECT("tblEquipment[Equipment Name]"),"")</f>
        <v/>
      </c>
      <c r="F1764" s="16" t="n"/>
      <c r="G1764" s="16" t="n"/>
      <c r="H1764" s="1">
        <f>IF(OR(F1764=0,G1764=0),"",(G1764-F1764)*24)</f>
        <v/>
      </c>
      <c r="I1764" s="10" t="n"/>
      <c r="J1764" s="1">
        <f>IF(OR(tblDowntime[[#This Row],[Failure Type]]="Sawshop",tblDowntime[[#This Row],[Failure Type]]="Electrical",tblDowntime[[#This Row],[Failure Type]]="Mechanical"),tblDowntime[[#This Row],[Downtime Hours]],"")</f>
        <v/>
      </c>
      <c r="K1764" s="10" t="n"/>
      <c r="L1764" s="10" t="n"/>
      <c r="M1764">
        <f>IF(tblDowntime[[#This Row],[Maintenance Downtime Hours]]="","",tblDowntime[[#This Row],[Equipment ID]])</f>
        <v/>
      </c>
      <c r="N1764" s="1">
        <f>IF(tblDowntime[[#This Row],[Failure Type]]="Production",tblDowntime[[#This Row],[Downtime Hours]],"")</f>
        <v/>
      </c>
      <c r="O1764">
        <f>IF(tblDowntime[[#This Row],[Production Downtime Hours]]="","",tblDowntime[[#This Row],[Equipment ID]])</f>
        <v/>
      </c>
      <c r="P1764" s="10" t="n"/>
    </row>
    <row r="1765">
      <c r="B1765">
        <f t="array" ref="B1765">_xlfn.XLOOKUP(C1765,INDIRECT("tblEquipment[Equipment ID]"),INDIRECT("tblEquipment[Production Department]"),"")</f>
        <v/>
      </c>
      <c r="D1765">
        <f t="array" ref="D1765">_xlfn.XLOOKUP(C1765,INDIRECT("tblEquipment[Equipment ID]"),INDIRECT("tblEquipment[Equipment Name]"),"")</f>
        <v/>
      </c>
      <c r="F1765" s="16" t="n"/>
      <c r="G1765" s="16" t="n"/>
      <c r="H1765" s="1">
        <f>IF(OR(F1765=0,G1765=0),"",(G1765-F1765)*24)</f>
        <v/>
      </c>
      <c r="I1765" s="10" t="n"/>
      <c r="J1765" s="1">
        <f>IF(OR(tblDowntime[[#This Row],[Failure Type]]="Sawshop",tblDowntime[[#This Row],[Failure Type]]="Electrical",tblDowntime[[#This Row],[Failure Type]]="Mechanical"),tblDowntime[[#This Row],[Downtime Hours]],"")</f>
        <v/>
      </c>
      <c r="K1765" s="10" t="n"/>
      <c r="L1765" s="10" t="n"/>
      <c r="M1765">
        <f>IF(tblDowntime[[#This Row],[Maintenance Downtime Hours]]="","",tblDowntime[[#This Row],[Equipment ID]])</f>
        <v/>
      </c>
      <c r="N1765" s="1">
        <f>IF(tblDowntime[[#This Row],[Failure Type]]="Production",tblDowntime[[#This Row],[Downtime Hours]],"")</f>
        <v/>
      </c>
      <c r="O1765">
        <f>IF(tblDowntime[[#This Row],[Production Downtime Hours]]="","",tblDowntime[[#This Row],[Equipment ID]])</f>
        <v/>
      </c>
      <c r="P1765" s="10" t="n"/>
    </row>
    <row r="1766">
      <c r="B1766">
        <f t="array" ref="B1766">_xlfn.XLOOKUP(C1766,INDIRECT("tblEquipment[Equipment ID]"),INDIRECT("tblEquipment[Production Department]"),"")</f>
        <v/>
      </c>
      <c r="D1766">
        <f t="array" ref="D1766">_xlfn.XLOOKUP(C1766,INDIRECT("tblEquipment[Equipment ID]"),INDIRECT("tblEquipment[Equipment Name]"),"")</f>
        <v/>
      </c>
      <c r="F1766" s="16" t="n"/>
      <c r="G1766" s="16" t="n"/>
      <c r="H1766" s="1">
        <f>IF(OR(F1766=0,G1766=0),"",(G1766-F1766)*24)</f>
        <v/>
      </c>
      <c r="I1766" s="10" t="n"/>
      <c r="J1766" s="1">
        <f>IF(OR(tblDowntime[[#This Row],[Failure Type]]="Sawshop",tblDowntime[[#This Row],[Failure Type]]="Electrical",tblDowntime[[#This Row],[Failure Type]]="Mechanical"),tblDowntime[[#This Row],[Downtime Hours]],"")</f>
        <v/>
      </c>
      <c r="K1766" s="10" t="n"/>
      <c r="L1766" s="10" t="n"/>
      <c r="M1766">
        <f>IF(tblDowntime[[#This Row],[Maintenance Downtime Hours]]="","",tblDowntime[[#This Row],[Equipment ID]])</f>
        <v/>
      </c>
      <c r="N1766" s="1">
        <f>IF(tblDowntime[[#This Row],[Failure Type]]="Production",tblDowntime[[#This Row],[Downtime Hours]],"")</f>
        <v/>
      </c>
      <c r="O1766">
        <f>IF(tblDowntime[[#This Row],[Production Downtime Hours]]="","",tblDowntime[[#This Row],[Equipment ID]])</f>
        <v/>
      </c>
      <c r="P1766" s="10" t="n"/>
    </row>
    <row r="1767">
      <c r="B1767">
        <f t="array" ref="B1767">_xlfn.XLOOKUP(C1767,INDIRECT("tblEquipment[Equipment ID]"),INDIRECT("tblEquipment[Production Department]"),"")</f>
        <v/>
      </c>
      <c r="D1767">
        <f t="array" ref="D1767">_xlfn.XLOOKUP(C1767,INDIRECT("tblEquipment[Equipment ID]"),INDIRECT("tblEquipment[Equipment Name]"),"")</f>
        <v/>
      </c>
      <c r="F1767" s="16" t="n"/>
      <c r="G1767" s="16" t="n"/>
      <c r="H1767" s="1">
        <f>IF(OR(F1767=0,G1767=0),"",(G1767-F1767)*24)</f>
        <v/>
      </c>
      <c r="I1767" s="10" t="n"/>
      <c r="J1767" s="1">
        <f>IF(OR(tblDowntime[[#This Row],[Failure Type]]="Sawshop",tblDowntime[[#This Row],[Failure Type]]="Electrical",tblDowntime[[#This Row],[Failure Type]]="Mechanical"),tblDowntime[[#This Row],[Downtime Hours]],"")</f>
        <v/>
      </c>
      <c r="K1767" s="10" t="n"/>
      <c r="L1767" s="10" t="n"/>
      <c r="M1767">
        <f>IF(tblDowntime[[#This Row],[Maintenance Downtime Hours]]="","",tblDowntime[[#This Row],[Equipment ID]])</f>
        <v/>
      </c>
      <c r="N1767" s="1">
        <f>IF(tblDowntime[[#This Row],[Failure Type]]="Production",tblDowntime[[#This Row],[Downtime Hours]],"")</f>
        <v/>
      </c>
      <c r="O1767">
        <f>IF(tblDowntime[[#This Row],[Production Downtime Hours]]="","",tblDowntime[[#This Row],[Equipment ID]])</f>
        <v/>
      </c>
      <c r="P1767" s="10" t="n"/>
    </row>
    <row r="1768">
      <c r="B1768">
        <f t="array" ref="B1768">_xlfn.XLOOKUP(C1768,INDIRECT("tblEquipment[Equipment ID]"),INDIRECT("tblEquipment[Production Department]"),"")</f>
        <v/>
      </c>
      <c r="D1768">
        <f t="array" ref="D1768">_xlfn.XLOOKUP(C1768,INDIRECT("tblEquipment[Equipment ID]"),INDIRECT("tblEquipment[Equipment Name]"),"")</f>
        <v/>
      </c>
      <c r="F1768" s="16" t="n"/>
      <c r="G1768" s="16" t="n"/>
      <c r="H1768" s="1">
        <f>IF(OR(F1768=0,G1768=0),"",(G1768-F1768)*24)</f>
        <v/>
      </c>
      <c r="I1768" s="10" t="n"/>
      <c r="J1768" s="1">
        <f>IF(OR(tblDowntime[[#This Row],[Failure Type]]="Sawshop",tblDowntime[[#This Row],[Failure Type]]="Electrical",tblDowntime[[#This Row],[Failure Type]]="Mechanical"),tblDowntime[[#This Row],[Downtime Hours]],"")</f>
        <v/>
      </c>
      <c r="K1768" s="10" t="n"/>
      <c r="L1768" s="10" t="n"/>
      <c r="M1768">
        <f>IF(tblDowntime[[#This Row],[Maintenance Downtime Hours]]="","",tblDowntime[[#This Row],[Equipment ID]])</f>
        <v/>
      </c>
      <c r="N1768" s="1">
        <f>IF(tblDowntime[[#This Row],[Failure Type]]="Production",tblDowntime[[#This Row],[Downtime Hours]],"")</f>
        <v/>
      </c>
      <c r="O1768">
        <f>IF(tblDowntime[[#This Row],[Production Downtime Hours]]="","",tblDowntime[[#This Row],[Equipment ID]])</f>
        <v/>
      </c>
      <c r="P1768" s="10" t="n"/>
    </row>
    <row r="1769">
      <c r="B1769">
        <f t="array" ref="B1769">_xlfn.XLOOKUP(C1769,INDIRECT("tblEquipment[Equipment ID]"),INDIRECT("tblEquipment[Production Department]"),"")</f>
        <v/>
      </c>
      <c r="D1769">
        <f t="array" ref="D1769">_xlfn.XLOOKUP(C1769,INDIRECT("tblEquipment[Equipment ID]"),INDIRECT("tblEquipment[Equipment Name]"),"")</f>
        <v/>
      </c>
      <c r="F1769" s="16" t="n"/>
      <c r="G1769" s="16" t="n"/>
      <c r="H1769" s="1">
        <f>IF(OR(F1769=0,G1769=0),"",(G1769-F1769)*24)</f>
        <v/>
      </c>
      <c r="I1769" s="10" t="n"/>
      <c r="J1769" s="1">
        <f>IF(OR(tblDowntime[[#This Row],[Failure Type]]="Sawshop",tblDowntime[[#This Row],[Failure Type]]="Electrical",tblDowntime[[#This Row],[Failure Type]]="Mechanical"),tblDowntime[[#This Row],[Downtime Hours]],"")</f>
        <v/>
      </c>
      <c r="K1769" s="10" t="n"/>
      <c r="L1769" s="10" t="n"/>
      <c r="M1769">
        <f>IF(tblDowntime[[#This Row],[Maintenance Downtime Hours]]="","",tblDowntime[[#This Row],[Equipment ID]])</f>
        <v/>
      </c>
      <c r="N1769" s="1">
        <f>IF(tblDowntime[[#This Row],[Failure Type]]="Production",tblDowntime[[#This Row],[Downtime Hours]],"")</f>
        <v/>
      </c>
      <c r="O1769">
        <f>IF(tblDowntime[[#This Row],[Production Downtime Hours]]="","",tblDowntime[[#This Row],[Equipment ID]])</f>
        <v/>
      </c>
      <c r="P1769" s="10" t="n"/>
    </row>
    <row r="1770">
      <c r="B1770">
        <f t="array" ref="B1770">_xlfn.XLOOKUP(C1770,INDIRECT("tblEquipment[Equipment ID]"),INDIRECT("tblEquipment[Production Department]"),"")</f>
        <v/>
      </c>
      <c r="D1770">
        <f t="array" ref="D1770">_xlfn.XLOOKUP(C1770,INDIRECT("tblEquipment[Equipment ID]"),INDIRECT("tblEquipment[Equipment Name]"),"")</f>
        <v/>
      </c>
      <c r="F1770" s="16" t="n"/>
      <c r="G1770" s="16" t="n"/>
      <c r="H1770" s="1">
        <f>IF(OR(F1770=0,G1770=0),"",(G1770-F1770)*24)</f>
        <v/>
      </c>
      <c r="I1770" s="10" t="n"/>
      <c r="J1770" s="1">
        <f>IF(OR(tblDowntime[[#This Row],[Failure Type]]="Sawshop",tblDowntime[[#This Row],[Failure Type]]="Electrical",tblDowntime[[#This Row],[Failure Type]]="Mechanical"),tblDowntime[[#This Row],[Downtime Hours]],"")</f>
        <v/>
      </c>
      <c r="K1770" s="10" t="n"/>
      <c r="L1770" s="10" t="n"/>
      <c r="M1770">
        <f>IF(tblDowntime[[#This Row],[Maintenance Downtime Hours]]="","",tblDowntime[[#This Row],[Equipment ID]])</f>
        <v/>
      </c>
      <c r="N1770" s="1">
        <f>IF(tblDowntime[[#This Row],[Failure Type]]="Production",tblDowntime[[#This Row],[Downtime Hours]],"")</f>
        <v/>
      </c>
      <c r="O1770">
        <f>IF(tblDowntime[[#This Row],[Production Downtime Hours]]="","",tblDowntime[[#This Row],[Equipment ID]])</f>
        <v/>
      </c>
      <c r="P1770" s="10" t="n"/>
    </row>
    <row r="1771">
      <c r="B1771">
        <f t="array" ref="B1771">_xlfn.XLOOKUP(C1771,INDIRECT("tblEquipment[Equipment ID]"),INDIRECT("tblEquipment[Production Department]"),"")</f>
        <v/>
      </c>
      <c r="D1771">
        <f t="array" ref="D1771">_xlfn.XLOOKUP(C1771,INDIRECT("tblEquipment[Equipment ID]"),INDIRECT("tblEquipment[Equipment Name]"),"")</f>
        <v/>
      </c>
      <c r="F1771" s="16" t="n"/>
      <c r="G1771" s="16" t="n"/>
      <c r="H1771" s="1">
        <f>IF(OR(F1771=0,G1771=0),"",(G1771-F1771)*24)</f>
        <v/>
      </c>
      <c r="I1771" s="10" t="n"/>
      <c r="J1771" s="1">
        <f>IF(OR(tblDowntime[[#This Row],[Failure Type]]="Sawshop",tblDowntime[[#This Row],[Failure Type]]="Electrical",tblDowntime[[#This Row],[Failure Type]]="Mechanical"),tblDowntime[[#This Row],[Downtime Hours]],"")</f>
        <v/>
      </c>
      <c r="K1771" s="10" t="n"/>
      <c r="L1771" s="10" t="n"/>
      <c r="M1771">
        <f>IF(tblDowntime[[#This Row],[Maintenance Downtime Hours]]="","",tblDowntime[[#This Row],[Equipment ID]])</f>
        <v/>
      </c>
      <c r="N1771" s="1">
        <f>IF(tblDowntime[[#This Row],[Failure Type]]="Production",tblDowntime[[#This Row],[Downtime Hours]],"")</f>
        <v/>
      </c>
      <c r="O1771">
        <f>IF(tblDowntime[[#This Row],[Production Downtime Hours]]="","",tblDowntime[[#This Row],[Equipment ID]])</f>
        <v/>
      </c>
      <c r="P1771" s="10" t="n"/>
    </row>
    <row r="1772">
      <c r="B1772">
        <f t="array" ref="B1772">_xlfn.XLOOKUP(C1772,INDIRECT("tblEquipment[Equipment ID]"),INDIRECT("tblEquipment[Production Department]"),"")</f>
        <v/>
      </c>
      <c r="D1772">
        <f t="array" ref="D1772">_xlfn.XLOOKUP(C1772,INDIRECT("tblEquipment[Equipment ID]"),INDIRECT("tblEquipment[Equipment Name]"),"")</f>
        <v/>
      </c>
      <c r="F1772" s="16" t="n"/>
      <c r="G1772" s="16" t="n"/>
      <c r="H1772" s="1">
        <f>IF(OR(F1772=0,G1772=0),"",(G1772-F1772)*24)</f>
        <v/>
      </c>
      <c r="I1772" s="10" t="n"/>
      <c r="J1772" s="1">
        <f>IF(OR(tblDowntime[[#This Row],[Failure Type]]="Sawshop",tblDowntime[[#This Row],[Failure Type]]="Electrical",tblDowntime[[#This Row],[Failure Type]]="Mechanical"),tblDowntime[[#This Row],[Downtime Hours]],"")</f>
        <v/>
      </c>
      <c r="K1772" s="10" t="n"/>
      <c r="L1772" s="10" t="n"/>
      <c r="M1772">
        <f>IF(tblDowntime[[#This Row],[Maintenance Downtime Hours]]="","",tblDowntime[[#This Row],[Equipment ID]])</f>
        <v/>
      </c>
      <c r="N1772" s="1">
        <f>IF(tblDowntime[[#This Row],[Failure Type]]="Production",tblDowntime[[#This Row],[Downtime Hours]],"")</f>
        <v/>
      </c>
      <c r="O1772">
        <f>IF(tblDowntime[[#This Row],[Production Downtime Hours]]="","",tblDowntime[[#This Row],[Equipment ID]])</f>
        <v/>
      </c>
      <c r="P1772" s="10" t="n"/>
    </row>
    <row r="1773">
      <c r="B1773">
        <f t="array" ref="B1773">_xlfn.XLOOKUP(C1773,INDIRECT("tblEquipment[Equipment ID]"),INDIRECT("tblEquipment[Production Department]"),"")</f>
        <v/>
      </c>
      <c r="D1773">
        <f t="array" ref="D1773">_xlfn.XLOOKUP(C1773,INDIRECT("tblEquipment[Equipment ID]"),INDIRECT("tblEquipment[Equipment Name]"),"")</f>
        <v/>
      </c>
      <c r="F1773" s="16" t="n"/>
      <c r="G1773" s="16" t="n"/>
      <c r="H1773" s="1">
        <f>IF(OR(F1773=0,G1773=0),"",(G1773-F1773)*24)</f>
        <v/>
      </c>
      <c r="I1773" s="10" t="n"/>
      <c r="J1773" s="1">
        <f>IF(OR(tblDowntime[[#This Row],[Failure Type]]="Sawshop",tblDowntime[[#This Row],[Failure Type]]="Electrical",tblDowntime[[#This Row],[Failure Type]]="Mechanical"),tblDowntime[[#This Row],[Downtime Hours]],"")</f>
        <v/>
      </c>
      <c r="K1773" s="10" t="n"/>
      <c r="L1773" s="10" t="n"/>
      <c r="M1773">
        <f>IF(tblDowntime[[#This Row],[Maintenance Downtime Hours]]="","",tblDowntime[[#This Row],[Equipment ID]])</f>
        <v/>
      </c>
      <c r="N1773" s="1">
        <f>IF(tblDowntime[[#This Row],[Failure Type]]="Production",tblDowntime[[#This Row],[Downtime Hours]],"")</f>
        <v/>
      </c>
      <c r="O1773">
        <f>IF(tblDowntime[[#This Row],[Production Downtime Hours]]="","",tblDowntime[[#This Row],[Equipment ID]])</f>
        <v/>
      </c>
      <c r="P1773" s="10" t="n"/>
    </row>
    <row r="1774">
      <c r="B1774">
        <f t="array" ref="B1774">_xlfn.XLOOKUP(C1774,INDIRECT("tblEquipment[Equipment ID]"),INDIRECT("tblEquipment[Production Department]"),"")</f>
        <v/>
      </c>
      <c r="D1774">
        <f t="array" ref="D1774">_xlfn.XLOOKUP(C1774,INDIRECT("tblEquipment[Equipment ID]"),INDIRECT("tblEquipment[Equipment Name]"),"")</f>
        <v/>
      </c>
      <c r="F1774" s="16" t="n"/>
      <c r="G1774" s="16" t="n"/>
      <c r="H1774" s="1">
        <f>IF(OR(F1774=0,G1774=0),"",(G1774-F1774)*24)</f>
        <v/>
      </c>
      <c r="I1774" s="10" t="n"/>
      <c r="J1774" s="1">
        <f>IF(OR(tblDowntime[[#This Row],[Failure Type]]="Sawshop",tblDowntime[[#This Row],[Failure Type]]="Electrical",tblDowntime[[#This Row],[Failure Type]]="Mechanical"),tblDowntime[[#This Row],[Downtime Hours]],"")</f>
        <v/>
      </c>
      <c r="K1774" s="10" t="n"/>
      <c r="L1774" s="10" t="n"/>
      <c r="M1774">
        <f>IF(tblDowntime[[#This Row],[Maintenance Downtime Hours]]="","",tblDowntime[[#This Row],[Equipment ID]])</f>
        <v/>
      </c>
      <c r="N1774" s="1">
        <f>IF(tblDowntime[[#This Row],[Failure Type]]="Production",tblDowntime[[#This Row],[Downtime Hours]],"")</f>
        <v/>
      </c>
      <c r="O1774">
        <f>IF(tblDowntime[[#This Row],[Production Downtime Hours]]="","",tblDowntime[[#This Row],[Equipment ID]])</f>
        <v/>
      </c>
      <c r="P1774" s="10" t="n"/>
    </row>
    <row r="1775">
      <c r="B1775">
        <f t="array" ref="B1775">_xlfn.XLOOKUP(C1775,INDIRECT("tblEquipment[Equipment ID]"),INDIRECT("tblEquipment[Production Department]"),"")</f>
        <v/>
      </c>
      <c r="D1775">
        <f t="array" ref="D1775">_xlfn.XLOOKUP(C1775,INDIRECT("tblEquipment[Equipment ID]"),INDIRECT("tblEquipment[Equipment Name]"),"")</f>
        <v/>
      </c>
      <c r="F1775" s="16" t="n"/>
      <c r="G1775" s="16" t="n"/>
      <c r="H1775" s="1">
        <f>IF(OR(F1775=0,G1775=0),"",(G1775-F1775)*24)</f>
        <v/>
      </c>
      <c r="I1775" s="10" t="n"/>
      <c r="J1775" s="1">
        <f>IF(OR(tblDowntime[[#This Row],[Failure Type]]="Sawshop",tblDowntime[[#This Row],[Failure Type]]="Electrical",tblDowntime[[#This Row],[Failure Type]]="Mechanical"),tblDowntime[[#This Row],[Downtime Hours]],"")</f>
        <v/>
      </c>
      <c r="K1775" s="10" t="n"/>
      <c r="L1775" s="10" t="n"/>
      <c r="M1775">
        <f>IF(tblDowntime[[#This Row],[Maintenance Downtime Hours]]="","",tblDowntime[[#This Row],[Equipment ID]])</f>
        <v/>
      </c>
      <c r="N1775" s="1">
        <f>IF(tblDowntime[[#This Row],[Failure Type]]="Production",tblDowntime[[#This Row],[Downtime Hours]],"")</f>
        <v/>
      </c>
      <c r="O1775">
        <f>IF(tblDowntime[[#This Row],[Production Downtime Hours]]="","",tblDowntime[[#This Row],[Equipment ID]])</f>
        <v/>
      </c>
      <c r="P1775" s="10" t="n"/>
    </row>
    <row r="1776">
      <c r="B1776">
        <f t="array" ref="B1776">_xlfn.XLOOKUP(C1776,INDIRECT("tblEquipment[Equipment ID]"),INDIRECT("tblEquipment[Production Department]"),"")</f>
        <v/>
      </c>
      <c r="D1776">
        <f t="array" ref="D1776">_xlfn.XLOOKUP(C1776,INDIRECT("tblEquipment[Equipment ID]"),INDIRECT("tblEquipment[Equipment Name]"),"")</f>
        <v/>
      </c>
      <c r="F1776" s="16" t="n"/>
      <c r="G1776" s="16" t="n"/>
      <c r="H1776" s="1">
        <f>IF(OR(F1776=0,G1776=0),"",(G1776-F1776)*24)</f>
        <v/>
      </c>
      <c r="I1776" s="10" t="n"/>
      <c r="J1776" s="1">
        <f>IF(OR(tblDowntime[[#This Row],[Failure Type]]="Sawshop",tblDowntime[[#This Row],[Failure Type]]="Electrical",tblDowntime[[#This Row],[Failure Type]]="Mechanical"),tblDowntime[[#This Row],[Downtime Hours]],"")</f>
        <v/>
      </c>
      <c r="K1776" s="10" t="n"/>
      <c r="L1776" s="10" t="n"/>
      <c r="M1776">
        <f>IF(tblDowntime[[#This Row],[Maintenance Downtime Hours]]="","",tblDowntime[[#This Row],[Equipment ID]])</f>
        <v/>
      </c>
      <c r="N1776" s="1">
        <f>IF(tblDowntime[[#This Row],[Failure Type]]="Production",tblDowntime[[#This Row],[Downtime Hours]],"")</f>
        <v/>
      </c>
      <c r="O1776">
        <f>IF(tblDowntime[[#This Row],[Production Downtime Hours]]="","",tblDowntime[[#This Row],[Equipment ID]])</f>
        <v/>
      </c>
      <c r="P1776" s="10" t="n"/>
    </row>
    <row r="1777">
      <c r="B1777">
        <f t="array" ref="B1777">_xlfn.XLOOKUP(C1777,INDIRECT("tblEquipment[Equipment ID]"),INDIRECT("tblEquipment[Production Department]"),"")</f>
        <v/>
      </c>
      <c r="D1777">
        <f t="array" ref="D1777">_xlfn.XLOOKUP(C1777,INDIRECT("tblEquipment[Equipment ID]"),INDIRECT("tblEquipment[Equipment Name]"),"")</f>
        <v/>
      </c>
      <c r="F1777" s="16" t="n"/>
      <c r="G1777" s="16" t="n"/>
      <c r="H1777" s="1">
        <f>IF(OR(F1777=0,G1777=0),"",(G1777-F1777)*24)</f>
        <v/>
      </c>
      <c r="I1777" s="10" t="n"/>
      <c r="J1777" s="1">
        <f>IF(OR(tblDowntime[[#This Row],[Failure Type]]="Sawshop",tblDowntime[[#This Row],[Failure Type]]="Electrical",tblDowntime[[#This Row],[Failure Type]]="Mechanical"),tblDowntime[[#This Row],[Downtime Hours]],"")</f>
        <v/>
      </c>
      <c r="K1777" s="10" t="n"/>
      <c r="L1777" s="10" t="n"/>
      <c r="M1777">
        <f>IF(tblDowntime[[#This Row],[Maintenance Downtime Hours]]="","",tblDowntime[[#This Row],[Equipment ID]])</f>
        <v/>
      </c>
      <c r="N1777" s="1">
        <f>IF(tblDowntime[[#This Row],[Failure Type]]="Production",tblDowntime[[#This Row],[Downtime Hours]],"")</f>
        <v/>
      </c>
      <c r="O1777">
        <f>IF(tblDowntime[[#This Row],[Production Downtime Hours]]="","",tblDowntime[[#This Row],[Equipment ID]])</f>
        <v/>
      </c>
      <c r="P1777" s="10" t="n"/>
    </row>
    <row r="1778">
      <c r="B1778">
        <f t="array" ref="B1778">_xlfn.XLOOKUP(C1778,INDIRECT("tblEquipment[Equipment ID]"),INDIRECT("tblEquipment[Production Department]"),"")</f>
        <v/>
      </c>
      <c r="D1778">
        <f t="array" ref="D1778">_xlfn.XLOOKUP(C1778,INDIRECT("tblEquipment[Equipment ID]"),INDIRECT("tblEquipment[Equipment Name]"),"")</f>
        <v/>
      </c>
      <c r="F1778" s="16" t="n"/>
      <c r="G1778" s="16" t="n"/>
      <c r="H1778" s="1">
        <f>IF(OR(F1778=0,G1778=0),"",(G1778-F1778)*24)</f>
        <v/>
      </c>
      <c r="I1778" s="10" t="n"/>
      <c r="J1778" s="1">
        <f>IF(OR(tblDowntime[[#This Row],[Failure Type]]="Sawshop",tblDowntime[[#This Row],[Failure Type]]="Electrical",tblDowntime[[#This Row],[Failure Type]]="Mechanical"),tblDowntime[[#This Row],[Downtime Hours]],"")</f>
        <v/>
      </c>
      <c r="K1778" s="10" t="n"/>
      <c r="L1778" s="10" t="n"/>
      <c r="M1778">
        <f>IF(tblDowntime[[#This Row],[Maintenance Downtime Hours]]="","",tblDowntime[[#This Row],[Equipment ID]])</f>
        <v/>
      </c>
      <c r="N1778" s="1">
        <f>IF(tblDowntime[[#This Row],[Failure Type]]="Production",tblDowntime[[#This Row],[Downtime Hours]],"")</f>
        <v/>
      </c>
      <c r="O1778">
        <f>IF(tblDowntime[[#This Row],[Production Downtime Hours]]="","",tblDowntime[[#This Row],[Equipment ID]])</f>
        <v/>
      </c>
      <c r="P1778" s="10" t="n"/>
    </row>
    <row r="1779">
      <c r="B1779">
        <f t="array" ref="B1779">_xlfn.XLOOKUP(C1779,INDIRECT("tblEquipment[Equipment ID]"),INDIRECT("tblEquipment[Production Department]"),"")</f>
        <v/>
      </c>
      <c r="D1779">
        <f t="array" ref="D1779">_xlfn.XLOOKUP(C1779,INDIRECT("tblEquipment[Equipment ID]"),INDIRECT("tblEquipment[Equipment Name]"),"")</f>
        <v/>
      </c>
      <c r="F1779" s="16" t="n"/>
      <c r="G1779" s="16" t="n"/>
      <c r="H1779" s="1">
        <f>IF(OR(F1779=0,G1779=0),"",(G1779-F1779)*24)</f>
        <v/>
      </c>
      <c r="I1779" s="10" t="n"/>
      <c r="J1779" s="1">
        <f>IF(OR(tblDowntime[[#This Row],[Failure Type]]="Sawshop",tblDowntime[[#This Row],[Failure Type]]="Electrical",tblDowntime[[#This Row],[Failure Type]]="Mechanical"),tblDowntime[[#This Row],[Downtime Hours]],"")</f>
        <v/>
      </c>
      <c r="K1779" s="10" t="n"/>
      <c r="L1779" s="10" t="n"/>
      <c r="M1779">
        <f>IF(tblDowntime[[#This Row],[Maintenance Downtime Hours]]="","",tblDowntime[[#This Row],[Equipment ID]])</f>
        <v/>
      </c>
      <c r="N1779" s="1">
        <f>IF(tblDowntime[[#This Row],[Failure Type]]="Production",tblDowntime[[#This Row],[Downtime Hours]],"")</f>
        <v/>
      </c>
      <c r="O1779">
        <f>IF(tblDowntime[[#This Row],[Production Downtime Hours]]="","",tblDowntime[[#This Row],[Equipment ID]])</f>
        <v/>
      </c>
      <c r="P1779" s="10" t="n"/>
    </row>
    <row r="1780">
      <c r="B1780">
        <f t="array" ref="B1780">_xlfn.XLOOKUP(C1780,INDIRECT("tblEquipment[Equipment ID]"),INDIRECT("tblEquipment[Production Department]"),"")</f>
        <v/>
      </c>
      <c r="D1780">
        <f t="array" ref="D1780">_xlfn.XLOOKUP(C1780,INDIRECT("tblEquipment[Equipment ID]"),INDIRECT("tblEquipment[Equipment Name]"),"")</f>
        <v/>
      </c>
      <c r="F1780" s="16" t="n"/>
      <c r="G1780" s="16" t="n"/>
      <c r="H1780" s="1">
        <f>IF(OR(F1780=0,G1780=0),"",(G1780-F1780)*24)</f>
        <v/>
      </c>
      <c r="I1780" s="10" t="n"/>
      <c r="J1780" s="1">
        <f>IF(OR(tblDowntime[[#This Row],[Failure Type]]="Sawshop",tblDowntime[[#This Row],[Failure Type]]="Electrical",tblDowntime[[#This Row],[Failure Type]]="Mechanical"),tblDowntime[[#This Row],[Downtime Hours]],"")</f>
        <v/>
      </c>
      <c r="K1780" s="10" t="n"/>
      <c r="L1780" s="10" t="n"/>
      <c r="M1780">
        <f>IF(tblDowntime[[#This Row],[Maintenance Downtime Hours]]="","",tblDowntime[[#This Row],[Equipment ID]])</f>
        <v/>
      </c>
      <c r="N1780" s="1">
        <f>IF(tblDowntime[[#This Row],[Failure Type]]="Production",tblDowntime[[#This Row],[Downtime Hours]],"")</f>
        <v/>
      </c>
      <c r="O1780">
        <f>IF(tblDowntime[[#This Row],[Production Downtime Hours]]="","",tblDowntime[[#This Row],[Equipment ID]])</f>
        <v/>
      </c>
      <c r="P1780" s="10" t="n"/>
    </row>
    <row r="1781">
      <c r="B1781">
        <f t="array" ref="B1781">_xlfn.XLOOKUP(C1781,INDIRECT("tblEquipment[Equipment ID]"),INDIRECT("tblEquipment[Production Department]"),"")</f>
        <v/>
      </c>
      <c r="D1781">
        <f t="array" ref="D1781">_xlfn.XLOOKUP(C1781,INDIRECT("tblEquipment[Equipment ID]"),INDIRECT("tblEquipment[Equipment Name]"),"")</f>
        <v/>
      </c>
      <c r="F1781" s="16" t="n"/>
      <c r="G1781" s="16" t="n"/>
      <c r="H1781" s="1">
        <f>IF(OR(F1781=0,G1781=0),"",(G1781-F1781)*24)</f>
        <v/>
      </c>
      <c r="I1781" s="10" t="n"/>
      <c r="J1781" s="1">
        <f>IF(OR(tblDowntime[[#This Row],[Failure Type]]="Sawshop",tblDowntime[[#This Row],[Failure Type]]="Electrical",tblDowntime[[#This Row],[Failure Type]]="Mechanical"),tblDowntime[[#This Row],[Downtime Hours]],"")</f>
        <v/>
      </c>
      <c r="K1781" s="10" t="n"/>
      <c r="L1781" s="10" t="n"/>
      <c r="M1781">
        <f>IF(tblDowntime[[#This Row],[Maintenance Downtime Hours]]="","",tblDowntime[[#This Row],[Equipment ID]])</f>
        <v/>
      </c>
      <c r="N1781" s="1">
        <f>IF(tblDowntime[[#This Row],[Failure Type]]="Production",tblDowntime[[#This Row],[Downtime Hours]],"")</f>
        <v/>
      </c>
      <c r="O1781">
        <f>IF(tblDowntime[[#This Row],[Production Downtime Hours]]="","",tblDowntime[[#This Row],[Equipment ID]])</f>
        <v/>
      </c>
      <c r="P1781" s="10" t="n"/>
    </row>
    <row r="1782">
      <c r="B1782">
        <f t="array" ref="B1782">_xlfn.XLOOKUP(C1782,INDIRECT("tblEquipment[Equipment ID]"),INDIRECT("tblEquipment[Production Department]"),"")</f>
        <v/>
      </c>
      <c r="D1782">
        <f t="array" ref="D1782">_xlfn.XLOOKUP(C1782,INDIRECT("tblEquipment[Equipment ID]"),INDIRECT("tblEquipment[Equipment Name]"),"")</f>
        <v/>
      </c>
      <c r="F1782" s="16" t="n"/>
      <c r="G1782" s="16" t="n"/>
      <c r="H1782" s="1">
        <f>IF(OR(F1782=0,G1782=0),"",(G1782-F1782)*24)</f>
        <v/>
      </c>
      <c r="I1782" s="10" t="n"/>
      <c r="J1782" s="1">
        <f>IF(OR(tblDowntime[[#This Row],[Failure Type]]="Sawshop",tblDowntime[[#This Row],[Failure Type]]="Electrical",tblDowntime[[#This Row],[Failure Type]]="Mechanical"),tblDowntime[[#This Row],[Downtime Hours]],"")</f>
        <v/>
      </c>
      <c r="K1782" s="10" t="n"/>
      <c r="L1782" s="10" t="n"/>
      <c r="M1782">
        <f>IF(tblDowntime[[#This Row],[Maintenance Downtime Hours]]="","",tblDowntime[[#This Row],[Equipment ID]])</f>
        <v/>
      </c>
      <c r="N1782" s="1">
        <f>IF(tblDowntime[[#This Row],[Failure Type]]="Production",tblDowntime[[#This Row],[Downtime Hours]],"")</f>
        <v/>
      </c>
      <c r="O1782">
        <f>IF(tblDowntime[[#This Row],[Production Downtime Hours]]="","",tblDowntime[[#This Row],[Equipment ID]])</f>
        <v/>
      </c>
      <c r="P1782" s="10" t="n"/>
    </row>
    <row r="1783">
      <c r="B1783">
        <f t="array" ref="B1783">_xlfn.XLOOKUP(C1783,INDIRECT("tblEquipment[Equipment ID]"),INDIRECT("tblEquipment[Production Department]"),"")</f>
        <v/>
      </c>
      <c r="D1783">
        <f t="array" ref="D1783">_xlfn.XLOOKUP(C1783,INDIRECT("tblEquipment[Equipment ID]"),INDIRECT("tblEquipment[Equipment Name]"),"")</f>
        <v/>
      </c>
      <c r="F1783" s="16" t="n"/>
      <c r="G1783" s="16" t="n"/>
      <c r="H1783" s="1">
        <f>IF(OR(F1783=0,G1783=0),"",(G1783-F1783)*24)</f>
        <v/>
      </c>
      <c r="I1783" s="10" t="n"/>
      <c r="J1783" s="1">
        <f>IF(OR(tblDowntime[[#This Row],[Failure Type]]="Sawshop",tblDowntime[[#This Row],[Failure Type]]="Electrical",tblDowntime[[#This Row],[Failure Type]]="Mechanical"),tblDowntime[[#This Row],[Downtime Hours]],"")</f>
        <v/>
      </c>
      <c r="K1783" s="10" t="n"/>
      <c r="L1783" s="10" t="n"/>
      <c r="M1783">
        <f>IF(tblDowntime[[#This Row],[Maintenance Downtime Hours]]="","",tblDowntime[[#This Row],[Equipment ID]])</f>
        <v/>
      </c>
      <c r="N1783" s="1">
        <f>IF(tblDowntime[[#This Row],[Failure Type]]="Production",tblDowntime[[#This Row],[Downtime Hours]],"")</f>
        <v/>
      </c>
      <c r="O1783">
        <f>IF(tblDowntime[[#This Row],[Production Downtime Hours]]="","",tblDowntime[[#This Row],[Equipment ID]])</f>
        <v/>
      </c>
      <c r="P1783" s="10" t="n"/>
    </row>
    <row r="1784">
      <c r="B1784">
        <f t="array" ref="B1784">_xlfn.XLOOKUP(C1784,INDIRECT("tblEquipment[Equipment ID]"),INDIRECT("tblEquipment[Production Department]"),"")</f>
        <v/>
      </c>
      <c r="D1784">
        <f t="array" ref="D1784">_xlfn.XLOOKUP(C1784,INDIRECT("tblEquipment[Equipment ID]"),INDIRECT("tblEquipment[Equipment Name]"),"")</f>
        <v/>
      </c>
      <c r="F1784" s="16" t="n"/>
      <c r="G1784" s="16" t="n"/>
      <c r="H1784" s="1">
        <f>IF(OR(F1784=0,G1784=0),"",(G1784-F1784)*24)</f>
        <v/>
      </c>
      <c r="I1784" s="10" t="n"/>
      <c r="J1784" s="1">
        <f>IF(OR(tblDowntime[[#This Row],[Failure Type]]="Sawshop",tblDowntime[[#This Row],[Failure Type]]="Electrical",tblDowntime[[#This Row],[Failure Type]]="Mechanical"),tblDowntime[[#This Row],[Downtime Hours]],"")</f>
        <v/>
      </c>
      <c r="K1784" s="10" t="n"/>
      <c r="L1784" s="10" t="n"/>
      <c r="M1784">
        <f>IF(tblDowntime[[#This Row],[Maintenance Downtime Hours]]="","",tblDowntime[[#This Row],[Equipment ID]])</f>
        <v/>
      </c>
      <c r="N1784" s="1">
        <f>IF(tblDowntime[[#This Row],[Failure Type]]="Production",tblDowntime[[#This Row],[Downtime Hours]],"")</f>
        <v/>
      </c>
      <c r="O1784">
        <f>IF(tblDowntime[[#This Row],[Production Downtime Hours]]="","",tblDowntime[[#This Row],[Equipment ID]])</f>
        <v/>
      </c>
      <c r="P1784" s="10" t="n"/>
    </row>
    <row r="1785">
      <c r="B1785">
        <f t="array" ref="B1785">_xlfn.XLOOKUP(C1785,INDIRECT("tblEquipment[Equipment ID]"),INDIRECT("tblEquipment[Production Department]"),"")</f>
        <v/>
      </c>
      <c r="D1785">
        <f t="array" ref="D1785">_xlfn.XLOOKUP(C1785,INDIRECT("tblEquipment[Equipment ID]"),INDIRECT("tblEquipment[Equipment Name]"),"")</f>
        <v/>
      </c>
      <c r="F1785" s="16" t="n"/>
      <c r="G1785" s="16" t="n"/>
      <c r="H1785" s="1">
        <f>IF(OR(F1785=0,G1785=0),"",(G1785-F1785)*24)</f>
        <v/>
      </c>
      <c r="I1785" s="10" t="n"/>
      <c r="J1785" s="1">
        <f>IF(OR(tblDowntime[[#This Row],[Failure Type]]="Sawshop",tblDowntime[[#This Row],[Failure Type]]="Electrical",tblDowntime[[#This Row],[Failure Type]]="Mechanical"),tblDowntime[[#This Row],[Downtime Hours]],"")</f>
        <v/>
      </c>
      <c r="K1785" s="10" t="n"/>
      <c r="L1785" s="10" t="n"/>
      <c r="M1785">
        <f>IF(tblDowntime[[#This Row],[Maintenance Downtime Hours]]="","",tblDowntime[[#This Row],[Equipment ID]])</f>
        <v/>
      </c>
      <c r="N1785" s="1">
        <f>IF(tblDowntime[[#This Row],[Failure Type]]="Production",tblDowntime[[#This Row],[Downtime Hours]],"")</f>
        <v/>
      </c>
      <c r="O1785">
        <f>IF(tblDowntime[[#This Row],[Production Downtime Hours]]="","",tblDowntime[[#This Row],[Equipment ID]])</f>
        <v/>
      </c>
      <c r="P1785" s="10" t="n"/>
    </row>
    <row r="1786">
      <c r="B1786">
        <f t="array" ref="B1786">_xlfn.XLOOKUP(C1786,INDIRECT("tblEquipment[Equipment ID]"),INDIRECT("tblEquipment[Production Department]"),"")</f>
        <v/>
      </c>
      <c r="D1786">
        <f t="array" ref="D1786">_xlfn.XLOOKUP(C1786,INDIRECT("tblEquipment[Equipment ID]"),INDIRECT("tblEquipment[Equipment Name]"),"")</f>
        <v/>
      </c>
      <c r="F1786" s="16" t="n"/>
      <c r="G1786" s="16" t="n"/>
      <c r="H1786" s="1">
        <f>IF(OR(F1786=0,G1786=0),"",(G1786-F1786)*24)</f>
        <v/>
      </c>
      <c r="I1786" s="10" t="n"/>
      <c r="J1786" s="1">
        <f>IF(OR(tblDowntime[[#This Row],[Failure Type]]="Sawshop",tblDowntime[[#This Row],[Failure Type]]="Electrical",tblDowntime[[#This Row],[Failure Type]]="Mechanical"),tblDowntime[[#This Row],[Downtime Hours]],"")</f>
        <v/>
      </c>
      <c r="K1786" s="10" t="n"/>
      <c r="L1786" s="10" t="n"/>
      <c r="M1786">
        <f>IF(tblDowntime[[#This Row],[Maintenance Downtime Hours]]="","",tblDowntime[[#This Row],[Equipment ID]])</f>
        <v/>
      </c>
      <c r="N1786" s="1">
        <f>IF(tblDowntime[[#This Row],[Failure Type]]="Production",tblDowntime[[#This Row],[Downtime Hours]],"")</f>
        <v/>
      </c>
      <c r="O1786">
        <f>IF(tblDowntime[[#This Row],[Production Downtime Hours]]="","",tblDowntime[[#This Row],[Equipment ID]])</f>
        <v/>
      </c>
      <c r="P1786" s="10" t="n"/>
    </row>
    <row r="1787">
      <c r="B1787">
        <f t="array" ref="B1787">_xlfn.XLOOKUP(C1787,INDIRECT("tblEquipment[Equipment ID]"),INDIRECT("tblEquipment[Production Department]"),"")</f>
        <v/>
      </c>
      <c r="D1787">
        <f t="array" ref="D1787">_xlfn.XLOOKUP(C1787,INDIRECT("tblEquipment[Equipment ID]"),INDIRECT("tblEquipment[Equipment Name]"),"")</f>
        <v/>
      </c>
      <c r="F1787" s="16" t="n"/>
      <c r="G1787" s="16" t="n"/>
      <c r="H1787" s="1">
        <f>IF(OR(F1787=0,G1787=0),"",(G1787-F1787)*24)</f>
        <v/>
      </c>
      <c r="I1787" s="10" t="n"/>
      <c r="J1787" s="1">
        <f>IF(OR(tblDowntime[[#This Row],[Failure Type]]="Sawshop",tblDowntime[[#This Row],[Failure Type]]="Electrical",tblDowntime[[#This Row],[Failure Type]]="Mechanical"),tblDowntime[[#This Row],[Downtime Hours]],"")</f>
        <v/>
      </c>
      <c r="K1787" s="10" t="n"/>
      <c r="L1787" s="10" t="n"/>
      <c r="M1787">
        <f>IF(tblDowntime[[#This Row],[Maintenance Downtime Hours]]="","",tblDowntime[[#This Row],[Equipment ID]])</f>
        <v/>
      </c>
      <c r="N1787" s="1">
        <f>IF(tblDowntime[[#This Row],[Failure Type]]="Production",tblDowntime[[#This Row],[Downtime Hours]],"")</f>
        <v/>
      </c>
      <c r="O1787">
        <f>IF(tblDowntime[[#This Row],[Production Downtime Hours]]="","",tblDowntime[[#This Row],[Equipment ID]])</f>
        <v/>
      </c>
      <c r="P1787" s="10" t="n"/>
    </row>
    <row r="1788">
      <c r="B1788">
        <f t="array" ref="B1788">_xlfn.XLOOKUP(C1788,INDIRECT("tblEquipment[Equipment ID]"),INDIRECT("tblEquipment[Production Department]"),"")</f>
        <v/>
      </c>
      <c r="D1788">
        <f t="array" ref="D1788">_xlfn.XLOOKUP(C1788,INDIRECT("tblEquipment[Equipment ID]"),INDIRECT("tblEquipment[Equipment Name]"),"")</f>
        <v/>
      </c>
      <c r="F1788" s="16" t="n"/>
      <c r="G1788" s="16" t="n"/>
      <c r="H1788" s="1">
        <f>IF(OR(F1788=0,G1788=0),"",(G1788-F1788)*24)</f>
        <v/>
      </c>
      <c r="I1788" s="10" t="n"/>
      <c r="J1788" s="1">
        <f>IF(OR(tblDowntime[[#This Row],[Failure Type]]="Sawshop",tblDowntime[[#This Row],[Failure Type]]="Electrical",tblDowntime[[#This Row],[Failure Type]]="Mechanical"),tblDowntime[[#This Row],[Downtime Hours]],"")</f>
        <v/>
      </c>
      <c r="K1788" s="10" t="n"/>
      <c r="L1788" s="10" t="n"/>
      <c r="M1788">
        <f>IF(tblDowntime[[#This Row],[Maintenance Downtime Hours]]="","",tblDowntime[[#This Row],[Equipment ID]])</f>
        <v/>
      </c>
      <c r="N1788" s="1">
        <f>IF(tblDowntime[[#This Row],[Failure Type]]="Production",tblDowntime[[#This Row],[Downtime Hours]],"")</f>
        <v/>
      </c>
      <c r="O1788">
        <f>IF(tblDowntime[[#This Row],[Production Downtime Hours]]="","",tblDowntime[[#This Row],[Equipment ID]])</f>
        <v/>
      </c>
      <c r="P1788" s="10" t="n"/>
    </row>
    <row r="1789">
      <c r="B1789">
        <f t="array" ref="B1789">_xlfn.XLOOKUP(C1789,INDIRECT("tblEquipment[Equipment ID]"),INDIRECT("tblEquipment[Production Department]"),"")</f>
        <v/>
      </c>
      <c r="D1789">
        <f t="array" ref="D1789">_xlfn.XLOOKUP(C1789,INDIRECT("tblEquipment[Equipment ID]"),INDIRECT("tblEquipment[Equipment Name]"),"")</f>
        <v/>
      </c>
      <c r="F1789" s="16" t="n"/>
      <c r="G1789" s="16" t="n"/>
      <c r="H1789" s="1">
        <f>IF(OR(F1789=0,G1789=0),"",(G1789-F1789)*24)</f>
        <v/>
      </c>
      <c r="I1789" s="10" t="n"/>
      <c r="J1789" s="1">
        <f>IF(OR(tblDowntime[[#This Row],[Failure Type]]="Sawshop",tblDowntime[[#This Row],[Failure Type]]="Electrical",tblDowntime[[#This Row],[Failure Type]]="Mechanical"),tblDowntime[[#This Row],[Downtime Hours]],"")</f>
        <v/>
      </c>
      <c r="K1789" s="10" t="n"/>
      <c r="L1789" s="10" t="n"/>
      <c r="M1789">
        <f>IF(tblDowntime[[#This Row],[Maintenance Downtime Hours]]="","",tblDowntime[[#This Row],[Equipment ID]])</f>
        <v/>
      </c>
      <c r="N1789" s="1">
        <f>IF(tblDowntime[[#This Row],[Failure Type]]="Production",tblDowntime[[#This Row],[Downtime Hours]],"")</f>
        <v/>
      </c>
      <c r="O1789">
        <f>IF(tblDowntime[[#This Row],[Production Downtime Hours]]="","",tblDowntime[[#This Row],[Equipment ID]])</f>
        <v/>
      </c>
      <c r="P1789" s="10" t="n"/>
    </row>
    <row r="1790">
      <c r="B1790">
        <f t="array" ref="B1790">_xlfn.XLOOKUP(C1790,INDIRECT("tblEquipment[Equipment ID]"),INDIRECT("tblEquipment[Production Department]"),"")</f>
        <v/>
      </c>
      <c r="D1790">
        <f t="array" ref="D1790">_xlfn.XLOOKUP(C1790,INDIRECT("tblEquipment[Equipment ID]"),INDIRECT("tblEquipment[Equipment Name]"),"")</f>
        <v/>
      </c>
      <c r="F1790" s="16" t="n"/>
      <c r="G1790" s="16" t="n"/>
      <c r="H1790" s="1">
        <f>IF(OR(F1790=0,G1790=0),"",(G1790-F1790)*24)</f>
        <v/>
      </c>
      <c r="I1790" s="10" t="n"/>
      <c r="J1790" s="1">
        <f>IF(OR(tblDowntime[[#This Row],[Failure Type]]="Sawshop",tblDowntime[[#This Row],[Failure Type]]="Electrical",tblDowntime[[#This Row],[Failure Type]]="Mechanical"),tblDowntime[[#This Row],[Downtime Hours]],"")</f>
        <v/>
      </c>
      <c r="K1790" s="10" t="n"/>
      <c r="L1790" s="10" t="n"/>
      <c r="M1790">
        <f>IF(tblDowntime[[#This Row],[Maintenance Downtime Hours]]="","",tblDowntime[[#This Row],[Equipment ID]])</f>
        <v/>
      </c>
      <c r="N1790" s="1">
        <f>IF(tblDowntime[[#This Row],[Failure Type]]="Production",tblDowntime[[#This Row],[Downtime Hours]],"")</f>
        <v/>
      </c>
      <c r="O1790">
        <f>IF(tblDowntime[[#This Row],[Production Downtime Hours]]="","",tblDowntime[[#This Row],[Equipment ID]])</f>
        <v/>
      </c>
      <c r="P1790" s="10" t="n"/>
    </row>
    <row r="1791">
      <c r="B1791">
        <f t="array" ref="B1791">_xlfn.XLOOKUP(C1791,INDIRECT("tblEquipment[Equipment ID]"),INDIRECT("tblEquipment[Production Department]"),"")</f>
        <v/>
      </c>
      <c r="D1791">
        <f t="array" ref="D1791">_xlfn.XLOOKUP(C1791,INDIRECT("tblEquipment[Equipment ID]"),INDIRECT("tblEquipment[Equipment Name]"),"")</f>
        <v/>
      </c>
      <c r="F1791" s="16" t="n"/>
      <c r="G1791" s="16" t="n"/>
      <c r="H1791" s="1">
        <f>IF(OR(F1791=0,G1791=0),"",(G1791-F1791)*24)</f>
        <v/>
      </c>
      <c r="I1791" s="10" t="n"/>
      <c r="J1791" s="1">
        <f>IF(OR(tblDowntime[[#This Row],[Failure Type]]="Sawshop",tblDowntime[[#This Row],[Failure Type]]="Electrical",tblDowntime[[#This Row],[Failure Type]]="Mechanical"),tblDowntime[[#This Row],[Downtime Hours]],"")</f>
        <v/>
      </c>
      <c r="K1791" s="10" t="n"/>
      <c r="L1791" s="10" t="n"/>
      <c r="M1791">
        <f>IF(tblDowntime[[#This Row],[Maintenance Downtime Hours]]="","",tblDowntime[[#This Row],[Equipment ID]])</f>
        <v/>
      </c>
      <c r="N1791" s="1">
        <f>IF(tblDowntime[[#This Row],[Failure Type]]="Production",tblDowntime[[#This Row],[Downtime Hours]],"")</f>
        <v/>
      </c>
      <c r="O1791">
        <f>IF(tblDowntime[[#This Row],[Production Downtime Hours]]="","",tblDowntime[[#This Row],[Equipment ID]])</f>
        <v/>
      </c>
      <c r="P1791" s="10" t="n"/>
    </row>
    <row r="1792">
      <c r="B1792">
        <f t="array" ref="B1792">_xlfn.XLOOKUP(C1792,INDIRECT("tblEquipment[Equipment ID]"),INDIRECT("tblEquipment[Production Department]"),"")</f>
        <v/>
      </c>
      <c r="D1792">
        <f t="array" ref="D1792">_xlfn.XLOOKUP(C1792,INDIRECT("tblEquipment[Equipment ID]"),INDIRECT("tblEquipment[Equipment Name]"),"")</f>
        <v/>
      </c>
      <c r="F1792" s="16" t="n"/>
      <c r="G1792" s="16" t="n"/>
      <c r="H1792" s="1">
        <f>IF(OR(F1792=0,G1792=0),"",(G1792-F1792)*24)</f>
        <v/>
      </c>
      <c r="I1792" s="10" t="n"/>
      <c r="J1792" s="1">
        <f>IF(OR(tblDowntime[[#This Row],[Failure Type]]="Sawshop",tblDowntime[[#This Row],[Failure Type]]="Electrical",tblDowntime[[#This Row],[Failure Type]]="Mechanical"),tblDowntime[[#This Row],[Downtime Hours]],"")</f>
        <v/>
      </c>
      <c r="K1792" s="10" t="n"/>
      <c r="L1792" s="10" t="n"/>
      <c r="M1792">
        <f>IF(tblDowntime[[#This Row],[Maintenance Downtime Hours]]="","",tblDowntime[[#This Row],[Equipment ID]])</f>
        <v/>
      </c>
      <c r="N1792" s="1">
        <f>IF(tblDowntime[[#This Row],[Failure Type]]="Production",tblDowntime[[#This Row],[Downtime Hours]],"")</f>
        <v/>
      </c>
      <c r="O1792">
        <f>IF(tblDowntime[[#This Row],[Production Downtime Hours]]="","",tblDowntime[[#This Row],[Equipment ID]])</f>
        <v/>
      </c>
      <c r="P1792" s="10" t="n"/>
    </row>
    <row r="1793">
      <c r="B1793">
        <f t="array" ref="B1793">_xlfn.XLOOKUP(C1793,INDIRECT("tblEquipment[Equipment ID]"),INDIRECT("tblEquipment[Production Department]"),"")</f>
        <v/>
      </c>
      <c r="D1793">
        <f t="array" ref="D1793">_xlfn.XLOOKUP(C1793,INDIRECT("tblEquipment[Equipment ID]"),INDIRECT("tblEquipment[Equipment Name]"),"")</f>
        <v/>
      </c>
      <c r="F1793" s="16" t="n"/>
      <c r="G1793" s="16" t="n"/>
      <c r="H1793" s="1">
        <f>IF(OR(F1793=0,G1793=0),"",(G1793-F1793)*24)</f>
        <v/>
      </c>
      <c r="I1793" s="10" t="n"/>
      <c r="J1793" s="1">
        <f>IF(OR(tblDowntime[[#This Row],[Failure Type]]="Sawshop",tblDowntime[[#This Row],[Failure Type]]="Electrical",tblDowntime[[#This Row],[Failure Type]]="Mechanical"),tblDowntime[[#This Row],[Downtime Hours]],"")</f>
        <v/>
      </c>
      <c r="K1793" s="10" t="n"/>
      <c r="L1793" s="10" t="n"/>
      <c r="M1793">
        <f>IF(tblDowntime[[#This Row],[Maintenance Downtime Hours]]="","",tblDowntime[[#This Row],[Equipment ID]])</f>
        <v/>
      </c>
      <c r="N1793" s="1">
        <f>IF(tblDowntime[[#This Row],[Failure Type]]="Production",tblDowntime[[#This Row],[Downtime Hours]],"")</f>
        <v/>
      </c>
      <c r="O1793">
        <f>IF(tblDowntime[[#This Row],[Production Downtime Hours]]="","",tblDowntime[[#This Row],[Equipment ID]])</f>
        <v/>
      </c>
      <c r="P1793" s="10" t="n"/>
    </row>
    <row r="1794">
      <c r="B1794">
        <f t="array" ref="B1794">_xlfn.XLOOKUP(C1794,INDIRECT("tblEquipment[Equipment ID]"),INDIRECT("tblEquipment[Production Department]"),"")</f>
        <v/>
      </c>
      <c r="D1794">
        <f t="array" ref="D1794">_xlfn.XLOOKUP(C1794,INDIRECT("tblEquipment[Equipment ID]"),INDIRECT("tblEquipment[Equipment Name]"),"")</f>
        <v/>
      </c>
      <c r="F1794" s="16" t="n"/>
      <c r="G1794" s="16" t="n"/>
      <c r="H1794" s="1">
        <f>IF(OR(F1794=0,G1794=0),"",(G1794-F1794)*24)</f>
        <v/>
      </c>
      <c r="I1794" s="10" t="n"/>
      <c r="J1794" s="1">
        <f>IF(OR(tblDowntime[[#This Row],[Failure Type]]="Sawshop",tblDowntime[[#This Row],[Failure Type]]="Electrical",tblDowntime[[#This Row],[Failure Type]]="Mechanical"),tblDowntime[[#This Row],[Downtime Hours]],"")</f>
        <v/>
      </c>
      <c r="K1794" s="10" t="n"/>
      <c r="L1794" s="10" t="n"/>
      <c r="M1794">
        <f>IF(tblDowntime[[#This Row],[Maintenance Downtime Hours]]="","",tblDowntime[[#This Row],[Equipment ID]])</f>
        <v/>
      </c>
      <c r="N1794" s="1">
        <f>IF(tblDowntime[[#This Row],[Failure Type]]="Production",tblDowntime[[#This Row],[Downtime Hours]],"")</f>
        <v/>
      </c>
      <c r="O1794">
        <f>IF(tblDowntime[[#This Row],[Production Downtime Hours]]="","",tblDowntime[[#This Row],[Equipment ID]])</f>
        <v/>
      </c>
      <c r="P1794" s="10" t="n"/>
    </row>
    <row r="1795">
      <c r="B1795">
        <f t="array" ref="B1795">_xlfn.XLOOKUP(C1795,INDIRECT("tblEquipment[Equipment ID]"),INDIRECT("tblEquipment[Production Department]"),"")</f>
        <v/>
      </c>
      <c r="D1795">
        <f t="array" ref="D1795">_xlfn.XLOOKUP(C1795,INDIRECT("tblEquipment[Equipment ID]"),INDIRECT("tblEquipment[Equipment Name]"),"")</f>
        <v/>
      </c>
      <c r="F1795" s="16" t="n"/>
      <c r="G1795" s="16" t="n"/>
      <c r="H1795" s="1">
        <f>IF(OR(F1795=0,G1795=0),"",(G1795-F1795)*24)</f>
        <v/>
      </c>
      <c r="I1795" s="10" t="n"/>
      <c r="J1795" s="1">
        <f>IF(OR(tblDowntime[[#This Row],[Failure Type]]="Sawshop",tblDowntime[[#This Row],[Failure Type]]="Electrical",tblDowntime[[#This Row],[Failure Type]]="Mechanical"),tblDowntime[[#This Row],[Downtime Hours]],"")</f>
        <v/>
      </c>
      <c r="K1795" s="10" t="n"/>
      <c r="L1795" s="10" t="n"/>
      <c r="M1795">
        <f>IF(tblDowntime[[#This Row],[Maintenance Downtime Hours]]="","",tblDowntime[[#This Row],[Equipment ID]])</f>
        <v/>
      </c>
      <c r="N1795" s="1">
        <f>IF(tblDowntime[[#This Row],[Failure Type]]="Production",tblDowntime[[#This Row],[Downtime Hours]],"")</f>
        <v/>
      </c>
      <c r="O1795">
        <f>IF(tblDowntime[[#This Row],[Production Downtime Hours]]="","",tblDowntime[[#This Row],[Equipment ID]])</f>
        <v/>
      </c>
      <c r="P1795" s="10" t="n"/>
    </row>
    <row r="1796">
      <c r="B1796">
        <f t="array" ref="B1796">_xlfn.XLOOKUP(C1796,INDIRECT("tblEquipment[Equipment ID]"),INDIRECT("tblEquipment[Production Department]"),"")</f>
        <v/>
      </c>
      <c r="D1796">
        <f t="array" ref="D1796">_xlfn.XLOOKUP(C1796,INDIRECT("tblEquipment[Equipment ID]"),INDIRECT("tblEquipment[Equipment Name]"),"")</f>
        <v/>
      </c>
      <c r="F1796" s="16" t="n"/>
      <c r="G1796" s="16" t="n"/>
      <c r="H1796" s="1">
        <f>IF(OR(F1796=0,G1796=0),"",(G1796-F1796)*24)</f>
        <v/>
      </c>
      <c r="I1796" s="10" t="n"/>
      <c r="J1796" s="1">
        <f>IF(OR(tblDowntime[[#This Row],[Failure Type]]="Sawshop",tblDowntime[[#This Row],[Failure Type]]="Electrical",tblDowntime[[#This Row],[Failure Type]]="Mechanical"),tblDowntime[[#This Row],[Downtime Hours]],"")</f>
        <v/>
      </c>
      <c r="K1796" s="10" t="n"/>
      <c r="L1796" s="10" t="n"/>
      <c r="M1796">
        <f>IF(tblDowntime[[#This Row],[Maintenance Downtime Hours]]="","",tblDowntime[[#This Row],[Equipment ID]])</f>
        <v/>
      </c>
      <c r="N1796" s="1">
        <f>IF(tblDowntime[[#This Row],[Failure Type]]="Production",tblDowntime[[#This Row],[Downtime Hours]],"")</f>
        <v/>
      </c>
      <c r="O1796">
        <f>IF(tblDowntime[[#This Row],[Production Downtime Hours]]="","",tblDowntime[[#This Row],[Equipment ID]])</f>
        <v/>
      </c>
      <c r="P1796" s="10" t="n"/>
    </row>
    <row r="1797">
      <c r="B1797">
        <f t="array" ref="B1797">_xlfn.XLOOKUP(C1797,INDIRECT("tblEquipment[Equipment ID]"),INDIRECT("tblEquipment[Production Department]"),"")</f>
        <v/>
      </c>
      <c r="D1797">
        <f t="array" ref="D1797">_xlfn.XLOOKUP(C1797,INDIRECT("tblEquipment[Equipment ID]"),INDIRECT("tblEquipment[Equipment Name]"),"")</f>
        <v/>
      </c>
      <c r="F1797" s="16" t="n"/>
      <c r="G1797" s="16" t="n"/>
      <c r="H1797" s="1">
        <f>IF(OR(F1797=0,G1797=0),"",(G1797-F1797)*24)</f>
        <v/>
      </c>
      <c r="I1797" s="10" t="n"/>
      <c r="J1797" s="1">
        <f>IF(OR(tblDowntime[[#This Row],[Failure Type]]="Sawshop",tblDowntime[[#This Row],[Failure Type]]="Electrical",tblDowntime[[#This Row],[Failure Type]]="Mechanical"),tblDowntime[[#This Row],[Downtime Hours]],"")</f>
        <v/>
      </c>
      <c r="K1797" s="10" t="n"/>
      <c r="L1797" s="10" t="n"/>
      <c r="M1797">
        <f>IF(tblDowntime[[#This Row],[Maintenance Downtime Hours]]="","",tblDowntime[[#This Row],[Equipment ID]])</f>
        <v/>
      </c>
      <c r="N1797" s="1">
        <f>IF(tblDowntime[[#This Row],[Failure Type]]="Production",tblDowntime[[#This Row],[Downtime Hours]],"")</f>
        <v/>
      </c>
      <c r="O1797">
        <f>IF(tblDowntime[[#This Row],[Production Downtime Hours]]="","",tblDowntime[[#This Row],[Equipment ID]])</f>
        <v/>
      </c>
      <c r="P1797" s="10" t="n"/>
    </row>
    <row r="1798">
      <c r="B1798">
        <f t="array" ref="B1798">_xlfn.XLOOKUP(C1798,INDIRECT("tblEquipment[Equipment ID]"),INDIRECT("tblEquipment[Production Department]"),"")</f>
        <v/>
      </c>
      <c r="D1798">
        <f t="array" ref="D1798">_xlfn.XLOOKUP(C1798,INDIRECT("tblEquipment[Equipment ID]"),INDIRECT("tblEquipment[Equipment Name]"),"")</f>
        <v/>
      </c>
      <c r="F1798" s="16" t="n"/>
      <c r="G1798" s="16" t="n"/>
      <c r="H1798" s="1">
        <f>IF(OR(F1798=0,G1798=0),"",(G1798-F1798)*24)</f>
        <v/>
      </c>
      <c r="I1798" s="10" t="n"/>
      <c r="J1798" s="1">
        <f>IF(OR(tblDowntime[[#This Row],[Failure Type]]="Sawshop",tblDowntime[[#This Row],[Failure Type]]="Electrical",tblDowntime[[#This Row],[Failure Type]]="Mechanical"),tblDowntime[[#This Row],[Downtime Hours]],"")</f>
        <v/>
      </c>
      <c r="K1798" s="10" t="n"/>
      <c r="L1798" s="10" t="n"/>
      <c r="M1798">
        <f>IF(tblDowntime[[#This Row],[Maintenance Downtime Hours]]="","",tblDowntime[[#This Row],[Equipment ID]])</f>
        <v/>
      </c>
      <c r="N1798" s="1">
        <f>IF(tblDowntime[[#This Row],[Failure Type]]="Production",tblDowntime[[#This Row],[Downtime Hours]],"")</f>
        <v/>
      </c>
      <c r="O1798">
        <f>IF(tblDowntime[[#This Row],[Production Downtime Hours]]="","",tblDowntime[[#This Row],[Equipment ID]])</f>
        <v/>
      </c>
      <c r="P1798" s="10" t="n"/>
    </row>
    <row r="1799">
      <c r="B1799">
        <f t="array" ref="B1799">_xlfn.XLOOKUP(C1799,INDIRECT("tblEquipment[Equipment ID]"),INDIRECT("tblEquipment[Production Department]"),"")</f>
        <v/>
      </c>
      <c r="D1799">
        <f t="array" ref="D1799">_xlfn.XLOOKUP(C1799,INDIRECT("tblEquipment[Equipment ID]"),INDIRECT("tblEquipment[Equipment Name]"),"")</f>
        <v/>
      </c>
      <c r="F1799" s="16" t="n"/>
      <c r="G1799" s="16" t="n"/>
      <c r="H1799" s="1">
        <f>IF(OR(F1799=0,G1799=0),"",(G1799-F1799)*24)</f>
        <v/>
      </c>
      <c r="I1799" s="10" t="n"/>
      <c r="J1799" s="1">
        <f>IF(OR(tblDowntime[[#This Row],[Failure Type]]="Sawshop",tblDowntime[[#This Row],[Failure Type]]="Electrical",tblDowntime[[#This Row],[Failure Type]]="Mechanical"),tblDowntime[[#This Row],[Downtime Hours]],"")</f>
        <v/>
      </c>
      <c r="K1799" s="10" t="n"/>
      <c r="L1799" s="10" t="n"/>
      <c r="M1799">
        <f>IF(tblDowntime[[#This Row],[Maintenance Downtime Hours]]="","",tblDowntime[[#This Row],[Equipment ID]])</f>
        <v/>
      </c>
      <c r="N1799" s="1">
        <f>IF(tblDowntime[[#This Row],[Failure Type]]="Production",tblDowntime[[#This Row],[Downtime Hours]],"")</f>
        <v/>
      </c>
      <c r="O1799">
        <f>IF(tblDowntime[[#This Row],[Production Downtime Hours]]="","",tblDowntime[[#This Row],[Equipment ID]])</f>
        <v/>
      </c>
      <c r="P1799" s="10" t="n"/>
    </row>
    <row r="1800">
      <c r="B1800">
        <f t="array" ref="B1800">_xlfn.XLOOKUP(C1800,INDIRECT("tblEquipment[Equipment ID]"),INDIRECT("tblEquipment[Production Department]"),"")</f>
        <v/>
      </c>
      <c r="D1800">
        <f t="array" ref="D1800">_xlfn.XLOOKUP(C1800,INDIRECT("tblEquipment[Equipment ID]"),INDIRECT("tblEquipment[Equipment Name]"),"")</f>
        <v/>
      </c>
      <c r="F1800" s="16" t="n"/>
      <c r="G1800" s="16" t="n"/>
      <c r="H1800" s="1">
        <f>IF(OR(F1800=0,G1800=0),"",(G1800-F1800)*24)</f>
        <v/>
      </c>
      <c r="I1800" s="10" t="n"/>
      <c r="J1800" s="1">
        <f>IF(OR(tblDowntime[[#This Row],[Failure Type]]="Sawshop",tblDowntime[[#This Row],[Failure Type]]="Electrical",tblDowntime[[#This Row],[Failure Type]]="Mechanical"),tblDowntime[[#This Row],[Downtime Hours]],"")</f>
        <v/>
      </c>
      <c r="K1800" s="10" t="n"/>
      <c r="L1800" s="10" t="n"/>
      <c r="M1800">
        <f>IF(tblDowntime[[#This Row],[Maintenance Downtime Hours]]="","",tblDowntime[[#This Row],[Equipment ID]])</f>
        <v/>
      </c>
      <c r="N1800" s="1">
        <f>IF(tblDowntime[[#This Row],[Failure Type]]="Production",tblDowntime[[#This Row],[Downtime Hours]],"")</f>
        <v/>
      </c>
      <c r="O1800">
        <f>IF(tblDowntime[[#This Row],[Production Downtime Hours]]="","",tblDowntime[[#This Row],[Equipment ID]])</f>
        <v/>
      </c>
      <c r="P1800" s="10" t="n"/>
    </row>
    <row r="1801">
      <c r="B1801">
        <f t="array" ref="B1801">_xlfn.XLOOKUP(C1801,INDIRECT("tblEquipment[Equipment ID]"),INDIRECT("tblEquipment[Production Department]"),"")</f>
        <v/>
      </c>
      <c r="D1801">
        <f t="array" ref="D1801">_xlfn.XLOOKUP(C1801,INDIRECT("tblEquipment[Equipment ID]"),INDIRECT("tblEquipment[Equipment Name]"),"")</f>
        <v/>
      </c>
      <c r="F1801" s="16" t="n"/>
      <c r="G1801" s="16" t="n"/>
      <c r="H1801" s="1">
        <f>IF(OR(F1801=0,G1801=0),"",(G1801-F1801)*24)</f>
        <v/>
      </c>
      <c r="I1801" s="10" t="n"/>
      <c r="J1801" s="1">
        <f>IF(OR(tblDowntime[[#This Row],[Failure Type]]="Sawshop",tblDowntime[[#This Row],[Failure Type]]="Electrical",tblDowntime[[#This Row],[Failure Type]]="Mechanical"),tblDowntime[[#This Row],[Downtime Hours]],"")</f>
        <v/>
      </c>
      <c r="K1801" s="10" t="n"/>
      <c r="L1801" s="10" t="n"/>
      <c r="M1801">
        <f>IF(tblDowntime[[#This Row],[Maintenance Downtime Hours]]="","",tblDowntime[[#This Row],[Equipment ID]])</f>
        <v/>
      </c>
      <c r="N1801" s="1">
        <f>IF(tblDowntime[[#This Row],[Failure Type]]="Production",tblDowntime[[#This Row],[Downtime Hours]],"")</f>
        <v/>
      </c>
      <c r="O1801">
        <f>IF(tblDowntime[[#This Row],[Production Downtime Hours]]="","",tblDowntime[[#This Row],[Equipment ID]])</f>
        <v/>
      </c>
      <c r="P1801" s="10" t="n"/>
    </row>
    <row r="1802">
      <c r="B1802">
        <f t="array" ref="B1802">_xlfn.XLOOKUP(C1802,INDIRECT("tblEquipment[Equipment ID]"),INDIRECT("tblEquipment[Production Department]"),"")</f>
        <v/>
      </c>
      <c r="D1802">
        <f t="array" ref="D1802">_xlfn.XLOOKUP(C1802,INDIRECT("tblEquipment[Equipment ID]"),INDIRECT("tblEquipment[Equipment Name]"),"")</f>
        <v/>
      </c>
      <c r="F1802" s="16" t="n"/>
      <c r="G1802" s="16" t="n"/>
      <c r="H1802" s="1">
        <f>IF(OR(F1802=0,G1802=0),"",(G1802-F1802)*24)</f>
        <v/>
      </c>
      <c r="I1802" s="10" t="n"/>
      <c r="J1802" s="1">
        <f>IF(OR(tblDowntime[[#This Row],[Failure Type]]="Sawshop",tblDowntime[[#This Row],[Failure Type]]="Electrical",tblDowntime[[#This Row],[Failure Type]]="Mechanical"),tblDowntime[[#This Row],[Downtime Hours]],"")</f>
        <v/>
      </c>
      <c r="K1802" s="10" t="n"/>
      <c r="L1802" s="10" t="n"/>
      <c r="M1802">
        <f>IF(tblDowntime[[#This Row],[Maintenance Downtime Hours]]="","",tblDowntime[[#This Row],[Equipment ID]])</f>
        <v/>
      </c>
      <c r="N1802" s="1">
        <f>IF(tblDowntime[[#This Row],[Failure Type]]="Production",tblDowntime[[#This Row],[Downtime Hours]],"")</f>
        <v/>
      </c>
      <c r="O1802">
        <f>IF(tblDowntime[[#This Row],[Production Downtime Hours]]="","",tblDowntime[[#This Row],[Equipment ID]])</f>
        <v/>
      </c>
      <c r="P1802" s="10" t="n"/>
    </row>
    <row r="1803">
      <c r="B1803">
        <f t="array" ref="B1803">_xlfn.XLOOKUP(C1803,INDIRECT("tblEquipment[Equipment ID]"),INDIRECT("tblEquipment[Production Department]"),"")</f>
        <v/>
      </c>
      <c r="D1803">
        <f t="array" ref="D1803">_xlfn.XLOOKUP(C1803,INDIRECT("tblEquipment[Equipment ID]"),INDIRECT("tblEquipment[Equipment Name]"),"")</f>
        <v/>
      </c>
      <c r="F1803" s="16" t="n"/>
      <c r="G1803" s="16" t="n"/>
      <c r="H1803" s="1">
        <f>IF(OR(F1803=0,G1803=0),"",(G1803-F1803)*24)</f>
        <v/>
      </c>
      <c r="I1803" s="10" t="n"/>
      <c r="J1803" s="1">
        <f>IF(OR(tblDowntime[[#This Row],[Failure Type]]="Sawshop",tblDowntime[[#This Row],[Failure Type]]="Electrical",tblDowntime[[#This Row],[Failure Type]]="Mechanical"),tblDowntime[[#This Row],[Downtime Hours]],"")</f>
        <v/>
      </c>
      <c r="K1803" s="10" t="n"/>
      <c r="L1803" s="10" t="n"/>
      <c r="M1803">
        <f>IF(tblDowntime[[#This Row],[Maintenance Downtime Hours]]="","",tblDowntime[[#This Row],[Equipment ID]])</f>
        <v/>
      </c>
      <c r="N1803" s="1">
        <f>IF(tblDowntime[[#This Row],[Failure Type]]="Production",tblDowntime[[#This Row],[Downtime Hours]],"")</f>
        <v/>
      </c>
      <c r="O1803">
        <f>IF(tblDowntime[[#This Row],[Production Downtime Hours]]="","",tblDowntime[[#This Row],[Equipment ID]])</f>
        <v/>
      </c>
      <c r="P1803" s="10" t="n"/>
    </row>
    <row r="1804">
      <c r="B1804">
        <f t="array" ref="B1804">_xlfn.XLOOKUP(C1804,INDIRECT("tblEquipment[Equipment ID]"),INDIRECT("tblEquipment[Production Department]"),"")</f>
        <v/>
      </c>
      <c r="D1804">
        <f t="array" ref="D1804">_xlfn.XLOOKUP(C1804,INDIRECT("tblEquipment[Equipment ID]"),INDIRECT("tblEquipment[Equipment Name]"),"")</f>
        <v/>
      </c>
      <c r="F1804" s="16" t="n"/>
      <c r="G1804" s="16" t="n"/>
      <c r="H1804" s="1">
        <f>IF(OR(F1804=0,G1804=0),"",(G1804-F1804)*24)</f>
        <v/>
      </c>
      <c r="I1804" s="10" t="n"/>
      <c r="J1804" s="1">
        <f>IF(OR(tblDowntime[[#This Row],[Failure Type]]="Sawshop",tblDowntime[[#This Row],[Failure Type]]="Electrical",tblDowntime[[#This Row],[Failure Type]]="Mechanical"),tblDowntime[[#This Row],[Downtime Hours]],"")</f>
        <v/>
      </c>
      <c r="K1804" s="10" t="n"/>
      <c r="L1804" s="10" t="n"/>
      <c r="M1804">
        <f>IF(tblDowntime[[#This Row],[Maintenance Downtime Hours]]="","",tblDowntime[[#This Row],[Equipment ID]])</f>
        <v/>
      </c>
      <c r="N1804" s="1">
        <f>IF(tblDowntime[[#This Row],[Failure Type]]="Production",tblDowntime[[#This Row],[Downtime Hours]],"")</f>
        <v/>
      </c>
      <c r="O1804">
        <f>IF(tblDowntime[[#This Row],[Production Downtime Hours]]="","",tblDowntime[[#This Row],[Equipment ID]])</f>
        <v/>
      </c>
      <c r="P1804" s="10" t="n"/>
    </row>
    <row r="1805">
      <c r="B1805">
        <f t="array" ref="B1805">_xlfn.XLOOKUP(C1805,INDIRECT("tblEquipment[Equipment ID]"),INDIRECT("tblEquipment[Production Department]"),"")</f>
        <v/>
      </c>
      <c r="D1805">
        <f t="array" ref="D1805">_xlfn.XLOOKUP(C1805,INDIRECT("tblEquipment[Equipment ID]"),INDIRECT("tblEquipment[Equipment Name]"),"")</f>
        <v/>
      </c>
      <c r="F1805" s="16" t="n"/>
      <c r="G1805" s="16" t="n"/>
      <c r="H1805" s="1">
        <f>IF(OR(F1805=0,G1805=0),"",(G1805-F1805)*24)</f>
        <v/>
      </c>
      <c r="I1805" s="10" t="n"/>
      <c r="J1805" s="1">
        <f>IF(OR(tblDowntime[[#This Row],[Failure Type]]="Sawshop",tblDowntime[[#This Row],[Failure Type]]="Electrical",tblDowntime[[#This Row],[Failure Type]]="Mechanical"),tblDowntime[[#This Row],[Downtime Hours]],"")</f>
        <v/>
      </c>
      <c r="K1805" s="10" t="n"/>
      <c r="L1805" s="10" t="n"/>
      <c r="M1805">
        <f>IF(tblDowntime[[#This Row],[Maintenance Downtime Hours]]="","",tblDowntime[[#This Row],[Equipment ID]])</f>
        <v/>
      </c>
      <c r="N1805" s="1">
        <f>IF(tblDowntime[[#This Row],[Failure Type]]="Production",tblDowntime[[#This Row],[Downtime Hours]],"")</f>
        <v/>
      </c>
      <c r="O1805">
        <f>IF(tblDowntime[[#This Row],[Production Downtime Hours]]="","",tblDowntime[[#This Row],[Equipment ID]])</f>
        <v/>
      </c>
      <c r="P1805" s="10" t="n"/>
    </row>
    <row r="1806">
      <c r="B1806">
        <f t="array" ref="B1806">_xlfn.XLOOKUP(C1806,INDIRECT("tblEquipment[Equipment ID]"),INDIRECT("tblEquipment[Production Department]"),"")</f>
        <v/>
      </c>
      <c r="D1806">
        <f t="array" ref="D1806">_xlfn.XLOOKUP(C1806,INDIRECT("tblEquipment[Equipment ID]"),INDIRECT("tblEquipment[Equipment Name]"),"")</f>
        <v/>
      </c>
      <c r="F1806" s="16" t="n"/>
      <c r="G1806" s="16" t="n"/>
      <c r="H1806" s="1">
        <f>IF(OR(F1806=0,G1806=0),"",(G1806-F1806)*24)</f>
        <v/>
      </c>
      <c r="I1806" s="10" t="n"/>
      <c r="J1806" s="1">
        <f>IF(OR(tblDowntime[[#This Row],[Failure Type]]="Sawshop",tblDowntime[[#This Row],[Failure Type]]="Electrical",tblDowntime[[#This Row],[Failure Type]]="Mechanical"),tblDowntime[[#This Row],[Downtime Hours]],"")</f>
        <v/>
      </c>
      <c r="K1806" s="10" t="n"/>
      <c r="L1806" s="10" t="n"/>
      <c r="M1806">
        <f>IF(tblDowntime[[#This Row],[Maintenance Downtime Hours]]="","",tblDowntime[[#This Row],[Equipment ID]])</f>
        <v/>
      </c>
      <c r="N1806" s="1">
        <f>IF(tblDowntime[[#This Row],[Failure Type]]="Production",tblDowntime[[#This Row],[Downtime Hours]],"")</f>
        <v/>
      </c>
      <c r="O1806">
        <f>IF(tblDowntime[[#This Row],[Production Downtime Hours]]="","",tblDowntime[[#This Row],[Equipment ID]])</f>
        <v/>
      </c>
      <c r="P1806" s="10" t="n"/>
    </row>
    <row r="1807">
      <c r="B1807">
        <f t="array" ref="B1807">_xlfn.XLOOKUP(C1807,INDIRECT("tblEquipment[Equipment ID]"),INDIRECT("tblEquipment[Production Department]"),"")</f>
        <v/>
      </c>
      <c r="D1807">
        <f t="array" ref="D1807">_xlfn.XLOOKUP(C1807,INDIRECT("tblEquipment[Equipment ID]"),INDIRECT("tblEquipment[Equipment Name]"),"")</f>
        <v/>
      </c>
      <c r="F1807" s="16" t="n"/>
      <c r="G1807" s="16" t="n"/>
      <c r="H1807" s="1">
        <f>IF(OR(F1807=0,G1807=0),"",(G1807-F1807)*24)</f>
        <v/>
      </c>
      <c r="I1807" s="10" t="n"/>
      <c r="J1807" s="1">
        <f>IF(OR(tblDowntime[[#This Row],[Failure Type]]="Sawshop",tblDowntime[[#This Row],[Failure Type]]="Electrical",tblDowntime[[#This Row],[Failure Type]]="Mechanical"),tblDowntime[[#This Row],[Downtime Hours]],"")</f>
        <v/>
      </c>
      <c r="K1807" s="10" t="n"/>
      <c r="L1807" s="10" t="n"/>
      <c r="M1807">
        <f>IF(tblDowntime[[#This Row],[Maintenance Downtime Hours]]="","",tblDowntime[[#This Row],[Equipment ID]])</f>
        <v/>
      </c>
      <c r="N1807" s="1">
        <f>IF(tblDowntime[[#This Row],[Failure Type]]="Production",tblDowntime[[#This Row],[Downtime Hours]],"")</f>
        <v/>
      </c>
      <c r="O1807">
        <f>IF(tblDowntime[[#This Row],[Production Downtime Hours]]="","",tblDowntime[[#This Row],[Equipment ID]])</f>
        <v/>
      </c>
      <c r="P1807" s="10" t="n"/>
    </row>
    <row r="1808">
      <c r="B1808">
        <f t="array" ref="B1808">_xlfn.XLOOKUP(C1808,INDIRECT("tblEquipment[Equipment ID]"),INDIRECT("tblEquipment[Production Department]"),"")</f>
        <v/>
      </c>
      <c r="D1808">
        <f t="array" ref="D1808">_xlfn.XLOOKUP(C1808,INDIRECT("tblEquipment[Equipment ID]"),INDIRECT("tblEquipment[Equipment Name]"),"")</f>
        <v/>
      </c>
      <c r="F1808" s="16" t="n"/>
      <c r="G1808" s="16" t="n"/>
      <c r="H1808" s="1">
        <f>IF(OR(F1808=0,G1808=0),"",(G1808-F1808)*24)</f>
        <v/>
      </c>
      <c r="I1808" s="10" t="n"/>
      <c r="J1808" s="1">
        <f>IF(OR(tblDowntime[[#This Row],[Failure Type]]="Sawshop",tblDowntime[[#This Row],[Failure Type]]="Electrical",tblDowntime[[#This Row],[Failure Type]]="Mechanical"),tblDowntime[[#This Row],[Downtime Hours]],"")</f>
        <v/>
      </c>
      <c r="K1808" s="10" t="n"/>
      <c r="L1808" s="10" t="n"/>
      <c r="M1808">
        <f>IF(tblDowntime[[#This Row],[Maintenance Downtime Hours]]="","",tblDowntime[[#This Row],[Equipment ID]])</f>
        <v/>
      </c>
      <c r="N1808" s="1">
        <f>IF(tblDowntime[[#This Row],[Failure Type]]="Production",tblDowntime[[#This Row],[Downtime Hours]],"")</f>
        <v/>
      </c>
      <c r="O1808">
        <f>IF(tblDowntime[[#This Row],[Production Downtime Hours]]="","",tblDowntime[[#This Row],[Equipment ID]])</f>
        <v/>
      </c>
      <c r="P1808" s="10" t="n"/>
    </row>
    <row r="1809">
      <c r="B1809">
        <f t="array" ref="B1809">_xlfn.XLOOKUP(C1809,INDIRECT("tblEquipment[Equipment ID]"),INDIRECT("tblEquipment[Production Department]"),"")</f>
        <v/>
      </c>
      <c r="D1809">
        <f t="array" ref="D1809">_xlfn.XLOOKUP(C1809,INDIRECT("tblEquipment[Equipment ID]"),INDIRECT("tblEquipment[Equipment Name]"),"")</f>
        <v/>
      </c>
      <c r="F1809" s="16" t="n"/>
      <c r="G1809" s="16" t="n"/>
      <c r="H1809" s="1">
        <f>IF(OR(F1809=0,G1809=0),"",(G1809-F1809)*24)</f>
        <v/>
      </c>
      <c r="I1809" s="10" t="n"/>
      <c r="J1809" s="1">
        <f>IF(OR(tblDowntime[[#This Row],[Failure Type]]="Sawshop",tblDowntime[[#This Row],[Failure Type]]="Electrical",tblDowntime[[#This Row],[Failure Type]]="Mechanical"),tblDowntime[[#This Row],[Downtime Hours]],"")</f>
        <v/>
      </c>
      <c r="K1809" s="10" t="n"/>
      <c r="L1809" s="10" t="n"/>
      <c r="M1809">
        <f>IF(tblDowntime[[#This Row],[Maintenance Downtime Hours]]="","",tblDowntime[[#This Row],[Equipment ID]])</f>
        <v/>
      </c>
      <c r="N1809" s="1">
        <f>IF(tblDowntime[[#This Row],[Failure Type]]="Production",tblDowntime[[#This Row],[Downtime Hours]],"")</f>
        <v/>
      </c>
      <c r="O1809">
        <f>IF(tblDowntime[[#This Row],[Production Downtime Hours]]="","",tblDowntime[[#This Row],[Equipment ID]])</f>
        <v/>
      </c>
      <c r="P1809" s="10" t="n"/>
    </row>
    <row r="1810">
      <c r="B1810">
        <f t="array" ref="B1810">_xlfn.XLOOKUP(C1810,INDIRECT("tblEquipment[Equipment ID]"),INDIRECT("tblEquipment[Production Department]"),"")</f>
        <v/>
      </c>
      <c r="D1810">
        <f t="array" ref="D1810">_xlfn.XLOOKUP(C1810,INDIRECT("tblEquipment[Equipment ID]"),INDIRECT("tblEquipment[Equipment Name]"),"")</f>
        <v/>
      </c>
      <c r="F1810" s="16" t="n"/>
      <c r="G1810" s="16" t="n"/>
      <c r="H1810" s="1">
        <f>IF(OR(F1810=0,G1810=0),"",(G1810-F1810)*24)</f>
        <v/>
      </c>
      <c r="I1810" s="10" t="n"/>
      <c r="J1810" s="1">
        <f>IF(OR(tblDowntime[[#This Row],[Failure Type]]="Sawshop",tblDowntime[[#This Row],[Failure Type]]="Electrical",tblDowntime[[#This Row],[Failure Type]]="Mechanical"),tblDowntime[[#This Row],[Downtime Hours]],"")</f>
        <v/>
      </c>
      <c r="K1810" s="10" t="n"/>
      <c r="L1810" s="10" t="n"/>
      <c r="M1810">
        <f>IF(tblDowntime[[#This Row],[Maintenance Downtime Hours]]="","",tblDowntime[[#This Row],[Equipment ID]])</f>
        <v/>
      </c>
      <c r="N1810" s="1">
        <f>IF(tblDowntime[[#This Row],[Failure Type]]="Production",tblDowntime[[#This Row],[Downtime Hours]],"")</f>
        <v/>
      </c>
      <c r="O1810">
        <f>IF(tblDowntime[[#This Row],[Production Downtime Hours]]="","",tblDowntime[[#This Row],[Equipment ID]])</f>
        <v/>
      </c>
      <c r="P1810" s="10" t="n"/>
    </row>
    <row r="1811">
      <c r="B1811">
        <f t="array" ref="B1811">_xlfn.XLOOKUP(C1811,INDIRECT("tblEquipment[Equipment ID]"),INDIRECT("tblEquipment[Production Department]"),"")</f>
        <v/>
      </c>
      <c r="D1811">
        <f t="array" ref="D1811">_xlfn.XLOOKUP(C1811,INDIRECT("tblEquipment[Equipment ID]"),INDIRECT("tblEquipment[Equipment Name]"),"")</f>
        <v/>
      </c>
      <c r="F1811" s="16" t="n"/>
      <c r="G1811" s="16" t="n"/>
      <c r="H1811" s="1">
        <f>IF(OR(F1811=0,G1811=0),"",(G1811-F1811)*24)</f>
        <v/>
      </c>
      <c r="I1811" s="10" t="n"/>
      <c r="J1811" s="1">
        <f>IF(OR(tblDowntime[[#This Row],[Failure Type]]="Sawshop",tblDowntime[[#This Row],[Failure Type]]="Electrical",tblDowntime[[#This Row],[Failure Type]]="Mechanical"),tblDowntime[[#This Row],[Downtime Hours]],"")</f>
        <v/>
      </c>
      <c r="K1811" s="10" t="n"/>
      <c r="L1811" s="10" t="n"/>
      <c r="M1811">
        <f>IF(tblDowntime[[#This Row],[Maintenance Downtime Hours]]="","",tblDowntime[[#This Row],[Equipment ID]])</f>
        <v/>
      </c>
      <c r="N1811" s="1">
        <f>IF(tblDowntime[[#This Row],[Failure Type]]="Production",tblDowntime[[#This Row],[Downtime Hours]],"")</f>
        <v/>
      </c>
      <c r="O1811">
        <f>IF(tblDowntime[[#This Row],[Production Downtime Hours]]="","",tblDowntime[[#This Row],[Equipment ID]])</f>
        <v/>
      </c>
      <c r="P1811" s="10" t="n"/>
    </row>
    <row r="1812">
      <c r="B1812">
        <f t="array" ref="B1812">_xlfn.XLOOKUP(C1812,INDIRECT("tblEquipment[Equipment ID]"),INDIRECT("tblEquipment[Production Department]"),"")</f>
        <v/>
      </c>
      <c r="D1812">
        <f t="array" ref="D1812">_xlfn.XLOOKUP(C1812,INDIRECT("tblEquipment[Equipment ID]"),INDIRECT("tblEquipment[Equipment Name]"),"")</f>
        <v/>
      </c>
      <c r="F1812" s="16" t="n"/>
      <c r="G1812" s="16" t="n"/>
      <c r="H1812" s="1">
        <f>IF(OR(F1812=0,G1812=0),"",(G1812-F1812)*24)</f>
        <v/>
      </c>
      <c r="I1812" s="10" t="n"/>
      <c r="J1812" s="1">
        <f>IF(OR(tblDowntime[[#This Row],[Failure Type]]="Sawshop",tblDowntime[[#This Row],[Failure Type]]="Electrical",tblDowntime[[#This Row],[Failure Type]]="Mechanical"),tblDowntime[[#This Row],[Downtime Hours]],"")</f>
        <v/>
      </c>
      <c r="K1812" s="10" t="n"/>
      <c r="L1812" s="10" t="n"/>
      <c r="M1812">
        <f>IF(tblDowntime[[#This Row],[Maintenance Downtime Hours]]="","",tblDowntime[[#This Row],[Equipment ID]])</f>
        <v/>
      </c>
      <c r="N1812" s="1">
        <f>IF(tblDowntime[[#This Row],[Failure Type]]="Production",tblDowntime[[#This Row],[Downtime Hours]],"")</f>
        <v/>
      </c>
      <c r="O1812">
        <f>IF(tblDowntime[[#This Row],[Production Downtime Hours]]="","",tblDowntime[[#This Row],[Equipment ID]])</f>
        <v/>
      </c>
      <c r="P1812" s="10" t="n"/>
    </row>
    <row r="1813">
      <c r="B1813">
        <f t="array" ref="B1813">_xlfn.XLOOKUP(C1813,INDIRECT("tblEquipment[Equipment ID]"),INDIRECT("tblEquipment[Production Department]"),"")</f>
        <v/>
      </c>
      <c r="D1813">
        <f t="array" ref="D1813">_xlfn.XLOOKUP(C1813,INDIRECT("tblEquipment[Equipment ID]"),INDIRECT("tblEquipment[Equipment Name]"),"")</f>
        <v/>
      </c>
      <c r="F1813" s="16" t="n"/>
      <c r="G1813" s="16" t="n"/>
      <c r="H1813" s="1">
        <f>IF(OR(F1813=0,G1813=0),"",(G1813-F1813)*24)</f>
        <v/>
      </c>
      <c r="I1813" s="10" t="n"/>
      <c r="J1813" s="1">
        <f>IF(OR(tblDowntime[[#This Row],[Failure Type]]="Sawshop",tblDowntime[[#This Row],[Failure Type]]="Electrical",tblDowntime[[#This Row],[Failure Type]]="Mechanical"),tblDowntime[[#This Row],[Downtime Hours]],"")</f>
        <v/>
      </c>
      <c r="K1813" s="10" t="n"/>
      <c r="L1813" s="10" t="n"/>
      <c r="M1813">
        <f>IF(tblDowntime[[#This Row],[Maintenance Downtime Hours]]="","",tblDowntime[[#This Row],[Equipment ID]])</f>
        <v/>
      </c>
      <c r="N1813" s="1">
        <f>IF(tblDowntime[[#This Row],[Failure Type]]="Production",tblDowntime[[#This Row],[Downtime Hours]],"")</f>
        <v/>
      </c>
      <c r="O1813">
        <f>IF(tblDowntime[[#This Row],[Production Downtime Hours]]="","",tblDowntime[[#This Row],[Equipment ID]])</f>
        <v/>
      </c>
      <c r="P1813" s="10" t="n"/>
    </row>
    <row r="1814">
      <c r="B1814">
        <f t="array" ref="B1814">_xlfn.XLOOKUP(C1814,INDIRECT("tblEquipment[Equipment ID]"),INDIRECT("tblEquipment[Production Department]"),"")</f>
        <v/>
      </c>
      <c r="D1814">
        <f t="array" ref="D1814">_xlfn.XLOOKUP(C1814,INDIRECT("tblEquipment[Equipment ID]"),INDIRECT("tblEquipment[Equipment Name]"),"")</f>
        <v/>
      </c>
      <c r="F1814" s="16" t="n"/>
      <c r="G1814" s="16" t="n"/>
      <c r="H1814" s="1">
        <f>IF(OR(F1814=0,G1814=0),"",(G1814-F1814)*24)</f>
        <v/>
      </c>
      <c r="I1814" s="10" t="n"/>
      <c r="J1814" s="1">
        <f>IF(OR(tblDowntime[[#This Row],[Failure Type]]="Sawshop",tblDowntime[[#This Row],[Failure Type]]="Electrical",tblDowntime[[#This Row],[Failure Type]]="Mechanical"),tblDowntime[[#This Row],[Downtime Hours]],"")</f>
        <v/>
      </c>
      <c r="K1814" s="10" t="n"/>
      <c r="L1814" s="10" t="n"/>
      <c r="M1814">
        <f>IF(tblDowntime[[#This Row],[Maintenance Downtime Hours]]="","",tblDowntime[[#This Row],[Equipment ID]])</f>
        <v/>
      </c>
      <c r="N1814" s="1">
        <f>IF(tblDowntime[[#This Row],[Failure Type]]="Production",tblDowntime[[#This Row],[Downtime Hours]],"")</f>
        <v/>
      </c>
      <c r="O1814">
        <f>IF(tblDowntime[[#This Row],[Production Downtime Hours]]="","",tblDowntime[[#This Row],[Equipment ID]])</f>
        <v/>
      </c>
      <c r="P1814" s="10" t="n"/>
    </row>
    <row r="1815">
      <c r="B1815">
        <f t="array" ref="B1815">_xlfn.XLOOKUP(C1815,INDIRECT("tblEquipment[Equipment ID]"),INDIRECT("tblEquipment[Production Department]"),"")</f>
        <v/>
      </c>
      <c r="D1815">
        <f t="array" ref="D1815">_xlfn.XLOOKUP(C1815,INDIRECT("tblEquipment[Equipment ID]"),INDIRECT("tblEquipment[Equipment Name]"),"")</f>
        <v/>
      </c>
      <c r="F1815" s="16" t="n"/>
      <c r="G1815" s="16" t="n"/>
      <c r="H1815" s="1">
        <f>IF(OR(F1815=0,G1815=0),"",(G1815-F1815)*24)</f>
        <v/>
      </c>
      <c r="I1815" s="10" t="n"/>
      <c r="J1815" s="1">
        <f>IF(OR(tblDowntime[[#This Row],[Failure Type]]="Sawshop",tblDowntime[[#This Row],[Failure Type]]="Electrical",tblDowntime[[#This Row],[Failure Type]]="Mechanical"),tblDowntime[[#This Row],[Downtime Hours]],"")</f>
        <v/>
      </c>
      <c r="K1815" s="10" t="n"/>
      <c r="L1815" s="10" t="n"/>
      <c r="M1815">
        <f>IF(tblDowntime[[#This Row],[Maintenance Downtime Hours]]="","",tblDowntime[[#This Row],[Equipment ID]])</f>
        <v/>
      </c>
      <c r="N1815" s="1">
        <f>IF(tblDowntime[[#This Row],[Failure Type]]="Production",tblDowntime[[#This Row],[Downtime Hours]],"")</f>
        <v/>
      </c>
      <c r="O1815">
        <f>IF(tblDowntime[[#This Row],[Production Downtime Hours]]="","",tblDowntime[[#This Row],[Equipment ID]])</f>
        <v/>
      </c>
      <c r="P1815" s="10" t="n"/>
    </row>
    <row r="1816">
      <c r="B1816">
        <f t="array" ref="B1816">_xlfn.XLOOKUP(C1816,INDIRECT("tblEquipment[Equipment ID]"),INDIRECT("tblEquipment[Production Department]"),"")</f>
        <v/>
      </c>
      <c r="D1816">
        <f t="array" ref="D1816">_xlfn.XLOOKUP(C1816,INDIRECT("tblEquipment[Equipment ID]"),INDIRECT("tblEquipment[Equipment Name]"),"")</f>
        <v/>
      </c>
      <c r="F1816" s="16" t="n"/>
      <c r="G1816" s="16" t="n"/>
      <c r="H1816" s="1">
        <f>IF(OR(F1816=0,G1816=0),"",(G1816-F1816)*24)</f>
        <v/>
      </c>
      <c r="I1816" s="10" t="n"/>
      <c r="J1816" s="1">
        <f>IF(OR(tblDowntime[[#This Row],[Failure Type]]="Sawshop",tblDowntime[[#This Row],[Failure Type]]="Electrical",tblDowntime[[#This Row],[Failure Type]]="Mechanical"),tblDowntime[[#This Row],[Downtime Hours]],"")</f>
        <v/>
      </c>
      <c r="K1816" s="10" t="n"/>
      <c r="L1816" s="10" t="n"/>
      <c r="M1816">
        <f>IF(tblDowntime[[#This Row],[Maintenance Downtime Hours]]="","",tblDowntime[[#This Row],[Equipment ID]])</f>
        <v/>
      </c>
      <c r="N1816" s="1">
        <f>IF(tblDowntime[[#This Row],[Failure Type]]="Production",tblDowntime[[#This Row],[Downtime Hours]],"")</f>
        <v/>
      </c>
      <c r="O1816">
        <f>IF(tblDowntime[[#This Row],[Production Downtime Hours]]="","",tblDowntime[[#This Row],[Equipment ID]])</f>
        <v/>
      </c>
      <c r="P1816" s="10" t="n"/>
    </row>
    <row r="1817">
      <c r="B1817">
        <f t="array" ref="B1817">_xlfn.XLOOKUP(C1817,INDIRECT("tblEquipment[Equipment ID]"),INDIRECT("tblEquipment[Production Department]"),"")</f>
        <v/>
      </c>
      <c r="D1817">
        <f t="array" ref="D1817">_xlfn.XLOOKUP(C1817,INDIRECT("tblEquipment[Equipment ID]"),INDIRECT("tblEquipment[Equipment Name]"),"")</f>
        <v/>
      </c>
      <c r="F1817" s="16" t="n"/>
      <c r="G1817" s="16" t="n"/>
      <c r="H1817" s="1">
        <f>IF(OR(F1817=0,G1817=0),"",(G1817-F1817)*24)</f>
        <v/>
      </c>
      <c r="I1817" s="10" t="n"/>
      <c r="J1817" s="1">
        <f>IF(OR(tblDowntime[[#This Row],[Failure Type]]="Sawshop",tblDowntime[[#This Row],[Failure Type]]="Electrical",tblDowntime[[#This Row],[Failure Type]]="Mechanical"),tblDowntime[[#This Row],[Downtime Hours]],"")</f>
        <v/>
      </c>
      <c r="K1817" s="10" t="n"/>
      <c r="L1817" s="10" t="n"/>
      <c r="M1817">
        <f>IF(tblDowntime[[#This Row],[Maintenance Downtime Hours]]="","",tblDowntime[[#This Row],[Equipment ID]])</f>
        <v/>
      </c>
      <c r="N1817" s="1">
        <f>IF(tblDowntime[[#This Row],[Failure Type]]="Production",tblDowntime[[#This Row],[Downtime Hours]],"")</f>
        <v/>
      </c>
      <c r="O1817">
        <f>IF(tblDowntime[[#This Row],[Production Downtime Hours]]="","",tblDowntime[[#This Row],[Equipment ID]])</f>
        <v/>
      </c>
      <c r="P1817" s="10" t="n"/>
    </row>
    <row r="1818">
      <c r="B1818">
        <f t="array" ref="B1818">_xlfn.XLOOKUP(C1818,INDIRECT("tblEquipment[Equipment ID]"),INDIRECT("tblEquipment[Production Department]"),"")</f>
        <v/>
      </c>
      <c r="D1818">
        <f t="array" ref="D1818">_xlfn.XLOOKUP(C1818,INDIRECT("tblEquipment[Equipment ID]"),INDIRECT("tblEquipment[Equipment Name]"),"")</f>
        <v/>
      </c>
      <c r="F1818" s="16" t="n"/>
      <c r="G1818" s="16" t="n"/>
      <c r="H1818" s="1">
        <f>IF(OR(F1818=0,G1818=0),"",(G1818-F1818)*24)</f>
        <v/>
      </c>
      <c r="I1818" s="10" t="n"/>
      <c r="J1818" s="1">
        <f>IF(OR(tblDowntime[[#This Row],[Failure Type]]="Sawshop",tblDowntime[[#This Row],[Failure Type]]="Electrical",tblDowntime[[#This Row],[Failure Type]]="Mechanical"),tblDowntime[[#This Row],[Downtime Hours]],"")</f>
        <v/>
      </c>
      <c r="K1818" s="10" t="n"/>
      <c r="L1818" s="10" t="n"/>
      <c r="M1818">
        <f>IF(tblDowntime[[#This Row],[Maintenance Downtime Hours]]="","",tblDowntime[[#This Row],[Equipment ID]])</f>
        <v/>
      </c>
      <c r="N1818" s="1">
        <f>IF(tblDowntime[[#This Row],[Failure Type]]="Production",tblDowntime[[#This Row],[Downtime Hours]],"")</f>
        <v/>
      </c>
      <c r="O1818">
        <f>IF(tblDowntime[[#This Row],[Production Downtime Hours]]="","",tblDowntime[[#This Row],[Equipment ID]])</f>
        <v/>
      </c>
      <c r="P1818" s="10" t="n"/>
    </row>
    <row r="1819">
      <c r="B1819">
        <f t="array" ref="B1819">_xlfn.XLOOKUP(C1819,INDIRECT("tblEquipment[Equipment ID]"),INDIRECT("tblEquipment[Production Department]"),"")</f>
        <v/>
      </c>
      <c r="D1819">
        <f t="array" ref="D1819">_xlfn.XLOOKUP(C1819,INDIRECT("tblEquipment[Equipment ID]"),INDIRECT("tblEquipment[Equipment Name]"),"")</f>
        <v/>
      </c>
      <c r="F1819" s="16" t="n"/>
      <c r="G1819" s="16" t="n"/>
      <c r="H1819" s="1">
        <f>IF(OR(F1819=0,G1819=0),"",(G1819-F1819)*24)</f>
        <v/>
      </c>
      <c r="I1819" s="10" t="n"/>
      <c r="J1819" s="1">
        <f>IF(OR(tblDowntime[[#This Row],[Failure Type]]="Sawshop",tblDowntime[[#This Row],[Failure Type]]="Electrical",tblDowntime[[#This Row],[Failure Type]]="Mechanical"),tblDowntime[[#This Row],[Downtime Hours]],"")</f>
        <v/>
      </c>
      <c r="K1819" s="10" t="n"/>
      <c r="L1819" s="10" t="n"/>
      <c r="M1819">
        <f>IF(tblDowntime[[#This Row],[Maintenance Downtime Hours]]="","",tblDowntime[[#This Row],[Equipment ID]])</f>
        <v/>
      </c>
      <c r="N1819" s="1">
        <f>IF(tblDowntime[[#This Row],[Failure Type]]="Production",tblDowntime[[#This Row],[Downtime Hours]],"")</f>
        <v/>
      </c>
      <c r="O1819">
        <f>IF(tblDowntime[[#This Row],[Production Downtime Hours]]="","",tblDowntime[[#This Row],[Equipment ID]])</f>
        <v/>
      </c>
      <c r="P1819" s="10" t="n"/>
    </row>
    <row r="1820">
      <c r="B1820">
        <f t="array" ref="B1820">_xlfn.XLOOKUP(C1820,INDIRECT("tblEquipment[Equipment ID]"),INDIRECT("tblEquipment[Production Department]"),"")</f>
        <v/>
      </c>
      <c r="D1820">
        <f t="array" ref="D1820">_xlfn.XLOOKUP(C1820,INDIRECT("tblEquipment[Equipment ID]"),INDIRECT("tblEquipment[Equipment Name]"),"")</f>
        <v/>
      </c>
      <c r="F1820" s="16" t="n"/>
      <c r="G1820" s="16" t="n"/>
      <c r="H1820" s="1">
        <f>IF(OR(F1820=0,G1820=0),"",(G1820-F1820)*24)</f>
        <v/>
      </c>
      <c r="I1820" s="10" t="n"/>
      <c r="J1820" s="1">
        <f>IF(OR(tblDowntime[[#This Row],[Failure Type]]="Sawshop",tblDowntime[[#This Row],[Failure Type]]="Electrical",tblDowntime[[#This Row],[Failure Type]]="Mechanical"),tblDowntime[[#This Row],[Downtime Hours]],"")</f>
        <v/>
      </c>
      <c r="K1820" s="10" t="n"/>
      <c r="L1820" s="10" t="n"/>
      <c r="M1820">
        <f>IF(tblDowntime[[#This Row],[Maintenance Downtime Hours]]="","",tblDowntime[[#This Row],[Equipment ID]])</f>
        <v/>
      </c>
      <c r="N1820" s="1">
        <f>IF(tblDowntime[[#This Row],[Failure Type]]="Production",tblDowntime[[#This Row],[Downtime Hours]],"")</f>
        <v/>
      </c>
      <c r="O1820">
        <f>IF(tblDowntime[[#This Row],[Production Downtime Hours]]="","",tblDowntime[[#This Row],[Equipment ID]])</f>
        <v/>
      </c>
      <c r="P1820" s="10" t="n"/>
    </row>
    <row r="1821">
      <c r="B1821">
        <f t="array" ref="B1821">_xlfn.XLOOKUP(C1821,INDIRECT("tblEquipment[Equipment ID]"),INDIRECT("tblEquipment[Production Department]"),"")</f>
        <v/>
      </c>
      <c r="D1821">
        <f t="array" ref="D1821">_xlfn.XLOOKUP(C1821,INDIRECT("tblEquipment[Equipment ID]"),INDIRECT("tblEquipment[Equipment Name]"),"")</f>
        <v/>
      </c>
      <c r="F1821" s="16" t="n"/>
      <c r="G1821" s="16" t="n"/>
      <c r="H1821" s="1">
        <f>IF(OR(F1821=0,G1821=0),"",(G1821-F1821)*24)</f>
        <v/>
      </c>
      <c r="I1821" s="10" t="n"/>
      <c r="J1821" s="1">
        <f>IF(OR(tblDowntime[[#This Row],[Failure Type]]="Sawshop",tblDowntime[[#This Row],[Failure Type]]="Electrical",tblDowntime[[#This Row],[Failure Type]]="Mechanical"),tblDowntime[[#This Row],[Downtime Hours]],"")</f>
        <v/>
      </c>
      <c r="K1821" s="10" t="n"/>
      <c r="L1821" s="10" t="n"/>
      <c r="M1821">
        <f>IF(tblDowntime[[#This Row],[Maintenance Downtime Hours]]="","",tblDowntime[[#This Row],[Equipment ID]])</f>
        <v/>
      </c>
      <c r="N1821" s="1">
        <f>IF(tblDowntime[[#This Row],[Failure Type]]="Production",tblDowntime[[#This Row],[Downtime Hours]],"")</f>
        <v/>
      </c>
      <c r="O1821">
        <f>IF(tblDowntime[[#This Row],[Production Downtime Hours]]="","",tblDowntime[[#This Row],[Equipment ID]])</f>
        <v/>
      </c>
      <c r="P1821" s="10" t="n"/>
    </row>
    <row r="1822">
      <c r="B1822">
        <f t="array" ref="B1822">_xlfn.XLOOKUP(C1822,INDIRECT("tblEquipment[Equipment ID]"),INDIRECT("tblEquipment[Production Department]"),"")</f>
        <v/>
      </c>
      <c r="D1822">
        <f t="array" ref="D1822">_xlfn.XLOOKUP(C1822,INDIRECT("tblEquipment[Equipment ID]"),INDIRECT("tblEquipment[Equipment Name]"),"")</f>
        <v/>
      </c>
      <c r="F1822" s="16" t="n"/>
      <c r="G1822" s="16" t="n"/>
      <c r="H1822" s="1">
        <f>IF(OR(F1822=0,G1822=0),"",(G1822-F1822)*24)</f>
        <v/>
      </c>
      <c r="I1822" s="10" t="n"/>
      <c r="J1822" s="1">
        <f>IF(OR(tblDowntime[[#This Row],[Failure Type]]="Sawshop",tblDowntime[[#This Row],[Failure Type]]="Electrical",tblDowntime[[#This Row],[Failure Type]]="Mechanical"),tblDowntime[[#This Row],[Downtime Hours]],"")</f>
        <v/>
      </c>
      <c r="K1822" s="10" t="n"/>
      <c r="L1822" s="10" t="n"/>
      <c r="M1822">
        <f>IF(tblDowntime[[#This Row],[Maintenance Downtime Hours]]="","",tblDowntime[[#This Row],[Equipment ID]])</f>
        <v/>
      </c>
      <c r="N1822" s="1">
        <f>IF(tblDowntime[[#This Row],[Failure Type]]="Production",tblDowntime[[#This Row],[Downtime Hours]],"")</f>
        <v/>
      </c>
      <c r="O1822">
        <f>IF(tblDowntime[[#This Row],[Production Downtime Hours]]="","",tblDowntime[[#This Row],[Equipment ID]])</f>
        <v/>
      </c>
      <c r="P1822" s="10" t="n"/>
    </row>
    <row r="1823">
      <c r="B1823">
        <f t="array" ref="B1823">_xlfn.XLOOKUP(C1823,INDIRECT("tblEquipment[Equipment ID]"),INDIRECT("tblEquipment[Production Department]"),"")</f>
        <v/>
      </c>
      <c r="D1823">
        <f t="array" ref="D1823">_xlfn.XLOOKUP(C1823,INDIRECT("tblEquipment[Equipment ID]"),INDIRECT("tblEquipment[Equipment Name]"),"")</f>
        <v/>
      </c>
      <c r="F1823" s="16" t="n"/>
      <c r="G1823" s="16" t="n"/>
      <c r="H1823" s="1">
        <f>IF(OR(F1823=0,G1823=0),"",(G1823-F1823)*24)</f>
        <v/>
      </c>
      <c r="I1823" s="10" t="n"/>
      <c r="J1823" s="1">
        <f>IF(OR(tblDowntime[[#This Row],[Failure Type]]="Sawshop",tblDowntime[[#This Row],[Failure Type]]="Electrical",tblDowntime[[#This Row],[Failure Type]]="Mechanical"),tblDowntime[[#This Row],[Downtime Hours]],"")</f>
        <v/>
      </c>
      <c r="K1823" s="10" t="n"/>
      <c r="L1823" s="10" t="n"/>
      <c r="M1823">
        <f>IF(tblDowntime[[#This Row],[Maintenance Downtime Hours]]="","",tblDowntime[[#This Row],[Equipment ID]])</f>
        <v/>
      </c>
      <c r="N1823" s="1">
        <f>IF(tblDowntime[[#This Row],[Failure Type]]="Production",tblDowntime[[#This Row],[Downtime Hours]],"")</f>
        <v/>
      </c>
      <c r="O1823">
        <f>IF(tblDowntime[[#This Row],[Production Downtime Hours]]="","",tblDowntime[[#This Row],[Equipment ID]])</f>
        <v/>
      </c>
      <c r="P1823" s="10" t="n"/>
    </row>
    <row r="1824">
      <c r="B1824">
        <f t="array" ref="B1824">_xlfn.XLOOKUP(C1824,INDIRECT("tblEquipment[Equipment ID]"),INDIRECT("tblEquipment[Production Department]"),"")</f>
        <v/>
      </c>
      <c r="D1824">
        <f t="array" ref="D1824">_xlfn.XLOOKUP(C1824,INDIRECT("tblEquipment[Equipment ID]"),INDIRECT("tblEquipment[Equipment Name]"),"")</f>
        <v/>
      </c>
      <c r="F1824" s="16" t="n"/>
      <c r="G1824" s="16" t="n"/>
      <c r="H1824" s="1">
        <f>IF(OR(F1824=0,G1824=0),"",(G1824-F1824)*24)</f>
        <v/>
      </c>
      <c r="I1824" s="10" t="n"/>
      <c r="J1824" s="1">
        <f>IF(OR(tblDowntime[[#This Row],[Failure Type]]="Sawshop",tblDowntime[[#This Row],[Failure Type]]="Electrical",tblDowntime[[#This Row],[Failure Type]]="Mechanical"),tblDowntime[[#This Row],[Downtime Hours]],"")</f>
        <v/>
      </c>
      <c r="K1824" s="10" t="n"/>
      <c r="L1824" s="10" t="n"/>
      <c r="M1824">
        <f>IF(tblDowntime[[#This Row],[Maintenance Downtime Hours]]="","",tblDowntime[[#This Row],[Equipment ID]])</f>
        <v/>
      </c>
      <c r="N1824" s="1">
        <f>IF(tblDowntime[[#This Row],[Failure Type]]="Production",tblDowntime[[#This Row],[Downtime Hours]],"")</f>
        <v/>
      </c>
      <c r="O1824">
        <f>IF(tblDowntime[[#This Row],[Production Downtime Hours]]="","",tblDowntime[[#This Row],[Equipment ID]])</f>
        <v/>
      </c>
      <c r="P1824" s="10" t="n"/>
    </row>
    <row r="1825">
      <c r="B1825">
        <f t="array" ref="B1825">_xlfn.XLOOKUP(C1825,INDIRECT("tblEquipment[Equipment ID]"),INDIRECT("tblEquipment[Production Department]"),"")</f>
        <v/>
      </c>
      <c r="D1825">
        <f t="array" ref="D1825">_xlfn.XLOOKUP(C1825,INDIRECT("tblEquipment[Equipment ID]"),INDIRECT("tblEquipment[Equipment Name]"),"")</f>
        <v/>
      </c>
      <c r="F1825" s="16" t="n"/>
      <c r="G1825" s="16" t="n"/>
      <c r="H1825" s="1">
        <f>IF(OR(F1825=0,G1825=0),"",(G1825-F1825)*24)</f>
        <v/>
      </c>
      <c r="I1825" s="10" t="n"/>
      <c r="J1825" s="1">
        <f>IF(OR(tblDowntime[[#This Row],[Failure Type]]="Sawshop",tblDowntime[[#This Row],[Failure Type]]="Electrical",tblDowntime[[#This Row],[Failure Type]]="Mechanical"),tblDowntime[[#This Row],[Downtime Hours]],"")</f>
        <v/>
      </c>
      <c r="K1825" s="10" t="n"/>
      <c r="L1825" s="10" t="n"/>
      <c r="M1825">
        <f>IF(tblDowntime[[#This Row],[Maintenance Downtime Hours]]="","",tblDowntime[[#This Row],[Equipment ID]])</f>
        <v/>
      </c>
      <c r="N1825" s="1">
        <f>IF(tblDowntime[[#This Row],[Failure Type]]="Production",tblDowntime[[#This Row],[Downtime Hours]],"")</f>
        <v/>
      </c>
      <c r="O1825">
        <f>IF(tblDowntime[[#This Row],[Production Downtime Hours]]="","",tblDowntime[[#This Row],[Equipment ID]])</f>
        <v/>
      </c>
      <c r="P1825" s="10" t="n"/>
    </row>
    <row r="1826">
      <c r="B1826">
        <f t="array" ref="B1826">_xlfn.XLOOKUP(C1826,INDIRECT("tblEquipment[Equipment ID]"),INDIRECT("tblEquipment[Production Department]"),"")</f>
        <v/>
      </c>
      <c r="D1826">
        <f t="array" ref="D1826">_xlfn.XLOOKUP(C1826,INDIRECT("tblEquipment[Equipment ID]"),INDIRECT("tblEquipment[Equipment Name]"),"")</f>
        <v/>
      </c>
      <c r="F1826" s="16" t="n"/>
      <c r="G1826" s="16" t="n"/>
      <c r="H1826" s="1">
        <f>IF(OR(F1826=0,G1826=0),"",(G1826-F1826)*24)</f>
        <v/>
      </c>
      <c r="I1826" s="10" t="n"/>
      <c r="J1826" s="1">
        <f>IF(OR(tblDowntime[[#This Row],[Failure Type]]="Sawshop",tblDowntime[[#This Row],[Failure Type]]="Electrical",tblDowntime[[#This Row],[Failure Type]]="Mechanical"),tblDowntime[[#This Row],[Downtime Hours]],"")</f>
        <v/>
      </c>
      <c r="K1826" s="10" t="n"/>
      <c r="L1826" s="10" t="n"/>
      <c r="M1826">
        <f>IF(tblDowntime[[#This Row],[Maintenance Downtime Hours]]="","",tblDowntime[[#This Row],[Equipment ID]])</f>
        <v/>
      </c>
      <c r="N1826" s="1">
        <f>IF(tblDowntime[[#This Row],[Failure Type]]="Production",tblDowntime[[#This Row],[Downtime Hours]],"")</f>
        <v/>
      </c>
      <c r="O1826">
        <f>IF(tblDowntime[[#This Row],[Production Downtime Hours]]="","",tblDowntime[[#This Row],[Equipment ID]])</f>
        <v/>
      </c>
      <c r="P1826" s="10" t="n"/>
    </row>
    <row r="1827">
      <c r="B1827">
        <f t="array" ref="B1827">_xlfn.XLOOKUP(C1827,INDIRECT("tblEquipment[Equipment ID]"),INDIRECT("tblEquipment[Production Department]"),"")</f>
        <v/>
      </c>
      <c r="D1827">
        <f t="array" ref="D1827">_xlfn.XLOOKUP(C1827,INDIRECT("tblEquipment[Equipment ID]"),INDIRECT("tblEquipment[Equipment Name]"),"")</f>
        <v/>
      </c>
      <c r="F1827" s="16" t="n"/>
      <c r="G1827" s="16" t="n"/>
      <c r="H1827" s="1">
        <f>IF(OR(F1827=0,G1827=0),"",(G1827-F1827)*24)</f>
        <v/>
      </c>
      <c r="I1827" s="10" t="n"/>
      <c r="J1827" s="1">
        <f>IF(OR(tblDowntime[[#This Row],[Failure Type]]="Sawshop",tblDowntime[[#This Row],[Failure Type]]="Electrical",tblDowntime[[#This Row],[Failure Type]]="Mechanical"),tblDowntime[[#This Row],[Downtime Hours]],"")</f>
        <v/>
      </c>
      <c r="K1827" s="10" t="n"/>
      <c r="L1827" s="10" t="n"/>
      <c r="M1827">
        <f>IF(tblDowntime[[#This Row],[Maintenance Downtime Hours]]="","",tblDowntime[[#This Row],[Equipment ID]])</f>
        <v/>
      </c>
      <c r="N1827" s="1">
        <f>IF(tblDowntime[[#This Row],[Failure Type]]="Production",tblDowntime[[#This Row],[Downtime Hours]],"")</f>
        <v/>
      </c>
      <c r="O1827">
        <f>IF(tblDowntime[[#This Row],[Production Downtime Hours]]="","",tblDowntime[[#This Row],[Equipment ID]])</f>
        <v/>
      </c>
      <c r="P1827" s="10" t="n"/>
    </row>
    <row r="1828">
      <c r="B1828">
        <f t="array" ref="B1828">_xlfn.XLOOKUP(C1828,INDIRECT("tblEquipment[Equipment ID]"),INDIRECT("tblEquipment[Production Department]"),"")</f>
        <v/>
      </c>
      <c r="D1828">
        <f t="array" ref="D1828">_xlfn.XLOOKUP(C1828,INDIRECT("tblEquipment[Equipment ID]"),INDIRECT("tblEquipment[Equipment Name]"),"")</f>
        <v/>
      </c>
      <c r="F1828" s="16" t="n"/>
      <c r="G1828" s="16" t="n"/>
      <c r="H1828" s="1">
        <f>IF(OR(F1828=0,G1828=0),"",(G1828-F1828)*24)</f>
        <v/>
      </c>
      <c r="I1828" s="10" t="n"/>
      <c r="J1828" s="1">
        <f>IF(OR(tblDowntime[[#This Row],[Failure Type]]="Sawshop",tblDowntime[[#This Row],[Failure Type]]="Electrical",tblDowntime[[#This Row],[Failure Type]]="Mechanical"),tblDowntime[[#This Row],[Downtime Hours]],"")</f>
        <v/>
      </c>
      <c r="K1828" s="10" t="n"/>
      <c r="L1828" s="10" t="n"/>
      <c r="M1828">
        <f>IF(tblDowntime[[#This Row],[Maintenance Downtime Hours]]="","",tblDowntime[[#This Row],[Equipment ID]])</f>
        <v/>
      </c>
      <c r="N1828" s="1">
        <f>IF(tblDowntime[[#This Row],[Failure Type]]="Production",tblDowntime[[#This Row],[Downtime Hours]],"")</f>
        <v/>
      </c>
      <c r="O1828">
        <f>IF(tblDowntime[[#This Row],[Production Downtime Hours]]="","",tblDowntime[[#This Row],[Equipment ID]])</f>
        <v/>
      </c>
      <c r="P1828" s="10" t="n"/>
    </row>
    <row r="1829">
      <c r="B1829">
        <f t="array" ref="B1829">_xlfn.XLOOKUP(C1829,INDIRECT("tblEquipment[Equipment ID]"),INDIRECT("tblEquipment[Production Department]"),"")</f>
        <v/>
      </c>
      <c r="D1829">
        <f t="array" ref="D1829">_xlfn.XLOOKUP(C1829,INDIRECT("tblEquipment[Equipment ID]"),INDIRECT("tblEquipment[Equipment Name]"),"")</f>
        <v/>
      </c>
      <c r="F1829" s="16" t="n"/>
      <c r="G1829" s="16" t="n"/>
      <c r="H1829" s="1">
        <f>IF(OR(F1829=0,G1829=0),"",(G1829-F1829)*24)</f>
        <v/>
      </c>
      <c r="I1829" s="10" t="n"/>
      <c r="J1829" s="1">
        <f>IF(OR(tblDowntime[[#This Row],[Failure Type]]="Sawshop",tblDowntime[[#This Row],[Failure Type]]="Electrical",tblDowntime[[#This Row],[Failure Type]]="Mechanical"),tblDowntime[[#This Row],[Downtime Hours]],"")</f>
        <v/>
      </c>
      <c r="K1829" s="10" t="n"/>
      <c r="L1829" s="10" t="n"/>
      <c r="M1829">
        <f>IF(tblDowntime[[#This Row],[Maintenance Downtime Hours]]="","",tblDowntime[[#This Row],[Equipment ID]])</f>
        <v/>
      </c>
      <c r="N1829" s="1">
        <f>IF(tblDowntime[[#This Row],[Failure Type]]="Production",tblDowntime[[#This Row],[Downtime Hours]],"")</f>
        <v/>
      </c>
      <c r="O1829">
        <f>IF(tblDowntime[[#This Row],[Production Downtime Hours]]="","",tblDowntime[[#This Row],[Equipment ID]])</f>
        <v/>
      </c>
      <c r="P1829" s="10" t="n"/>
    </row>
    <row r="1830">
      <c r="B1830">
        <f t="array" ref="B1830">_xlfn.XLOOKUP(C1830,INDIRECT("tblEquipment[Equipment ID]"),INDIRECT("tblEquipment[Production Department]"),"")</f>
        <v/>
      </c>
      <c r="D1830">
        <f t="array" ref="D1830">_xlfn.XLOOKUP(C1830,INDIRECT("tblEquipment[Equipment ID]"),INDIRECT("tblEquipment[Equipment Name]"),"")</f>
        <v/>
      </c>
      <c r="F1830" s="16" t="n"/>
      <c r="G1830" s="16" t="n"/>
      <c r="H1830" s="1">
        <f>IF(OR(F1830=0,G1830=0),"",(G1830-F1830)*24)</f>
        <v/>
      </c>
      <c r="I1830" s="10" t="n"/>
      <c r="J1830" s="1">
        <f>IF(OR(tblDowntime[[#This Row],[Failure Type]]="Sawshop",tblDowntime[[#This Row],[Failure Type]]="Electrical",tblDowntime[[#This Row],[Failure Type]]="Mechanical"),tblDowntime[[#This Row],[Downtime Hours]],"")</f>
        <v/>
      </c>
      <c r="K1830" s="10" t="n"/>
      <c r="L1830" s="10" t="n"/>
      <c r="M1830">
        <f>IF(tblDowntime[[#This Row],[Maintenance Downtime Hours]]="","",tblDowntime[[#This Row],[Equipment ID]])</f>
        <v/>
      </c>
      <c r="N1830" s="1">
        <f>IF(tblDowntime[[#This Row],[Failure Type]]="Production",tblDowntime[[#This Row],[Downtime Hours]],"")</f>
        <v/>
      </c>
      <c r="O1830">
        <f>IF(tblDowntime[[#This Row],[Production Downtime Hours]]="","",tblDowntime[[#This Row],[Equipment ID]])</f>
        <v/>
      </c>
      <c r="P1830" s="10" t="n"/>
    </row>
    <row r="1831">
      <c r="B1831">
        <f t="array" ref="B1831">_xlfn.XLOOKUP(C1831,INDIRECT("tblEquipment[Equipment ID]"),INDIRECT("tblEquipment[Production Department]"),"")</f>
        <v/>
      </c>
      <c r="D1831">
        <f t="array" ref="D1831">_xlfn.XLOOKUP(C1831,INDIRECT("tblEquipment[Equipment ID]"),INDIRECT("tblEquipment[Equipment Name]"),"")</f>
        <v/>
      </c>
      <c r="F1831" s="16" t="n"/>
      <c r="G1831" s="16" t="n"/>
      <c r="H1831" s="1">
        <f>IF(OR(F1831=0,G1831=0),"",(G1831-F1831)*24)</f>
        <v/>
      </c>
      <c r="I1831" s="10" t="n"/>
      <c r="J1831" s="1">
        <f>IF(OR(tblDowntime[[#This Row],[Failure Type]]="Sawshop",tblDowntime[[#This Row],[Failure Type]]="Electrical",tblDowntime[[#This Row],[Failure Type]]="Mechanical"),tblDowntime[[#This Row],[Downtime Hours]],"")</f>
        <v/>
      </c>
      <c r="K1831" s="10" t="n"/>
      <c r="L1831" s="10" t="n"/>
      <c r="M1831">
        <f>IF(tblDowntime[[#This Row],[Maintenance Downtime Hours]]="","",tblDowntime[[#This Row],[Equipment ID]])</f>
        <v/>
      </c>
      <c r="N1831" s="1">
        <f>IF(tblDowntime[[#This Row],[Failure Type]]="Production",tblDowntime[[#This Row],[Downtime Hours]],"")</f>
        <v/>
      </c>
      <c r="O1831">
        <f>IF(tblDowntime[[#This Row],[Production Downtime Hours]]="","",tblDowntime[[#This Row],[Equipment ID]])</f>
        <v/>
      </c>
      <c r="P1831" s="10" t="n"/>
    </row>
    <row r="1832">
      <c r="B1832">
        <f t="array" ref="B1832">_xlfn.XLOOKUP(C1832,INDIRECT("tblEquipment[Equipment ID]"),INDIRECT("tblEquipment[Production Department]"),"")</f>
        <v/>
      </c>
      <c r="D1832">
        <f t="array" ref="D1832">_xlfn.XLOOKUP(C1832,INDIRECT("tblEquipment[Equipment ID]"),INDIRECT("tblEquipment[Equipment Name]"),"")</f>
        <v/>
      </c>
      <c r="F1832" s="16" t="n"/>
      <c r="G1832" s="16" t="n"/>
      <c r="H1832" s="1">
        <f>IF(OR(F1832=0,G1832=0),"",(G1832-F1832)*24)</f>
        <v/>
      </c>
      <c r="I1832" s="10" t="n"/>
      <c r="J1832" s="1">
        <f>IF(OR(tblDowntime[[#This Row],[Failure Type]]="Sawshop",tblDowntime[[#This Row],[Failure Type]]="Electrical",tblDowntime[[#This Row],[Failure Type]]="Mechanical"),tblDowntime[[#This Row],[Downtime Hours]],"")</f>
        <v/>
      </c>
      <c r="K1832" s="10" t="n"/>
      <c r="L1832" s="10" t="n"/>
      <c r="M1832">
        <f>IF(tblDowntime[[#This Row],[Maintenance Downtime Hours]]="","",tblDowntime[[#This Row],[Equipment ID]])</f>
        <v/>
      </c>
      <c r="N1832" s="1">
        <f>IF(tblDowntime[[#This Row],[Failure Type]]="Production",tblDowntime[[#This Row],[Downtime Hours]],"")</f>
        <v/>
      </c>
      <c r="O1832">
        <f>IF(tblDowntime[[#This Row],[Production Downtime Hours]]="","",tblDowntime[[#This Row],[Equipment ID]])</f>
        <v/>
      </c>
      <c r="P1832" s="10" t="n"/>
    </row>
    <row r="1833">
      <c r="B1833">
        <f t="array" ref="B1833">_xlfn.XLOOKUP(C1833,INDIRECT("tblEquipment[Equipment ID]"),INDIRECT("tblEquipment[Production Department]"),"")</f>
        <v/>
      </c>
      <c r="D1833">
        <f t="array" ref="D1833">_xlfn.XLOOKUP(C1833,INDIRECT("tblEquipment[Equipment ID]"),INDIRECT("tblEquipment[Equipment Name]"),"")</f>
        <v/>
      </c>
      <c r="F1833" s="16" t="n"/>
      <c r="G1833" s="16" t="n"/>
      <c r="H1833" s="1">
        <f>IF(OR(F1833=0,G1833=0),"",(G1833-F1833)*24)</f>
        <v/>
      </c>
      <c r="I1833" s="10" t="n"/>
      <c r="J1833" s="1">
        <f>IF(OR(tblDowntime[[#This Row],[Failure Type]]="Sawshop",tblDowntime[[#This Row],[Failure Type]]="Electrical",tblDowntime[[#This Row],[Failure Type]]="Mechanical"),tblDowntime[[#This Row],[Downtime Hours]],"")</f>
        <v/>
      </c>
      <c r="K1833" s="10" t="n"/>
      <c r="L1833" s="10" t="n"/>
      <c r="M1833">
        <f>IF(tblDowntime[[#This Row],[Maintenance Downtime Hours]]="","",tblDowntime[[#This Row],[Equipment ID]])</f>
        <v/>
      </c>
      <c r="N1833" s="1">
        <f>IF(tblDowntime[[#This Row],[Failure Type]]="Production",tblDowntime[[#This Row],[Downtime Hours]],"")</f>
        <v/>
      </c>
      <c r="O1833">
        <f>IF(tblDowntime[[#This Row],[Production Downtime Hours]]="","",tblDowntime[[#This Row],[Equipment ID]])</f>
        <v/>
      </c>
      <c r="P1833" s="10" t="n"/>
    </row>
    <row r="1834">
      <c r="B1834">
        <f t="array" ref="B1834">_xlfn.XLOOKUP(C1834,INDIRECT("tblEquipment[Equipment ID]"),INDIRECT("tblEquipment[Production Department]"),"")</f>
        <v/>
      </c>
      <c r="D1834">
        <f t="array" ref="D1834">_xlfn.XLOOKUP(C1834,INDIRECT("tblEquipment[Equipment ID]"),INDIRECT("tblEquipment[Equipment Name]"),"")</f>
        <v/>
      </c>
      <c r="F1834" s="16" t="n"/>
      <c r="G1834" s="16" t="n"/>
      <c r="H1834" s="1">
        <f>IF(OR(F1834=0,G1834=0),"",(G1834-F1834)*24)</f>
        <v/>
      </c>
      <c r="I1834" s="10" t="n"/>
      <c r="J1834" s="1">
        <f>IF(OR(tblDowntime[[#This Row],[Failure Type]]="Sawshop",tblDowntime[[#This Row],[Failure Type]]="Electrical",tblDowntime[[#This Row],[Failure Type]]="Mechanical"),tblDowntime[[#This Row],[Downtime Hours]],"")</f>
        <v/>
      </c>
      <c r="K1834" s="10" t="n"/>
      <c r="L1834" s="10" t="n"/>
      <c r="M1834">
        <f>IF(tblDowntime[[#This Row],[Maintenance Downtime Hours]]="","",tblDowntime[[#This Row],[Equipment ID]])</f>
        <v/>
      </c>
      <c r="N1834" s="1">
        <f>IF(tblDowntime[[#This Row],[Failure Type]]="Production",tblDowntime[[#This Row],[Downtime Hours]],"")</f>
        <v/>
      </c>
      <c r="O1834">
        <f>IF(tblDowntime[[#This Row],[Production Downtime Hours]]="","",tblDowntime[[#This Row],[Equipment ID]])</f>
        <v/>
      </c>
      <c r="P1834" s="10" t="n"/>
    </row>
    <row r="1835">
      <c r="B1835">
        <f t="array" ref="B1835">_xlfn.XLOOKUP(C1835,INDIRECT("tblEquipment[Equipment ID]"),INDIRECT("tblEquipment[Production Department]"),"")</f>
        <v/>
      </c>
      <c r="D1835">
        <f t="array" ref="D1835">_xlfn.XLOOKUP(C1835,INDIRECT("tblEquipment[Equipment ID]"),INDIRECT("tblEquipment[Equipment Name]"),"")</f>
        <v/>
      </c>
      <c r="F1835" s="16" t="n"/>
      <c r="G1835" s="16" t="n"/>
      <c r="H1835" s="1">
        <f>IF(OR(F1835=0,G1835=0),"",(G1835-F1835)*24)</f>
        <v/>
      </c>
      <c r="I1835" s="10" t="n"/>
      <c r="J1835" s="1">
        <f>IF(OR(tblDowntime[[#This Row],[Failure Type]]="Sawshop",tblDowntime[[#This Row],[Failure Type]]="Electrical",tblDowntime[[#This Row],[Failure Type]]="Mechanical"),tblDowntime[[#This Row],[Downtime Hours]],"")</f>
        <v/>
      </c>
      <c r="K1835" s="10" t="n"/>
      <c r="L1835" s="10" t="n"/>
      <c r="M1835">
        <f>IF(tblDowntime[[#This Row],[Maintenance Downtime Hours]]="","",tblDowntime[[#This Row],[Equipment ID]])</f>
        <v/>
      </c>
      <c r="N1835" s="1">
        <f>IF(tblDowntime[[#This Row],[Failure Type]]="Production",tblDowntime[[#This Row],[Downtime Hours]],"")</f>
        <v/>
      </c>
      <c r="O1835">
        <f>IF(tblDowntime[[#This Row],[Production Downtime Hours]]="","",tblDowntime[[#This Row],[Equipment ID]])</f>
        <v/>
      </c>
      <c r="P1835" s="10" t="n"/>
    </row>
    <row r="1836">
      <c r="B1836">
        <f t="array" ref="B1836">_xlfn.XLOOKUP(C1836,INDIRECT("tblEquipment[Equipment ID]"),INDIRECT("tblEquipment[Production Department]"),"")</f>
        <v/>
      </c>
      <c r="D1836">
        <f t="array" ref="D1836">_xlfn.XLOOKUP(C1836,INDIRECT("tblEquipment[Equipment ID]"),INDIRECT("tblEquipment[Equipment Name]"),"")</f>
        <v/>
      </c>
      <c r="F1836" s="16" t="n"/>
      <c r="G1836" s="16" t="n"/>
      <c r="H1836" s="1">
        <f>IF(OR(F1836=0,G1836=0),"",(G1836-F1836)*24)</f>
        <v/>
      </c>
      <c r="I1836" s="10" t="n"/>
      <c r="J1836" s="1">
        <f>IF(OR(tblDowntime[[#This Row],[Failure Type]]="Sawshop",tblDowntime[[#This Row],[Failure Type]]="Electrical",tblDowntime[[#This Row],[Failure Type]]="Mechanical"),tblDowntime[[#This Row],[Downtime Hours]],"")</f>
        <v/>
      </c>
      <c r="K1836" s="10" t="n"/>
      <c r="L1836" s="10" t="n"/>
      <c r="M1836">
        <f>IF(tblDowntime[[#This Row],[Maintenance Downtime Hours]]="","",tblDowntime[[#This Row],[Equipment ID]])</f>
        <v/>
      </c>
      <c r="N1836" s="1">
        <f>IF(tblDowntime[[#This Row],[Failure Type]]="Production",tblDowntime[[#This Row],[Downtime Hours]],"")</f>
        <v/>
      </c>
      <c r="O1836">
        <f>IF(tblDowntime[[#This Row],[Production Downtime Hours]]="","",tblDowntime[[#This Row],[Equipment ID]])</f>
        <v/>
      </c>
      <c r="P1836" s="10" t="n"/>
    </row>
    <row r="1837">
      <c r="B1837">
        <f t="array" ref="B1837">_xlfn.XLOOKUP(C1837,INDIRECT("tblEquipment[Equipment ID]"),INDIRECT("tblEquipment[Production Department]"),"")</f>
        <v/>
      </c>
      <c r="D1837">
        <f t="array" ref="D1837">_xlfn.XLOOKUP(C1837,INDIRECT("tblEquipment[Equipment ID]"),INDIRECT("tblEquipment[Equipment Name]"),"")</f>
        <v/>
      </c>
      <c r="F1837" s="16" t="n"/>
      <c r="G1837" s="16" t="n"/>
      <c r="H1837" s="1">
        <f>IF(OR(F1837=0,G1837=0),"",(G1837-F1837)*24)</f>
        <v/>
      </c>
      <c r="I1837" s="10" t="n"/>
      <c r="J1837" s="1">
        <f>IF(OR(tblDowntime[[#This Row],[Failure Type]]="Sawshop",tblDowntime[[#This Row],[Failure Type]]="Electrical",tblDowntime[[#This Row],[Failure Type]]="Mechanical"),tblDowntime[[#This Row],[Downtime Hours]],"")</f>
        <v/>
      </c>
      <c r="K1837" s="10" t="n"/>
      <c r="L1837" s="10" t="n"/>
      <c r="M1837">
        <f>IF(tblDowntime[[#This Row],[Maintenance Downtime Hours]]="","",tblDowntime[[#This Row],[Equipment ID]])</f>
        <v/>
      </c>
      <c r="N1837" s="1">
        <f>IF(tblDowntime[[#This Row],[Failure Type]]="Production",tblDowntime[[#This Row],[Downtime Hours]],"")</f>
        <v/>
      </c>
      <c r="O1837">
        <f>IF(tblDowntime[[#This Row],[Production Downtime Hours]]="","",tblDowntime[[#This Row],[Equipment ID]])</f>
        <v/>
      </c>
      <c r="P1837" s="10" t="n"/>
    </row>
    <row r="1838">
      <c r="B1838">
        <f t="array" ref="B1838">_xlfn.XLOOKUP(C1838,INDIRECT("tblEquipment[Equipment ID]"),INDIRECT("tblEquipment[Production Department]"),"")</f>
        <v/>
      </c>
      <c r="D1838">
        <f t="array" ref="D1838">_xlfn.XLOOKUP(C1838,INDIRECT("tblEquipment[Equipment ID]"),INDIRECT("tblEquipment[Equipment Name]"),"")</f>
        <v/>
      </c>
      <c r="F1838" s="16" t="n"/>
      <c r="G1838" s="16" t="n"/>
      <c r="H1838" s="1">
        <f>IF(OR(F1838=0,G1838=0),"",(G1838-F1838)*24)</f>
        <v/>
      </c>
      <c r="I1838" s="10" t="n"/>
      <c r="J1838" s="1">
        <f>IF(OR(tblDowntime[[#This Row],[Failure Type]]="Sawshop",tblDowntime[[#This Row],[Failure Type]]="Electrical",tblDowntime[[#This Row],[Failure Type]]="Mechanical"),tblDowntime[[#This Row],[Downtime Hours]],"")</f>
        <v/>
      </c>
      <c r="K1838" s="10" t="n"/>
      <c r="L1838" s="10" t="n"/>
      <c r="M1838">
        <f>IF(tblDowntime[[#This Row],[Maintenance Downtime Hours]]="","",tblDowntime[[#This Row],[Equipment ID]])</f>
        <v/>
      </c>
      <c r="N1838" s="1">
        <f>IF(tblDowntime[[#This Row],[Failure Type]]="Production",tblDowntime[[#This Row],[Downtime Hours]],"")</f>
        <v/>
      </c>
      <c r="O1838">
        <f>IF(tblDowntime[[#This Row],[Production Downtime Hours]]="","",tblDowntime[[#This Row],[Equipment ID]])</f>
        <v/>
      </c>
      <c r="P1838" s="10" t="n"/>
    </row>
    <row r="1839">
      <c r="B1839">
        <f t="array" ref="B1839">_xlfn.XLOOKUP(C1839,INDIRECT("tblEquipment[Equipment ID]"),INDIRECT("tblEquipment[Production Department]"),"")</f>
        <v/>
      </c>
      <c r="D1839">
        <f t="array" ref="D1839">_xlfn.XLOOKUP(C1839,INDIRECT("tblEquipment[Equipment ID]"),INDIRECT("tblEquipment[Equipment Name]"),"")</f>
        <v/>
      </c>
      <c r="F1839" s="16" t="n"/>
      <c r="G1839" s="16" t="n"/>
      <c r="H1839" s="1">
        <f>IF(OR(F1839=0,G1839=0),"",(G1839-F1839)*24)</f>
        <v/>
      </c>
      <c r="I1839" s="10" t="n"/>
      <c r="J1839" s="1">
        <f>IF(OR(tblDowntime[[#This Row],[Failure Type]]="Sawshop",tblDowntime[[#This Row],[Failure Type]]="Electrical",tblDowntime[[#This Row],[Failure Type]]="Mechanical"),tblDowntime[[#This Row],[Downtime Hours]],"")</f>
        <v/>
      </c>
      <c r="K1839" s="10" t="n"/>
      <c r="L1839" s="10" t="n"/>
      <c r="M1839">
        <f>IF(tblDowntime[[#This Row],[Maintenance Downtime Hours]]="","",tblDowntime[[#This Row],[Equipment ID]])</f>
        <v/>
      </c>
      <c r="N1839" s="1">
        <f>IF(tblDowntime[[#This Row],[Failure Type]]="Production",tblDowntime[[#This Row],[Downtime Hours]],"")</f>
        <v/>
      </c>
      <c r="O1839">
        <f>IF(tblDowntime[[#This Row],[Production Downtime Hours]]="","",tblDowntime[[#This Row],[Equipment ID]])</f>
        <v/>
      </c>
      <c r="P1839" s="10" t="n"/>
    </row>
    <row r="1840">
      <c r="B1840">
        <f t="array" ref="B1840">_xlfn.XLOOKUP(C1840,INDIRECT("tblEquipment[Equipment ID]"),INDIRECT("tblEquipment[Production Department]"),"")</f>
        <v/>
      </c>
      <c r="D1840">
        <f t="array" ref="D1840">_xlfn.XLOOKUP(C1840,INDIRECT("tblEquipment[Equipment ID]"),INDIRECT("tblEquipment[Equipment Name]"),"")</f>
        <v/>
      </c>
      <c r="F1840" s="16" t="n"/>
      <c r="G1840" s="16" t="n"/>
      <c r="H1840" s="1">
        <f>IF(OR(F1840=0,G1840=0),"",(G1840-F1840)*24)</f>
        <v/>
      </c>
      <c r="I1840" s="10" t="n"/>
      <c r="J1840" s="1">
        <f>IF(OR(tblDowntime[[#This Row],[Failure Type]]="Sawshop",tblDowntime[[#This Row],[Failure Type]]="Electrical",tblDowntime[[#This Row],[Failure Type]]="Mechanical"),tblDowntime[[#This Row],[Downtime Hours]],"")</f>
        <v/>
      </c>
      <c r="K1840" s="10" t="n"/>
      <c r="L1840" s="10" t="n"/>
      <c r="M1840">
        <f>IF(tblDowntime[[#This Row],[Maintenance Downtime Hours]]="","",tblDowntime[[#This Row],[Equipment ID]])</f>
        <v/>
      </c>
      <c r="N1840" s="1">
        <f>IF(tblDowntime[[#This Row],[Failure Type]]="Production",tblDowntime[[#This Row],[Downtime Hours]],"")</f>
        <v/>
      </c>
      <c r="O1840">
        <f>IF(tblDowntime[[#This Row],[Production Downtime Hours]]="","",tblDowntime[[#This Row],[Equipment ID]])</f>
        <v/>
      </c>
      <c r="P1840" s="10" t="n"/>
    </row>
    <row r="1841">
      <c r="B1841">
        <f t="array" ref="B1841">_xlfn.XLOOKUP(C1841,INDIRECT("tblEquipment[Equipment ID]"),INDIRECT("tblEquipment[Production Department]"),"")</f>
        <v/>
      </c>
      <c r="D1841">
        <f t="array" ref="D1841">_xlfn.XLOOKUP(C1841,INDIRECT("tblEquipment[Equipment ID]"),INDIRECT("tblEquipment[Equipment Name]"),"")</f>
        <v/>
      </c>
      <c r="F1841" s="16" t="n"/>
      <c r="G1841" s="16" t="n"/>
      <c r="H1841" s="1">
        <f>IF(OR(F1841=0,G1841=0),"",(G1841-F1841)*24)</f>
        <v/>
      </c>
      <c r="I1841" s="10" t="n"/>
      <c r="J1841" s="1">
        <f>IF(OR(tblDowntime[[#This Row],[Failure Type]]="Sawshop",tblDowntime[[#This Row],[Failure Type]]="Electrical",tblDowntime[[#This Row],[Failure Type]]="Mechanical"),tblDowntime[[#This Row],[Downtime Hours]],"")</f>
        <v/>
      </c>
      <c r="K1841" s="10" t="n"/>
      <c r="L1841" s="10" t="n"/>
      <c r="M1841">
        <f>IF(tblDowntime[[#This Row],[Maintenance Downtime Hours]]="","",tblDowntime[[#This Row],[Equipment ID]])</f>
        <v/>
      </c>
      <c r="N1841" s="1">
        <f>IF(tblDowntime[[#This Row],[Failure Type]]="Production",tblDowntime[[#This Row],[Downtime Hours]],"")</f>
        <v/>
      </c>
      <c r="O1841">
        <f>IF(tblDowntime[[#This Row],[Production Downtime Hours]]="","",tblDowntime[[#This Row],[Equipment ID]])</f>
        <v/>
      </c>
      <c r="P1841" s="10" t="n"/>
    </row>
    <row r="1842">
      <c r="B1842">
        <f t="array" ref="B1842">_xlfn.XLOOKUP(C1842,INDIRECT("tblEquipment[Equipment ID]"),INDIRECT("tblEquipment[Production Department]"),"")</f>
        <v/>
      </c>
      <c r="D1842">
        <f t="array" ref="D1842">_xlfn.XLOOKUP(C1842,INDIRECT("tblEquipment[Equipment ID]"),INDIRECT("tblEquipment[Equipment Name]"),"")</f>
        <v/>
      </c>
      <c r="F1842" s="16" t="n"/>
      <c r="G1842" s="16" t="n"/>
      <c r="H1842" s="1">
        <f>IF(OR(F1842=0,G1842=0),"",(G1842-F1842)*24)</f>
        <v/>
      </c>
      <c r="I1842" s="10" t="n"/>
      <c r="J1842" s="1">
        <f>IF(OR(tblDowntime[[#This Row],[Failure Type]]="Sawshop",tblDowntime[[#This Row],[Failure Type]]="Electrical",tblDowntime[[#This Row],[Failure Type]]="Mechanical"),tblDowntime[[#This Row],[Downtime Hours]],"")</f>
        <v/>
      </c>
      <c r="K1842" s="10" t="n"/>
      <c r="L1842" s="10" t="n"/>
      <c r="M1842">
        <f>IF(tblDowntime[[#This Row],[Maintenance Downtime Hours]]="","",tblDowntime[[#This Row],[Equipment ID]])</f>
        <v/>
      </c>
      <c r="N1842" s="1">
        <f>IF(tblDowntime[[#This Row],[Failure Type]]="Production",tblDowntime[[#This Row],[Downtime Hours]],"")</f>
        <v/>
      </c>
      <c r="O1842">
        <f>IF(tblDowntime[[#This Row],[Production Downtime Hours]]="","",tblDowntime[[#This Row],[Equipment ID]])</f>
        <v/>
      </c>
      <c r="P1842" s="10" t="n"/>
    </row>
    <row r="1843">
      <c r="B1843">
        <f t="array" ref="B1843">_xlfn.XLOOKUP(C1843,INDIRECT("tblEquipment[Equipment ID]"),INDIRECT("tblEquipment[Production Department]"),"")</f>
        <v/>
      </c>
      <c r="D1843">
        <f t="array" ref="D1843">_xlfn.XLOOKUP(C1843,INDIRECT("tblEquipment[Equipment ID]"),INDIRECT("tblEquipment[Equipment Name]"),"")</f>
        <v/>
      </c>
      <c r="F1843" s="16" t="n"/>
      <c r="G1843" s="16" t="n"/>
      <c r="H1843" s="1">
        <f>IF(OR(F1843=0,G1843=0),"",(G1843-F1843)*24)</f>
        <v/>
      </c>
      <c r="I1843" s="10" t="n"/>
      <c r="J1843" s="1">
        <f>IF(OR(tblDowntime[[#This Row],[Failure Type]]="Sawshop",tblDowntime[[#This Row],[Failure Type]]="Electrical",tblDowntime[[#This Row],[Failure Type]]="Mechanical"),tblDowntime[[#This Row],[Downtime Hours]],"")</f>
        <v/>
      </c>
      <c r="K1843" s="10" t="n"/>
      <c r="L1843" s="10" t="n"/>
      <c r="M1843">
        <f>IF(tblDowntime[[#This Row],[Maintenance Downtime Hours]]="","",tblDowntime[[#This Row],[Equipment ID]])</f>
        <v/>
      </c>
      <c r="N1843" s="1">
        <f>IF(tblDowntime[[#This Row],[Failure Type]]="Production",tblDowntime[[#This Row],[Downtime Hours]],"")</f>
        <v/>
      </c>
      <c r="O1843">
        <f>IF(tblDowntime[[#This Row],[Production Downtime Hours]]="","",tblDowntime[[#This Row],[Equipment ID]])</f>
        <v/>
      </c>
      <c r="P1843" s="10" t="n"/>
    </row>
    <row r="1844">
      <c r="B1844">
        <f t="array" ref="B1844">_xlfn.XLOOKUP(C1844,INDIRECT("tblEquipment[Equipment ID]"),INDIRECT("tblEquipment[Production Department]"),"")</f>
        <v/>
      </c>
      <c r="D1844">
        <f t="array" ref="D1844">_xlfn.XLOOKUP(C1844,INDIRECT("tblEquipment[Equipment ID]"),INDIRECT("tblEquipment[Equipment Name]"),"")</f>
        <v/>
      </c>
      <c r="F1844" s="16" t="n"/>
      <c r="G1844" s="16" t="n"/>
      <c r="H1844" s="1">
        <f>IF(OR(F1844=0,G1844=0),"",(G1844-F1844)*24)</f>
        <v/>
      </c>
      <c r="I1844" s="10" t="n"/>
      <c r="J1844" s="1">
        <f>IF(OR(tblDowntime[[#This Row],[Failure Type]]="Sawshop",tblDowntime[[#This Row],[Failure Type]]="Electrical",tblDowntime[[#This Row],[Failure Type]]="Mechanical"),tblDowntime[[#This Row],[Downtime Hours]],"")</f>
        <v/>
      </c>
      <c r="K1844" s="10" t="n"/>
      <c r="L1844" s="10" t="n"/>
      <c r="M1844">
        <f>IF(tblDowntime[[#This Row],[Maintenance Downtime Hours]]="","",tblDowntime[[#This Row],[Equipment ID]])</f>
        <v/>
      </c>
      <c r="N1844" s="1">
        <f>IF(tblDowntime[[#This Row],[Failure Type]]="Production",tblDowntime[[#This Row],[Downtime Hours]],"")</f>
        <v/>
      </c>
      <c r="O1844">
        <f>IF(tblDowntime[[#This Row],[Production Downtime Hours]]="","",tblDowntime[[#This Row],[Equipment ID]])</f>
        <v/>
      </c>
      <c r="P1844" s="10" t="n"/>
    </row>
    <row r="1845">
      <c r="B1845">
        <f t="array" ref="B1845">_xlfn.XLOOKUP(C1845,INDIRECT("tblEquipment[Equipment ID]"),INDIRECT("tblEquipment[Production Department]"),"")</f>
        <v/>
      </c>
      <c r="D1845">
        <f t="array" ref="D1845">_xlfn.XLOOKUP(C1845,INDIRECT("tblEquipment[Equipment ID]"),INDIRECT("tblEquipment[Equipment Name]"),"")</f>
        <v/>
      </c>
      <c r="F1845" s="16" t="n"/>
      <c r="G1845" s="16" t="n"/>
      <c r="H1845" s="1">
        <f>IF(OR(F1845=0,G1845=0),"",(G1845-F1845)*24)</f>
        <v/>
      </c>
      <c r="I1845" s="10" t="n"/>
      <c r="J1845" s="1">
        <f>IF(OR(tblDowntime[[#This Row],[Failure Type]]="Sawshop",tblDowntime[[#This Row],[Failure Type]]="Electrical",tblDowntime[[#This Row],[Failure Type]]="Mechanical"),tblDowntime[[#This Row],[Downtime Hours]],"")</f>
        <v/>
      </c>
      <c r="K1845" s="10" t="n"/>
      <c r="L1845" s="10" t="n"/>
      <c r="M1845">
        <f>IF(tblDowntime[[#This Row],[Maintenance Downtime Hours]]="","",tblDowntime[[#This Row],[Equipment ID]])</f>
        <v/>
      </c>
      <c r="N1845" s="1">
        <f>IF(tblDowntime[[#This Row],[Failure Type]]="Production",tblDowntime[[#This Row],[Downtime Hours]],"")</f>
        <v/>
      </c>
      <c r="O1845">
        <f>IF(tblDowntime[[#This Row],[Production Downtime Hours]]="","",tblDowntime[[#This Row],[Equipment ID]])</f>
        <v/>
      </c>
      <c r="P1845" s="10" t="n"/>
    </row>
    <row r="1846">
      <c r="B1846">
        <f t="array" ref="B1846">_xlfn.XLOOKUP(C1846,INDIRECT("tblEquipment[Equipment ID]"),INDIRECT("tblEquipment[Production Department]"),"")</f>
        <v/>
      </c>
      <c r="D1846">
        <f t="array" ref="D1846">_xlfn.XLOOKUP(C1846,INDIRECT("tblEquipment[Equipment ID]"),INDIRECT("tblEquipment[Equipment Name]"),"")</f>
        <v/>
      </c>
      <c r="F1846" s="16" t="n"/>
      <c r="G1846" s="16" t="n"/>
      <c r="H1846" s="1">
        <f>IF(OR(F1846=0,G1846=0),"",(G1846-F1846)*24)</f>
        <v/>
      </c>
      <c r="I1846" s="10" t="n"/>
      <c r="J1846" s="1">
        <f>IF(OR(tblDowntime[[#This Row],[Failure Type]]="Sawshop",tblDowntime[[#This Row],[Failure Type]]="Electrical",tblDowntime[[#This Row],[Failure Type]]="Mechanical"),tblDowntime[[#This Row],[Downtime Hours]],"")</f>
        <v/>
      </c>
      <c r="K1846" s="10" t="n"/>
      <c r="L1846" s="10" t="n"/>
      <c r="M1846">
        <f>IF(tblDowntime[[#This Row],[Maintenance Downtime Hours]]="","",tblDowntime[[#This Row],[Equipment ID]])</f>
        <v/>
      </c>
      <c r="N1846" s="1">
        <f>IF(tblDowntime[[#This Row],[Failure Type]]="Production",tblDowntime[[#This Row],[Downtime Hours]],"")</f>
        <v/>
      </c>
      <c r="O1846">
        <f>IF(tblDowntime[[#This Row],[Production Downtime Hours]]="","",tblDowntime[[#This Row],[Equipment ID]])</f>
        <v/>
      </c>
      <c r="P1846" s="10" t="n"/>
    </row>
    <row r="1847">
      <c r="B1847">
        <f t="array" ref="B1847">_xlfn.XLOOKUP(C1847,INDIRECT("tblEquipment[Equipment ID]"),INDIRECT("tblEquipment[Production Department]"),"")</f>
        <v/>
      </c>
      <c r="D1847">
        <f t="array" ref="D1847">_xlfn.XLOOKUP(C1847,INDIRECT("tblEquipment[Equipment ID]"),INDIRECT("tblEquipment[Equipment Name]"),"")</f>
        <v/>
      </c>
      <c r="F1847" s="16" t="n"/>
      <c r="G1847" s="16" t="n"/>
      <c r="H1847" s="1">
        <f>IF(OR(F1847=0,G1847=0),"",(G1847-F1847)*24)</f>
        <v/>
      </c>
      <c r="I1847" s="10" t="n"/>
      <c r="J1847" s="1">
        <f>IF(OR(tblDowntime[[#This Row],[Failure Type]]="Sawshop",tblDowntime[[#This Row],[Failure Type]]="Electrical",tblDowntime[[#This Row],[Failure Type]]="Mechanical"),tblDowntime[[#This Row],[Downtime Hours]],"")</f>
        <v/>
      </c>
      <c r="K1847" s="10" t="n"/>
      <c r="L1847" s="10" t="n"/>
      <c r="M1847">
        <f>IF(tblDowntime[[#This Row],[Maintenance Downtime Hours]]="","",tblDowntime[[#This Row],[Equipment ID]])</f>
        <v/>
      </c>
      <c r="N1847" s="1">
        <f>IF(tblDowntime[[#This Row],[Failure Type]]="Production",tblDowntime[[#This Row],[Downtime Hours]],"")</f>
        <v/>
      </c>
      <c r="O1847">
        <f>IF(tblDowntime[[#This Row],[Production Downtime Hours]]="","",tblDowntime[[#This Row],[Equipment ID]])</f>
        <v/>
      </c>
      <c r="P1847" s="10" t="n"/>
    </row>
    <row r="1848">
      <c r="B1848">
        <f t="array" ref="B1848">_xlfn.XLOOKUP(C1848,INDIRECT("tblEquipment[Equipment ID]"),INDIRECT("tblEquipment[Production Department]"),"")</f>
        <v/>
      </c>
      <c r="D1848">
        <f t="array" ref="D1848">_xlfn.XLOOKUP(C1848,INDIRECT("tblEquipment[Equipment ID]"),INDIRECT("tblEquipment[Equipment Name]"),"")</f>
        <v/>
      </c>
      <c r="F1848" s="16" t="n"/>
      <c r="G1848" s="16" t="n"/>
      <c r="H1848" s="1">
        <f>IF(OR(F1848=0,G1848=0),"",(G1848-F1848)*24)</f>
        <v/>
      </c>
      <c r="I1848" s="10" t="n"/>
      <c r="J1848" s="1">
        <f>IF(OR(tblDowntime[[#This Row],[Failure Type]]="Sawshop",tblDowntime[[#This Row],[Failure Type]]="Electrical",tblDowntime[[#This Row],[Failure Type]]="Mechanical"),tblDowntime[[#This Row],[Downtime Hours]],"")</f>
        <v/>
      </c>
      <c r="K1848" s="10" t="n"/>
      <c r="L1848" s="10" t="n"/>
      <c r="M1848">
        <f>IF(tblDowntime[[#This Row],[Maintenance Downtime Hours]]="","",tblDowntime[[#This Row],[Equipment ID]])</f>
        <v/>
      </c>
      <c r="N1848" s="1">
        <f>IF(tblDowntime[[#This Row],[Failure Type]]="Production",tblDowntime[[#This Row],[Downtime Hours]],"")</f>
        <v/>
      </c>
      <c r="O1848">
        <f>IF(tblDowntime[[#This Row],[Production Downtime Hours]]="","",tblDowntime[[#This Row],[Equipment ID]])</f>
        <v/>
      </c>
      <c r="P1848" s="10" t="n"/>
    </row>
    <row r="1849">
      <c r="B1849">
        <f t="array" ref="B1849">_xlfn.XLOOKUP(C1849,INDIRECT("tblEquipment[Equipment ID]"),INDIRECT("tblEquipment[Production Department]"),"")</f>
        <v/>
      </c>
      <c r="D1849">
        <f t="array" ref="D1849">_xlfn.XLOOKUP(C1849,INDIRECT("tblEquipment[Equipment ID]"),INDIRECT("tblEquipment[Equipment Name]"),"")</f>
        <v/>
      </c>
      <c r="F1849" s="16" t="n"/>
      <c r="G1849" s="16" t="n"/>
      <c r="H1849" s="1">
        <f>IF(OR(F1849=0,G1849=0),"",(G1849-F1849)*24)</f>
        <v/>
      </c>
      <c r="I1849" s="10" t="n"/>
      <c r="J1849" s="1">
        <f>IF(OR(tblDowntime[[#This Row],[Failure Type]]="Sawshop",tblDowntime[[#This Row],[Failure Type]]="Electrical",tblDowntime[[#This Row],[Failure Type]]="Mechanical"),tblDowntime[[#This Row],[Downtime Hours]],"")</f>
        <v/>
      </c>
      <c r="K1849" s="10" t="n"/>
      <c r="L1849" s="10" t="n"/>
      <c r="M1849">
        <f>IF(tblDowntime[[#This Row],[Maintenance Downtime Hours]]="","",tblDowntime[[#This Row],[Equipment ID]])</f>
        <v/>
      </c>
      <c r="N1849" s="1">
        <f>IF(tblDowntime[[#This Row],[Failure Type]]="Production",tblDowntime[[#This Row],[Downtime Hours]],"")</f>
        <v/>
      </c>
      <c r="O1849">
        <f>IF(tblDowntime[[#This Row],[Production Downtime Hours]]="","",tblDowntime[[#This Row],[Equipment ID]])</f>
        <v/>
      </c>
      <c r="P1849" s="10" t="n"/>
    </row>
    <row r="1850">
      <c r="B1850">
        <f t="array" ref="B1850">_xlfn.XLOOKUP(C1850,INDIRECT("tblEquipment[Equipment ID]"),INDIRECT("tblEquipment[Production Department]"),"")</f>
        <v/>
      </c>
      <c r="D1850">
        <f t="array" ref="D1850">_xlfn.XLOOKUP(C1850,INDIRECT("tblEquipment[Equipment ID]"),INDIRECT("tblEquipment[Equipment Name]"),"")</f>
        <v/>
      </c>
      <c r="F1850" s="16" t="n"/>
      <c r="G1850" s="16" t="n"/>
      <c r="H1850" s="1">
        <f>IF(OR(F1850=0,G1850=0),"",(G1850-F1850)*24)</f>
        <v/>
      </c>
      <c r="I1850" s="10" t="n"/>
      <c r="J1850" s="1">
        <f>IF(OR(tblDowntime[[#This Row],[Failure Type]]="Sawshop",tblDowntime[[#This Row],[Failure Type]]="Electrical",tblDowntime[[#This Row],[Failure Type]]="Mechanical"),tblDowntime[[#This Row],[Downtime Hours]],"")</f>
        <v/>
      </c>
      <c r="K1850" s="10" t="n"/>
      <c r="L1850" s="10" t="n"/>
      <c r="M1850">
        <f>IF(tblDowntime[[#This Row],[Maintenance Downtime Hours]]="","",tblDowntime[[#This Row],[Equipment ID]])</f>
        <v/>
      </c>
      <c r="N1850" s="1">
        <f>IF(tblDowntime[[#This Row],[Failure Type]]="Production",tblDowntime[[#This Row],[Downtime Hours]],"")</f>
        <v/>
      </c>
      <c r="O1850">
        <f>IF(tblDowntime[[#This Row],[Production Downtime Hours]]="","",tblDowntime[[#This Row],[Equipment ID]])</f>
        <v/>
      </c>
      <c r="P1850" s="10" t="n"/>
    </row>
    <row r="1851">
      <c r="B1851">
        <f t="array" ref="B1851">_xlfn.XLOOKUP(C1851,INDIRECT("tblEquipment[Equipment ID]"),INDIRECT("tblEquipment[Production Department]"),"")</f>
        <v/>
      </c>
      <c r="D1851">
        <f t="array" ref="D1851">_xlfn.XLOOKUP(C1851,INDIRECT("tblEquipment[Equipment ID]"),INDIRECT("tblEquipment[Equipment Name]"),"")</f>
        <v/>
      </c>
      <c r="F1851" s="16" t="n"/>
      <c r="G1851" s="16" t="n"/>
      <c r="H1851" s="1">
        <f>IF(OR(F1851=0,G1851=0),"",(G1851-F1851)*24)</f>
        <v/>
      </c>
      <c r="I1851" s="10" t="n"/>
      <c r="J1851" s="1">
        <f>IF(OR(tblDowntime[[#This Row],[Failure Type]]="Sawshop",tblDowntime[[#This Row],[Failure Type]]="Electrical",tblDowntime[[#This Row],[Failure Type]]="Mechanical"),tblDowntime[[#This Row],[Downtime Hours]],"")</f>
        <v/>
      </c>
      <c r="K1851" s="10" t="n"/>
      <c r="L1851" s="10" t="n"/>
      <c r="M1851">
        <f>IF(tblDowntime[[#This Row],[Maintenance Downtime Hours]]="","",tblDowntime[[#This Row],[Equipment ID]])</f>
        <v/>
      </c>
      <c r="N1851" s="1">
        <f>IF(tblDowntime[[#This Row],[Failure Type]]="Production",tblDowntime[[#This Row],[Downtime Hours]],"")</f>
        <v/>
      </c>
      <c r="O1851">
        <f>IF(tblDowntime[[#This Row],[Production Downtime Hours]]="","",tblDowntime[[#This Row],[Equipment ID]])</f>
        <v/>
      </c>
      <c r="P1851" s="10" t="n"/>
    </row>
    <row r="1852">
      <c r="B1852">
        <f t="array" ref="B1852">_xlfn.XLOOKUP(C1852,INDIRECT("tblEquipment[Equipment ID]"),INDIRECT("tblEquipment[Production Department]"),"")</f>
        <v/>
      </c>
      <c r="D1852">
        <f t="array" ref="D1852">_xlfn.XLOOKUP(C1852,INDIRECT("tblEquipment[Equipment ID]"),INDIRECT("tblEquipment[Equipment Name]"),"")</f>
        <v/>
      </c>
      <c r="F1852" s="16" t="n"/>
      <c r="G1852" s="16" t="n"/>
      <c r="H1852" s="1">
        <f>IF(OR(F1852=0,G1852=0),"",(G1852-F1852)*24)</f>
        <v/>
      </c>
      <c r="I1852" s="10" t="n"/>
      <c r="J1852" s="1">
        <f>IF(OR(tblDowntime[[#This Row],[Failure Type]]="Sawshop",tblDowntime[[#This Row],[Failure Type]]="Electrical",tblDowntime[[#This Row],[Failure Type]]="Mechanical"),tblDowntime[[#This Row],[Downtime Hours]],"")</f>
        <v/>
      </c>
      <c r="K1852" s="10" t="n"/>
      <c r="L1852" s="10" t="n"/>
      <c r="M1852">
        <f>IF(tblDowntime[[#This Row],[Maintenance Downtime Hours]]="","",tblDowntime[[#This Row],[Equipment ID]])</f>
        <v/>
      </c>
      <c r="N1852" s="1">
        <f>IF(tblDowntime[[#This Row],[Failure Type]]="Production",tblDowntime[[#This Row],[Downtime Hours]],"")</f>
        <v/>
      </c>
      <c r="O1852">
        <f>IF(tblDowntime[[#This Row],[Production Downtime Hours]]="","",tblDowntime[[#This Row],[Equipment ID]])</f>
        <v/>
      </c>
      <c r="P1852" s="10" t="n"/>
    </row>
    <row r="1853">
      <c r="B1853">
        <f t="array" ref="B1853">_xlfn.XLOOKUP(C1853,INDIRECT("tblEquipment[Equipment ID]"),INDIRECT("tblEquipment[Production Department]"),"")</f>
        <v/>
      </c>
      <c r="D1853">
        <f t="array" ref="D1853">_xlfn.XLOOKUP(C1853,INDIRECT("tblEquipment[Equipment ID]"),INDIRECT("tblEquipment[Equipment Name]"),"")</f>
        <v/>
      </c>
      <c r="F1853" s="16" t="n"/>
      <c r="G1853" s="16" t="n"/>
      <c r="H1853" s="1">
        <f>IF(OR(F1853=0,G1853=0),"",(G1853-F1853)*24)</f>
        <v/>
      </c>
      <c r="I1853" s="10" t="n"/>
      <c r="J1853" s="1">
        <f>IF(OR(tblDowntime[[#This Row],[Failure Type]]="Sawshop",tblDowntime[[#This Row],[Failure Type]]="Electrical",tblDowntime[[#This Row],[Failure Type]]="Mechanical"),tblDowntime[[#This Row],[Downtime Hours]],"")</f>
        <v/>
      </c>
      <c r="K1853" s="10" t="n"/>
      <c r="L1853" s="10" t="n"/>
      <c r="M1853">
        <f>IF(tblDowntime[[#This Row],[Maintenance Downtime Hours]]="","",tblDowntime[[#This Row],[Equipment ID]])</f>
        <v/>
      </c>
      <c r="N1853" s="1">
        <f>IF(tblDowntime[[#This Row],[Failure Type]]="Production",tblDowntime[[#This Row],[Downtime Hours]],"")</f>
        <v/>
      </c>
      <c r="O1853">
        <f>IF(tblDowntime[[#This Row],[Production Downtime Hours]]="","",tblDowntime[[#This Row],[Equipment ID]])</f>
        <v/>
      </c>
      <c r="P1853" s="10" t="n"/>
    </row>
    <row r="1854">
      <c r="B1854">
        <f t="array" ref="B1854">_xlfn.XLOOKUP(C1854,INDIRECT("tblEquipment[Equipment ID]"),INDIRECT("tblEquipment[Production Department]"),"")</f>
        <v/>
      </c>
      <c r="D1854">
        <f t="array" ref="D1854">_xlfn.XLOOKUP(C1854,INDIRECT("tblEquipment[Equipment ID]"),INDIRECT("tblEquipment[Equipment Name]"),"")</f>
        <v/>
      </c>
      <c r="F1854" s="16" t="n"/>
      <c r="G1854" s="16" t="n"/>
      <c r="H1854" s="1">
        <f>IF(OR(F1854=0,G1854=0),"",(G1854-F1854)*24)</f>
        <v/>
      </c>
      <c r="I1854" s="10" t="n"/>
      <c r="J1854" s="1">
        <f>IF(OR(tblDowntime[[#This Row],[Failure Type]]="Sawshop",tblDowntime[[#This Row],[Failure Type]]="Electrical",tblDowntime[[#This Row],[Failure Type]]="Mechanical"),tblDowntime[[#This Row],[Downtime Hours]],"")</f>
        <v/>
      </c>
      <c r="K1854" s="10" t="n"/>
      <c r="L1854" s="10" t="n"/>
      <c r="M1854">
        <f>IF(tblDowntime[[#This Row],[Maintenance Downtime Hours]]="","",tblDowntime[[#This Row],[Equipment ID]])</f>
        <v/>
      </c>
      <c r="N1854" s="1">
        <f>IF(tblDowntime[[#This Row],[Failure Type]]="Production",tblDowntime[[#This Row],[Downtime Hours]],"")</f>
        <v/>
      </c>
      <c r="O1854">
        <f>IF(tblDowntime[[#This Row],[Production Downtime Hours]]="","",tblDowntime[[#This Row],[Equipment ID]])</f>
        <v/>
      </c>
      <c r="P1854" s="10" t="n"/>
    </row>
    <row r="1855">
      <c r="B1855">
        <f t="array" ref="B1855">_xlfn.XLOOKUP(C1855,INDIRECT("tblEquipment[Equipment ID]"),INDIRECT("tblEquipment[Production Department]"),"")</f>
        <v/>
      </c>
      <c r="D1855">
        <f t="array" ref="D1855">_xlfn.XLOOKUP(C1855,INDIRECT("tblEquipment[Equipment ID]"),INDIRECT("tblEquipment[Equipment Name]"),"")</f>
        <v/>
      </c>
      <c r="F1855" s="16" t="n"/>
      <c r="G1855" s="16" t="n"/>
      <c r="H1855" s="1">
        <f>IF(OR(F1855=0,G1855=0),"",(G1855-F1855)*24)</f>
        <v/>
      </c>
      <c r="I1855" s="10" t="n"/>
      <c r="J1855" s="1">
        <f>IF(OR(tblDowntime[[#This Row],[Failure Type]]="Sawshop",tblDowntime[[#This Row],[Failure Type]]="Electrical",tblDowntime[[#This Row],[Failure Type]]="Mechanical"),tblDowntime[[#This Row],[Downtime Hours]],"")</f>
        <v/>
      </c>
      <c r="K1855" s="10" t="n"/>
      <c r="L1855" s="10" t="n"/>
      <c r="M1855">
        <f>IF(tblDowntime[[#This Row],[Maintenance Downtime Hours]]="","",tblDowntime[[#This Row],[Equipment ID]])</f>
        <v/>
      </c>
      <c r="N1855" s="1">
        <f>IF(tblDowntime[[#This Row],[Failure Type]]="Production",tblDowntime[[#This Row],[Downtime Hours]],"")</f>
        <v/>
      </c>
      <c r="O1855">
        <f>IF(tblDowntime[[#This Row],[Production Downtime Hours]]="","",tblDowntime[[#This Row],[Equipment ID]])</f>
        <v/>
      </c>
      <c r="P1855" s="10" t="n"/>
    </row>
    <row r="1856">
      <c r="B1856">
        <f t="array" ref="B1856">_xlfn.XLOOKUP(C1856,INDIRECT("tblEquipment[Equipment ID]"),INDIRECT("tblEquipment[Production Department]"),"")</f>
        <v/>
      </c>
      <c r="D1856">
        <f t="array" ref="D1856">_xlfn.XLOOKUP(C1856,INDIRECT("tblEquipment[Equipment ID]"),INDIRECT("tblEquipment[Equipment Name]"),"")</f>
        <v/>
      </c>
      <c r="F1856" s="16" t="n"/>
      <c r="G1856" s="16" t="n"/>
      <c r="H1856" s="1">
        <f>IF(OR(F1856=0,G1856=0),"",(G1856-F1856)*24)</f>
        <v/>
      </c>
      <c r="I1856" s="10" t="n"/>
      <c r="J1856" s="1">
        <f>IF(OR(tblDowntime[[#This Row],[Failure Type]]="Sawshop",tblDowntime[[#This Row],[Failure Type]]="Electrical",tblDowntime[[#This Row],[Failure Type]]="Mechanical"),tblDowntime[[#This Row],[Downtime Hours]],"")</f>
        <v/>
      </c>
      <c r="K1856" s="10" t="n"/>
      <c r="L1856" s="10" t="n"/>
      <c r="M1856">
        <f>IF(tblDowntime[[#This Row],[Maintenance Downtime Hours]]="","",tblDowntime[[#This Row],[Equipment ID]])</f>
        <v/>
      </c>
      <c r="N1856" s="1">
        <f>IF(tblDowntime[[#This Row],[Failure Type]]="Production",tblDowntime[[#This Row],[Downtime Hours]],"")</f>
        <v/>
      </c>
      <c r="O1856">
        <f>IF(tblDowntime[[#This Row],[Production Downtime Hours]]="","",tblDowntime[[#This Row],[Equipment ID]])</f>
        <v/>
      </c>
      <c r="P1856" s="10" t="n"/>
    </row>
    <row r="1857">
      <c r="B1857">
        <f t="array" ref="B1857">_xlfn.XLOOKUP(C1857,INDIRECT("tblEquipment[Equipment ID]"),INDIRECT("tblEquipment[Production Department]"),"")</f>
        <v/>
      </c>
      <c r="D1857">
        <f t="array" ref="D1857">_xlfn.XLOOKUP(C1857,INDIRECT("tblEquipment[Equipment ID]"),INDIRECT("tblEquipment[Equipment Name]"),"")</f>
        <v/>
      </c>
      <c r="F1857" s="16" t="n"/>
      <c r="G1857" s="16" t="n"/>
      <c r="H1857" s="1">
        <f>IF(OR(F1857=0,G1857=0),"",(G1857-F1857)*24)</f>
        <v/>
      </c>
      <c r="I1857" s="10" t="n"/>
      <c r="J1857" s="1">
        <f>IF(OR(tblDowntime[[#This Row],[Failure Type]]="Sawshop",tblDowntime[[#This Row],[Failure Type]]="Electrical",tblDowntime[[#This Row],[Failure Type]]="Mechanical"),tblDowntime[[#This Row],[Downtime Hours]],"")</f>
        <v/>
      </c>
      <c r="K1857" s="10" t="n"/>
      <c r="L1857" s="10" t="n"/>
      <c r="M1857">
        <f>IF(tblDowntime[[#This Row],[Maintenance Downtime Hours]]="","",tblDowntime[[#This Row],[Equipment ID]])</f>
        <v/>
      </c>
      <c r="N1857" s="1">
        <f>IF(tblDowntime[[#This Row],[Failure Type]]="Production",tblDowntime[[#This Row],[Downtime Hours]],"")</f>
        <v/>
      </c>
      <c r="O1857">
        <f>IF(tblDowntime[[#This Row],[Production Downtime Hours]]="","",tblDowntime[[#This Row],[Equipment ID]])</f>
        <v/>
      </c>
      <c r="P1857" s="10" t="n"/>
    </row>
    <row r="1858">
      <c r="B1858">
        <f t="array" ref="B1858">_xlfn.XLOOKUP(C1858,INDIRECT("tblEquipment[Equipment ID]"),INDIRECT("tblEquipment[Production Department]"),"")</f>
        <v/>
      </c>
      <c r="D1858">
        <f t="array" ref="D1858">_xlfn.XLOOKUP(C1858,INDIRECT("tblEquipment[Equipment ID]"),INDIRECT("tblEquipment[Equipment Name]"),"")</f>
        <v/>
      </c>
      <c r="F1858" s="16" t="n"/>
      <c r="G1858" s="16" t="n"/>
      <c r="H1858" s="1">
        <f>IF(OR(F1858=0,G1858=0),"",(G1858-F1858)*24)</f>
        <v/>
      </c>
      <c r="I1858" s="10" t="n"/>
      <c r="J1858" s="1">
        <f>IF(OR(tblDowntime[[#This Row],[Failure Type]]="Sawshop",tblDowntime[[#This Row],[Failure Type]]="Electrical",tblDowntime[[#This Row],[Failure Type]]="Mechanical"),tblDowntime[[#This Row],[Downtime Hours]],"")</f>
        <v/>
      </c>
      <c r="K1858" s="10" t="n"/>
      <c r="L1858" s="10" t="n"/>
      <c r="M1858">
        <f>IF(tblDowntime[[#This Row],[Maintenance Downtime Hours]]="","",tblDowntime[[#This Row],[Equipment ID]])</f>
        <v/>
      </c>
      <c r="N1858" s="1">
        <f>IF(tblDowntime[[#This Row],[Failure Type]]="Production",tblDowntime[[#This Row],[Downtime Hours]],"")</f>
        <v/>
      </c>
      <c r="O1858">
        <f>IF(tblDowntime[[#This Row],[Production Downtime Hours]]="","",tblDowntime[[#This Row],[Equipment ID]])</f>
        <v/>
      </c>
      <c r="P1858" s="10" t="n"/>
    </row>
    <row r="1859">
      <c r="B1859">
        <f t="array" ref="B1859">_xlfn.XLOOKUP(C1859,INDIRECT("tblEquipment[Equipment ID]"),INDIRECT("tblEquipment[Production Department]"),"")</f>
        <v/>
      </c>
      <c r="D1859">
        <f t="array" ref="D1859">_xlfn.XLOOKUP(C1859,INDIRECT("tblEquipment[Equipment ID]"),INDIRECT("tblEquipment[Equipment Name]"),"")</f>
        <v/>
      </c>
      <c r="F1859" s="16" t="n"/>
      <c r="G1859" s="16" t="n"/>
      <c r="H1859" s="1">
        <f>IF(OR(F1859=0,G1859=0),"",(G1859-F1859)*24)</f>
        <v/>
      </c>
      <c r="I1859" s="10" t="n"/>
      <c r="J1859" s="1">
        <f>IF(OR(tblDowntime[[#This Row],[Failure Type]]="Sawshop",tblDowntime[[#This Row],[Failure Type]]="Electrical",tblDowntime[[#This Row],[Failure Type]]="Mechanical"),tblDowntime[[#This Row],[Downtime Hours]],"")</f>
        <v/>
      </c>
      <c r="K1859" s="10" t="n"/>
      <c r="L1859" s="10" t="n"/>
      <c r="M1859">
        <f>IF(tblDowntime[[#This Row],[Maintenance Downtime Hours]]="","",tblDowntime[[#This Row],[Equipment ID]])</f>
        <v/>
      </c>
      <c r="N1859" s="1">
        <f>IF(tblDowntime[[#This Row],[Failure Type]]="Production",tblDowntime[[#This Row],[Downtime Hours]],"")</f>
        <v/>
      </c>
      <c r="O1859">
        <f>IF(tblDowntime[[#This Row],[Production Downtime Hours]]="","",tblDowntime[[#This Row],[Equipment ID]])</f>
        <v/>
      </c>
      <c r="P1859" s="10" t="n"/>
    </row>
    <row r="1860">
      <c r="B1860">
        <f t="array" ref="B1860">_xlfn.XLOOKUP(C1860,INDIRECT("tblEquipment[Equipment ID]"),INDIRECT("tblEquipment[Production Department]"),"")</f>
        <v/>
      </c>
      <c r="D1860">
        <f t="array" ref="D1860">_xlfn.XLOOKUP(C1860,INDIRECT("tblEquipment[Equipment ID]"),INDIRECT("tblEquipment[Equipment Name]"),"")</f>
        <v/>
      </c>
      <c r="F1860" s="16" t="n"/>
      <c r="G1860" s="16" t="n"/>
      <c r="H1860" s="1">
        <f>IF(OR(F1860=0,G1860=0),"",(G1860-F1860)*24)</f>
        <v/>
      </c>
      <c r="I1860" s="10" t="n"/>
      <c r="J1860" s="1">
        <f>IF(OR(tblDowntime[[#This Row],[Failure Type]]="Sawshop",tblDowntime[[#This Row],[Failure Type]]="Electrical",tblDowntime[[#This Row],[Failure Type]]="Mechanical"),tblDowntime[[#This Row],[Downtime Hours]],"")</f>
        <v/>
      </c>
      <c r="K1860" s="10" t="n"/>
      <c r="L1860" s="10" t="n"/>
      <c r="M1860">
        <f>IF(tblDowntime[[#This Row],[Maintenance Downtime Hours]]="","",tblDowntime[[#This Row],[Equipment ID]])</f>
        <v/>
      </c>
      <c r="N1860" s="1">
        <f>IF(tblDowntime[[#This Row],[Failure Type]]="Production",tblDowntime[[#This Row],[Downtime Hours]],"")</f>
        <v/>
      </c>
      <c r="O1860">
        <f>IF(tblDowntime[[#This Row],[Production Downtime Hours]]="","",tblDowntime[[#This Row],[Equipment ID]])</f>
        <v/>
      </c>
      <c r="P1860" s="10" t="n"/>
    </row>
    <row r="1861">
      <c r="B1861">
        <f t="array" ref="B1861">_xlfn.XLOOKUP(C1861,INDIRECT("tblEquipment[Equipment ID]"),INDIRECT("tblEquipment[Production Department]"),"")</f>
        <v/>
      </c>
      <c r="D1861">
        <f t="array" ref="D1861">_xlfn.XLOOKUP(C1861,INDIRECT("tblEquipment[Equipment ID]"),INDIRECT("tblEquipment[Equipment Name]"),"")</f>
        <v/>
      </c>
      <c r="F1861" s="16" t="n"/>
      <c r="G1861" s="16" t="n"/>
      <c r="H1861" s="1">
        <f>IF(OR(F1861=0,G1861=0),"",(G1861-F1861)*24)</f>
        <v/>
      </c>
      <c r="I1861" s="10" t="n"/>
      <c r="J1861" s="1">
        <f>IF(OR(tblDowntime[[#This Row],[Failure Type]]="Sawshop",tblDowntime[[#This Row],[Failure Type]]="Electrical",tblDowntime[[#This Row],[Failure Type]]="Mechanical"),tblDowntime[[#This Row],[Downtime Hours]],"")</f>
        <v/>
      </c>
      <c r="K1861" s="10" t="n"/>
      <c r="L1861" s="10" t="n"/>
      <c r="M1861">
        <f>IF(tblDowntime[[#This Row],[Maintenance Downtime Hours]]="","",tblDowntime[[#This Row],[Equipment ID]])</f>
        <v/>
      </c>
      <c r="N1861" s="1">
        <f>IF(tblDowntime[[#This Row],[Failure Type]]="Production",tblDowntime[[#This Row],[Downtime Hours]],"")</f>
        <v/>
      </c>
      <c r="O1861">
        <f>IF(tblDowntime[[#This Row],[Production Downtime Hours]]="","",tblDowntime[[#This Row],[Equipment ID]])</f>
        <v/>
      </c>
      <c r="P1861" s="10" t="n"/>
    </row>
    <row r="1862">
      <c r="B1862">
        <f t="array" ref="B1862">_xlfn.XLOOKUP(C1862,INDIRECT("tblEquipment[Equipment ID]"),INDIRECT("tblEquipment[Production Department]"),"")</f>
        <v/>
      </c>
      <c r="D1862">
        <f t="array" ref="D1862">_xlfn.XLOOKUP(C1862,INDIRECT("tblEquipment[Equipment ID]"),INDIRECT("tblEquipment[Equipment Name]"),"")</f>
        <v/>
      </c>
      <c r="F1862" s="16" t="n"/>
      <c r="G1862" s="16" t="n"/>
      <c r="H1862" s="1">
        <f>IF(OR(F1862=0,G1862=0),"",(G1862-F1862)*24)</f>
        <v/>
      </c>
      <c r="I1862" s="10" t="n"/>
      <c r="J1862" s="1">
        <f>IF(OR(tblDowntime[[#This Row],[Failure Type]]="Sawshop",tblDowntime[[#This Row],[Failure Type]]="Electrical",tblDowntime[[#This Row],[Failure Type]]="Mechanical"),tblDowntime[[#This Row],[Downtime Hours]],"")</f>
        <v/>
      </c>
      <c r="K1862" s="10" t="n"/>
      <c r="L1862" s="10" t="n"/>
      <c r="M1862">
        <f>IF(tblDowntime[[#This Row],[Maintenance Downtime Hours]]="","",tblDowntime[[#This Row],[Equipment ID]])</f>
        <v/>
      </c>
      <c r="N1862" s="1">
        <f>IF(tblDowntime[[#This Row],[Failure Type]]="Production",tblDowntime[[#This Row],[Downtime Hours]],"")</f>
        <v/>
      </c>
      <c r="O1862">
        <f>IF(tblDowntime[[#This Row],[Production Downtime Hours]]="","",tblDowntime[[#This Row],[Equipment ID]])</f>
        <v/>
      </c>
      <c r="P1862" s="10" t="n"/>
    </row>
    <row r="1863">
      <c r="B1863">
        <f t="array" ref="B1863">_xlfn.XLOOKUP(C1863,INDIRECT("tblEquipment[Equipment ID]"),INDIRECT("tblEquipment[Production Department]"),"")</f>
        <v/>
      </c>
      <c r="D1863">
        <f t="array" ref="D1863">_xlfn.XLOOKUP(C1863,INDIRECT("tblEquipment[Equipment ID]"),INDIRECT("tblEquipment[Equipment Name]"),"")</f>
        <v/>
      </c>
      <c r="F1863" s="16" t="n"/>
      <c r="G1863" s="16" t="n"/>
      <c r="H1863" s="1">
        <f>IF(OR(F1863=0,G1863=0),"",(G1863-F1863)*24)</f>
        <v/>
      </c>
      <c r="I1863" s="10" t="n"/>
      <c r="J1863" s="1">
        <f>IF(OR(tblDowntime[[#This Row],[Failure Type]]="Sawshop",tblDowntime[[#This Row],[Failure Type]]="Electrical",tblDowntime[[#This Row],[Failure Type]]="Mechanical"),tblDowntime[[#This Row],[Downtime Hours]],"")</f>
        <v/>
      </c>
      <c r="K1863" s="10" t="n"/>
      <c r="L1863" s="10" t="n"/>
      <c r="M1863">
        <f>IF(tblDowntime[[#This Row],[Maintenance Downtime Hours]]="","",tblDowntime[[#This Row],[Equipment ID]])</f>
        <v/>
      </c>
      <c r="N1863" s="1">
        <f>IF(tblDowntime[[#This Row],[Failure Type]]="Production",tblDowntime[[#This Row],[Downtime Hours]],"")</f>
        <v/>
      </c>
      <c r="O1863">
        <f>IF(tblDowntime[[#This Row],[Production Downtime Hours]]="","",tblDowntime[[#This Row],[Equipment ID]])</f>
        <v/>
      </c>
      <c r="P1863" s="10" t="n"/>
    </row>
    <row r="1864">
      <c r="B1864">
        <f t="array" ref="B1864">_xlfn.XLOOKUP(C1864,INDIRECT("tblEquipment[Equipment ID]"),INDIRECT("tblEquipment[Production Department]"),"")</f>
        <v/>
      </c>
      <c r="D1864">
        <f t="array" ref="D1864">_xlfn.XLOOKUP(C1864,INDIRECT("tblEquipment[Equipment ID]"),INDIRECT("tblEquipment[Equipment Name]"),"")</f>
        <v/>
      </c>
      <c r="F1864" s="16" t="n"/>
      <c r="G1864" s="16" t="n"/>
      <c r="H1864" s="1">
        <f>IF(OR(F1864=0,G1864=0),"",(G1864-F1864)*24)</f>
        <v/>
      </c>
      <c r="I1864" s="10" t="n"/>
      <c r="J1864" s="1">
        <f>IF(OR(tblDowntime[[#This Row],[Failure Type]]="Sawshop",tblDowntime[[#This Row],[Failure Type]]="Electrical",tblDowntime[[#This Row],[Failure Type]]="Mechanical"),tblDowntime[[#This Row],[Downtime Hours]],"")</f>
        <v/>
      </c>
      <c r="K1864" s="10" t="n"/>
      <c r="L1864" s="10" t="n"/>
      <c r="M1864">
        <f>IF(tblDowntime[[#This Row],[Maintenance Downtime Hours]]="","",tblDowntime[[#This Row],[Equipment ID]])</f>
        <v/>
      </c>
      <c r="N1864" s="1">
        <f>IF(tblDowntime[[#This Row],[Failure Type]]="Production",tblDowntime[[#This Row],[Downtime Hours]],"")</f>
        <v/>
      </c>
      <c r="O1864">
        <f>IF(tblDowntime[[#This Row],[Production Downtime Hours]]="","",tblDowntime[[#This Row],[Equipment ID]])</f>
        <v/>
      </c>
      <c r="P1864" s="10" t="n"/>
    </row>
    <row r="1865">
      <c r="B1865">
        <f t="array" ref="B1865">_xlfn.XLOOKUP(C1865,INDIRECT("tblEquipment[Equipment ID]"),INDIRECT("tblEquipment[Production Department]"),"")</f>
        <v/>
      </c>
      <c r="D1865">
        <f t="array" ref="D1865">_xlfn.XLOOKUP(C1865,INDIRECT("tblEquipment[Equipment ID]"),INDIRECT("tblEquipment[Equipment Name]"),"")</f>
        <v/>
      </c>
      <c r="F1865" s="16" t="n"/>
      <c r="G1865" s="16" t="n"/>
      <c r="H1865" s="1">
        <f>IF(OR(F1865=0,G1865=0),"",(G1865-F1865)*24)</f>
        <v/>
      </c>
      <c r="I1865" s="10" t="n"/>
      <c r="J1865" s="1">
        <f>IF(OR(tblDowntime[[#This Row],[Failure Type]]="Sawshop",tblDowntime[[#This Row],[Failure Type]]="Electrical",tblDowntime[[#This Row],[Failure Type]]="Mechanical"),tblDowntime[[#This Row],[Downtime Hours]],"")</f>
        <v/>
      </c>
      <c r="K1865" s="10" t="n"/>
      <c r="L1865" s="10" t="n"/>
      <c r="M1865">
        <f>IF(tblDowntime[[#This Row],[Maintenance Downtime Hours]]="","",tblDowntime[[#This Row],[Equipment ID]])</f>
        <v/>
      </c>
      <c r="N1865" s="1">
        <f>IF(tblDowntime[[#This Row],[Failure Type]]="Production",tblDowntime[[#This Row],[Downtime Hours]],"")</f>
        <v/>
      </c>
      <c r="O1865">
        <f>IF(tblDowntime[[#This Row],[Production Downtime Hours]]="","",tblDowntime[[#This Row],[Equipment ID]])</f>
        <v/>
      </c>
      <c r="P1865" s="10" t="n"/>
    </row>
    <row r="1866">
      <c r="B1866">
        <f t="array" ref="B1866">_xlfn.XLOOKUP(C1866,INDIRECT("tblEquipment[Equipment ID]"),INDIRECT("tblEquipment[Production Department]"),"")</f>
        <v/>
      </c>
      <c r="D1866">
        <f t="array" ref="D1866">_xlfn.XLOOKUP(C1866,INDIRECT("tblEquipment[Equipment ID]"),INDIRECT("tblEquipment[Equipment Name]"),"")</f>
        <v/>
      </c>
      <c r="F1866" s="16" t="n"/>
      <c r="G1866" s="16" t="n"/>
      <c r="H1866" s="1">
        <f>IF(OR(F1866=0,G1866=0),"",(G1866-F1866)*24)</f>
        <v/>
      </c>
      <c r="I1866" s="10" t="n"/>
      <c r="J1866" s="1">
        <f>IF(OR(tblDowntime[[#This Row],[Failure Type]]="Sawshop",tblDowntime[[#This Row],[Failure Type]]="Electrical",tblDowntime[[#This Row],[Failure Type]]="Mechanical"),tblDowntime[[#This Row],[Downtime Hours]],"")</f>
        <v/>
      </c>
      <c r="K1866" s="10" t="n"/>
      <c r="L1866" s="10" t="n"/>
      <c r="M1866">
        <f>IF(tblDowntime[[#This Row],[Maintenance Downtime Hours]]="","",tblDowntime[[#This Row],[Equipment ID]])</f>
        <v/>
      </c>
      <c r="N1866" s="1">
        <f>IF(tblDowntime[[#This Row],[Failure Type]]="Production",tblDowntime[[#This Row],[Downtime Hours]],"")</f>
        <v/>
      </c>
      <c r="O1866">
        <f>IF(tblDowntime[[#This Row],[Production Downtime Hours]]="","",tblDowntime[[#This Row],[Equipment ID]])</f>
        <v/>
      </c>
      <c r="P1866" s="10" t="n"/>
    </row>
    <row r="1867">
      <c r="B1867">
        <f t="array" ref="B1867">_xlfn.XLOOKUP(C1867,INDIRECT("tblEquipment[Equipment ID]"),INDIRECT("tblEquipment[Production Department]"),"")</f>
        <v/>
      </c>
      <c r="D1867">
        <f t="array" ref="D1867">_xlfn.XLOOKUP(C1867,INDIRECT("tblEquipment[Equipment ID]"),INDIRECT("tblEquipment[Equipment Name]"),"")</f>
        <v/>
      </c>
      <c r="F1867" s="16" t="n"/>
      <c r="G1867" s="16" t="n"/>
      <c r="H1867" s="1">
        <f>IF(OR(F1867=0,G1867=0),"",(G1867-F1867)*24)</f>
        <v/>
      </c>
      <c r="I1867" s="10" t="n"/>
      <c r="J1867" s="1">
        <f>IF(OR(tblDowntime[[#This Row],[Failure Type]]="Sawshop",tblDowntime[[#This Row],[Failure Type]]="Electrical",tblDowntime[[#This Row],[Failure Type]]="Mechanical"),tblDowntime[[#This Row],[Downtime Hours]],"")</f>
        <v/>
      </c>
      <c r="K1867" s="10" t="n"/>
      <c r="L1867" s="10" t="n"/>
      <c r="M1867">
        <f>IF(tblDowntime[[#This Row],[Maintenance Downtime Hours]]="","",tblDowntime[[#This Row],[Equipment ID]])</f>
        <v/>
      </c>
      <c r="N1867" s="1">
        <f>IF(tblDowntime[[#This Row],[Failure Type]]="Production",tblDowntime[[#This Row],[Downtime Hours]],"")</f>
        <v/>
      </c>
      <c r="O1867">
        <f>IF(tblDowntime[[#This Row],[Production Downtime Hours]]="","",tblDowntime[[#This Row],[Equipment ID]])</f>
        <v/>
      </c>
      <c r="P1867" s="10" t="n"/>
    </row>
    <row r="1868">
      <c r="B1868">
        <f t="array" ref="B1868">_xlfn.XLOOKUP(C1868,INDIRECT("tblEquipment[Equipment ID]"),INDIRECT("tblEquipment[Production Department]"),"")</f>
        <v/>
      </c>
      <c r="D1868">
        <f t="array" ref="D1868">_xlfn.XLOOKUP(C1868,INDIRECT("tblEquipment[Equipment ID]"),INDIRECT("tblEquipment[Equipment Name]"),"")</f>
        <v/>
      </c>
      <c r="F1868" s="16" t="n"/>
      <c r="G1868" s="16" t="n"/>
      <c r="H1868" s="1">
        <f>IF(OR(F1868=0,G1868=0),"",(G1868-F1868)*24)</f>
        <v/>
      </c>
      <c r="I1868" s="10" t="n"/>
      <c r="J1868" s="1">
        <f>IF(OR(tblDowntime[[#This Row],[Failure Type]]="Sawshop",tblDowntime[[#This Row],[Failure Type]]="Electrical",tblDowntime[[#This Row],[Failure Type]]="Mechanical"),tblDowntime[[#This Row],[Downtime Hours]],"")</f>
        <v/>
      </c>
      <c r="K1868" s="10" t="n"/>
      <c r="L1868" s="10" t="n"/>
      <c r="M1868">
        <f>IF(tblDowntime[[#This Row],[Maintenance Downtime Hours]]="","",tblDowntime[[#This Row],[Equipment ID]])</f>
        <v/>
      </c>
      <c r="N1868" s="1">
        <f>IF(tblDowntime[[#This Row],[Failure Type]]="Production",tblDowntime[[#This Row],[Downtime Hours]],"")</f>
        <v/>
      </c>
      <c r="O1868">
        <f>IF(tblDowntime[[#This Row],[Production Downtime Hours]]="","",tblDowntime[[#This Row],[Equipment ID]])</f>
        <v/>
      </c>
      <c r="P1868" s="10" t="n"/>
    </row>
    <row r="1869">
      <c r="B1869">
        <f t="array" ref="B1869">_xlfn.XLOOKUP(C1869,INDIRECT("tblEquipment[Equipment ID]"),INDIRECT("tblEquipment[Production Department]"),"")</f>
        <v/>
      </c>
      <c r="D1869">
        <f t="array" ref="D1869">_xlfn.XLOOKUP(C1869,INDIRECT("tblEquipment[Equipment ID]"),INDIRECT("tblEquipment[Equipment Name]"),"")</f>
        <v/>
      </c>
      <c r="F1869" s="16" t="n"/>
      <c r="G1869" s="16" t="n"/>
      <c r="H1869" s="1">
        <f>IF(OR(F1869=0,G1869=0),"",(G1869-F1869)*24)</f>
        <v/>
      </c>
      <c r="I1869" s="10" t="n"/>
      <c r="J1869" s="1">
        <f>IF(OR(tblDowntime[[#This Row],[Failure Type]]="Sawshop",tblDowntime[[#This Row],[Failure Type]]="Electrical",tblDowntime[[#This Row],[Failure Type]]="Mechanical"),tblDowntime[[#This Row],[Downtime Hours]],"")</f>
        <v/>
      </c>
      <c r="K1869" s="10" t="n"/>
      <c r="L1869" s="10" t="n"/>
      <c r="M1869">
        <f>IF(tblDowntime[[#This Row],[Maintenance Downtime Hours]]="","",tblDowntime[[#This Row],[Equipment ID]])</f>
        <v/>
      </c>
      <c r="N1869" s="1">
        <f>IF(tblDowntime[[#This Row],[Failure Type]]="Production",tblDowntime[[#This Row],[Downtime Hours]],"")</f>
        <v/>
      </c>
      <c r="O1869">
        <f>IF(tblDowntime[[#This Row],[Production Downtime Hours]]="","",tblDowntime[[#This Row],[Equipment ID]])</f>
        <v/>
      </c>
      <c r="P1869" s="10" t="n"/>
    </row>
    <row r="1870">
      <c r="B1870">
        <f t="array" ref="B1870">_xlfn.XLOOKUP(C1870,INDIRECT("tblEquipment[Equipment ID]"),INDIRECT("tblEquipment[Production Department]"),"")</f>
        <v/>
      </c>
      <c r="D1870">
        <f t="array" ref="D1870">_xlfn.XLOOKUP(C1870,INDIRECT("tblEquipment[Equipment ID]"),INDIRECT("tblEquipment[Equipment Name]"),"")</f>
        <v/>
      </c>
      <c r="F1870" s="16" t="n"/>
      <c r="G1870" s="16" t="n"/>
      <c r="H1870" s="1">
        <f>IF(OR(F1870=0,G1870=0),"",(G1870-F1870)*24)</f>
        <v/>
      </c>
      <c r="I1870" s="10" t="n"/>
      <c r="J1870" s="1">
        <f>IF(OR(tblDowntime[[#This Row],[Failure Type]]="Sawshop",tblDowntime[[#This Row],[Failure Type]]="Electrical",tblDowntime[[#This Row],[Failure Type]]="Mechanical"),tblDowntime[[#This Row],[Downtime Hours]],"")</f>
        <v/>
      </c>
      <c r="K1870" s="10" t="n"/>
      <c r="L1870" s="10" t="n"/>
      <c r="M1870">
        <f>IF(tblDowntime[[#This Row],[Maintenance Downtime Hours]]="","",tblDowntime[[#This Row],[Equipment ID]])</f>
        <v/>
      </c>
      <c r="N1870" s="1">
        <f>IF(tblDowntime[[#This Row],[Failure Type]]="Production",tblDowntime[[#This Row],[Downtime Hours]],"")</f>
        <v/>
      </c>
      <c r="O1870">
        <f>IF(tblDowntime[[#This Row],[Production Downtime Hours]]="","",tblDowntime[[#This Row],[Equipment ID]])</f>
        <v/>
      </c>
      <c r="P1870" s="10" t="n"/>
    </row>
    <row r="1871">
      <c r="B1871">
        <f t="array" ref="B1871">_xlfn.XLOOKUP(C1871,INDIRECT("tblEquipment[Equipment ID]"),INDIRECT("tblEquipment[Production Department]"),"")</f>
        <v/>
      </c>
      <c r="D1871">
        <f t="array" ref="D1871">_xlfn.XLOOKUP(C1871,INDIRECT("tblEquipment[Equipment ID]"),INDIRECT("tblEquipment[Equipment Name]"),"")</f>
        <v/>
      </c>
      <c r="F1871" s="16" t="n"/>
      <c r="G1871" s="16" t="n"/>
      <c r="H1871" s="1">
        <f>IF(OR(F1871=0,G1871=0),"",(G1871-F1871)*24)</f>
        <v/>
      </c>
      <c r="I1871" s="10" t="n"/>
      <c r="J1871" s="1">
        <f>IF(OR(tblDowntime[[#This Row],[Failure Type]]="Sawshop",tblDowntime[[#This Row],[Failure Type]]="Electrical",tblDowntime[[#This Row],[Failure Type]]="Mechanical"),tblDowntime[[#This Row],[Downtime Hours]],"")</f>
        <v/>
      </c>
      <c r="K1871" s="10" t="n"/>
      <c r="L1871" s="10" t="n"/>
      <c r="M1871">
        <f>IF(tblDowntime[[#This Row],[Maintenance Downtime Hours]]="","",tblDowntime[[#This Row],[Equipment ID]])</f>
        <v/>
      </c>
      <c r="N1871" s="1">
        <f>IF(tblDowntime[[#This Row],[Failure Type]]="Production",tblDowntime[[#This Row],[Downtime Hours]],"")</f>
        <v/>
      </c>
      <c r="O1871">
        <f>IF(tblDowntime[[#This Row],[Production Downtime Hours]]="","",tblDowntime[[#This Row],[Equipment ID]])</f>
        <v/>
      </c>
      <c r="P1871" s="10" t="n"/>
    </row>
    <row r="1872">
      <c r="B1872">
        <f t="array" ref="B1872">_xlfn.XLOOKUP(C1872,INDIRECT("tblEquipment[Equipment ID]"),INDIRECT("tblEquipment[Production Department]"),"")</f>
        <v/>
      </c>
      <c r="D1872">
        <f t="array" ref="D1872">_xlfn.XLOOKUP(C1872,INDIRECT("tblEquipment[Equipment ID]"),INDIRECT("tblEquipment[Equipment Name]"),"")</f>
        <v/>
      </c>
      <c r="F1872" s="16" t="n"/>
      <c r="G1872" s="16" t="n"/>
      <c r="H1872" s="1">
        <f>IF(OR(F1872=0,G1872=0),"",(G1872-F1872)*24)</f>
        <v/>
      </c>
      <c r="I1872" s="10" t="n"/>
      <c r="J1872" s="1">
        <f>IF(OR(tblDowntime[[#This Row],[Failure Type]]="Sawshop",tblDowntime[[#This Row],[Failure Type]]="Electrical",tblDowntime[[#This Row],[Failure Type]]="Mechanical"),tblDowntime[[#This Row],[Downtime Hours]],"")</f>
        <v/>
      </c>
      <c r="K1872" s="10" t="n"/>
      <c r="L1872" s="10" t="n"/>
      <c r="M1872">
        <f>IF(tblDowntime[[#This Row],[Maintenance Downtime Hours]]="","",tblDowntime[[#This Row],[Equipment ID]])</f>
        <v/>
      </c>
      <c r="N1872" s="1">
        <f>IF(tblDowntime[[#This Row],[Failure Type]]="Production",tblDowntime[[#This Row],[Downtime Hours]],"")</f>
        <v/>
      </c>
      <c r="O1872">
        <f>IF(tblDowntime[[#This Row],[Production Downtime Hours]]="","",tblDowntime[[#This Row],[Equipment ID]])</f>
        <v/>
      </c>
      <c r="P1872" s="10" t="n"/>
    </row>
    <row r="1873">
      <c r="B1873">
        <f t="array" ref="B1873">_xlfn.XLOOKUP(C1873,INDIRECT("tblEquipment[Equipment ID]"),INDIRECT("tblEquipment[Production Department]"),"")</f>
        <v/>
      </c>
      <c r="D1873">
        <f t="array" ref="D1873">_xlfn.XLOOKUP(C1873,INDIRECT("tblEquipment[Equipment ID]"),INDIRECT("tblEquipment[Equipment Name]"),"")</f>
        <v/>
      </c>
      <c r="F1873" s="16" t="n"/>
      <c r="G1873" s="16" t="n"/>
      <c r="H1873" s="1">
        <f>IF(OR(F1873=0,G1873=0),"",(G1873-F1873)*24)</f>
        <v/>
      </c>
      <c r="I1873" s="10" t="n"/>
      <c r="J1873" s="1">
        <f>IF(OR(tblDowntime[[#This Row],[Failure Type]]="Sawshop",tblDowntime[[#This Row],[Failure Type]]="Electrical",tblDowntime[[#This Row],[Failure Type]]="Mechanical"),tblDowntime[[#This Row],[Downtime Hours]],"")</f>
        <v/>
      </c>
      <c r="K1873" s="10" t="n"/>
      <c r="L1873" s="10" t="n"/>
      <c r="M1873">
        <f>IF(tblDowntime[[#This Row],[Maintenance Downtime Hours]]="","",tblDowntime[[#This Row],[Equipment ID]])</f>
        <v/>
      </c>
      <c r="N1873" s="1">
        <f>IF(tblDowntime[[#This Row],[Failure Type]]="Production",tblDowntime[[#This Row],[Downtime Hours]],"")</f>
        <v/>
      </c>
      <c r="O1873">
        <f>IF(tblDowntime[[#This Row],[Production Downtime Hours]]="","",tblDowntime[[#This Row],[Equipment ID]])</f>
        <v/>
      </c>
      <c r="P1873" s="10" t="n"/>
    </row>
    <row r="1874">
      <c r="B1874">
        <f t="array" ref="B1874">_xlfn.XLOOKUP(C1874,INDIRECT("tblEquipment[Equipment ID]"),INDIRECT("tblEquipment[Production Department]"),"")</f>
        <v/>
      </c>
      <c r="D1874">
        <f t="array" ref="D1874">_xlfn.XLOOKUP(C1874,INDIRECT("tblEquipment[Equipment ID]"),INDIRECT("tblEquipment[Equipment Name]"),"")</f>
        <v/>
      </c>
      <c r="F1874" s="16" t="n"/>
      <c r="G1874" s="16" t="n"/>
      <c r="H1874" s="1">
        <f>IF(OR(F1874=0,G1874=0),"",(G1874-F1874)*24)</f>
        <v/>
      </c>
      <c r="I1874" s="10" t="n"/>
      <c r="J1874" s="1">
        <f>IF(OR(tblDowntime[[#This Row],[Failure Type]]="Sawshop",tblDowntime[[#This Row],[Failure Type]]="Electrical",tblDowntime[[#This Row],[Failure Type]]="Mechanical"),tblDowntime[[#This Row],[Downtime Hours]],"")</f>
        <v/>
      </c>
      <c r="K1874" s="10" t="n"/>
      <c r="L1874" s="10" t="n"/>
      <c r="M1874">
        <f>IF(tblDowntime[[#This Row],[Maintenance Downtime Hours]]="","",tblDowntime[[#This Row],[Equipment ID]])</f>
        <v/>
      </c>
      <c r="N1874" s="1">
        <f>IF(tblDowntime[[#This Row],[Failure Type]]="Production",tblDowntime[[#This Row],[Downtime Hours]],"")</f>
        <v/>
      </c>
      <c r="O1874">
        <f>IF(tblDowntime[[#This Row],[Production Downtime Hours]]="","",tblDowntime[[#This Row],[Equipment ID]])</f>
        <v/>
      </c>
      <c r="P1874" s="10" t="n"/>
    </row>
    <row r="1875">
      <c r="B1875">
        <f t="array" ref="B1875">_xlfn.XLOOKUP(C1875,INDIRECT("tblEquipment[Equipment ID]"),INDIRECT("tblEquipment[Production Department]"),"")</f>
        <v/>
      </c>
      <c r="D1875">
        <f t="array" ref="D1875">_xlfn.XLOOKUP(C1875,INDIRECT("tblEquipment[Equipment ID]"),INDIRECT("tblEquipment[Equipment Name]"),"")</f>
        <v/>
      </c>
      <c r="F1875" s="16" t="n"/>
      <c r="G1875" s="16" t="n"/>
      <c r="H1875" s="1">
        <f>IF(OR(F1875=0,G1875=0),"",(G1875-F1875)*24)</f>
        <v/>
      </c>
      <c r="I1875" s="10" t="n"/>
      <c r="J1875" s="1">
        <f>IF(OR(tblDowntime[[#This Row],[Failure Type]]="Sawshop",tblDowntime[[#This Row],[Failure Type]]="Electrical",tblDowntime[[#This Row],[Failure Type]]="Mechanical"),tblDowntime[[#This Row],[Downtime Hours]],"")</f>
        <v/>
      </c>
      <c r="K1875" s="10" t="n"/>
      <c r="L1875" s="10" t="n"/>
      <c r="M1875">
        <f>IF(tblDowntime[[#This Row],[Maintenance Downtime Hours]]="","",tblDowntime[[#This Row],[Equipment ID]])</f>
        <v/>
      </c>
      <c r="N1875" s="1">
        <f>IF(tblDowntime[[#This Row],[Failure Type]]="Production",tblDowntime[[#This Row],[Downtime Hours]],"")</f>
        <v/>
      </c>
      <c r="O1875">
        <f>IF(tblDowntime[[#This Row],[Production Downtime Hours]]="","",tblDowntime[[#This Row],[Equipment ID]])</f>
        <v/>
      </c>
      <c r="P1875" s="10" t="n"/>
    </row>
    <row r="1876">
      <c r="B1876">
        <f t="array" ref="B1876">_xlfn.XLOOKUP(C1876,INDIRECT("tblEquipment[Equipment ID]"),INDIRECT("tblEquipment[Production Department]"),"")</f>
        <v/>
      </c>
      <c r="D1876">
        <f t="array" ref="D1876">_xlfn.XLOOKUP(C1876,INDIRECT("tblEquipment[Equipment ID]"),INDIRECT("tblEquipment[Equipment Name]"),"")</f>
        <v/>
      </c>
      <c r="F1876" s="16" t="n"/>
      <c r="G1876" s="16" t="n"/>
      <c r="H1876" s="1">
        <f>IF(OR(F1876=0,G1876=0),"",(G1876-F1876)*24)</f>
        <v/>
      </c>
      <c r="I1876" s="10" t="n"/>
      <c r="J1876" s="1">
        <f>IF(OR(tblDowntime[[#This Row],[Failure Type]]="Sawshop",tblDowntime[[#This Row],[Failure Type]]="Electrical",tblDowntime[[#This Row],[Failure Type]]="Mechanical"),tblDowntime[[#This Row],[Downtime Hours]],"")</f>
        <v/>
      </c>
      <c r="K1876" s="10" t="n"/>
      <c r="L1876" s="10" t="n"/>
      <c r="M1876">
        <f>IF(tblDowntime[[#This Row],[Maintenance Downtime Hours]]="","",tblDowntime[[#This Row],[Equipment ID]])</f>
        <v/>
      </c>
      <c r="N1876" s="1">
        <f>IF(tblDowntime[[#This Row],[Failure Type]]="Production",tblDowntime[[#This Row],[Downtime Hours]],"")</f>
        <v/>
      </c>
      <c r="O1876">
        <f>IF(tblDowntime[[#This Row],[Production Downtime Hours]]="","",tblDowntime[[#This Row],[Equipment ID]])</f>
        <v/>
      </c>
      <c r="P1876" s="10" t="n"/>
    </row>
    <row r="1877">
      <c r="B1877">
        <f t="array" ref="B1877">_xlfn.XLOOKUP(C1877,INDIRECT("tblEquipment[Equipment ID]"),INDIRECT("tblEquipment[Production Department]"),"")</f>
        <v/>
      </c>
      <c r="D1877">
        <f t="array" ref="D1877">_xlfn.XLOOKUP(C1877,INDIRECT("tblEquipment[Equipment ID]"),INDIRECT("tblEquipment[Equipment Name]"),"")</f>
        <v/>
      </c>
      <c r="F1877" s="16" t="n"/>
      <c r="G1877" s="16" t="n"/>
      <c r="H1877" s="1">
        <f>IF(OR(F1877=0,G1877=0),"",(G1877-F1877)*24)</f>
        <v/>
      </c>
      <c r="I1877" s="10" t="n"/>
      <c r="J1877" s="1">
        <f>IF(OR(tblDowntime[[#This Row],[Failure Type]]="Sawshop",tblDowntime[[#This Row],[Failure Type]]="Electrical",tblDowntime[[#This Row],[Failure Type]]="Mechanical"),tblDowntime[[#This Row],[Downtime Hours]],"")</f>
        <v/>
      </c>
      <c r="K1877" s="10" t="n"/>
      <c r="L1877" s="10" t="n"/>
      <c r="M1877">
        <f>IF(tblDowntime[[#This Row],[Maintenance Downtime Hours]]="","",tblDowntime[[#This Row],[Equipment ID]])</f>
        <v/>
      </c>
      <c r="N1877" s="1">
        <f>IF(tblDowntime[[#This Row],[Failure Type]]="Production",tblDowntime[[#This Row],[Downtime Hours]],"")</f>
        <v/>
      </c>
      <c r="O1877">
        <f>IF(tblDowntime[[#This Row],[Production Downtime Hours]]="","",tblDowntime[[#This Row],[Equipment ID]])</f>
        <v/>
      </c>
      <c r="P1877" s="10" t="n"/>
    </row>
    <row r="1878">
      <c r="B1878">
        <f t="array" ref="B1878">_xlfn.XLOOKUP(C1878,INDIRECT("tblEquipment[Equipment ID]"),INDIRECT("tblEquipment[Production Department]"),"")</f>
        <v/>
      </c>
      <c r="D1878">
        <f t="array" ref="D1878">_xlfn.XLOOKUP(C1878,INDIRECT("tblEquipment[Equipment ID]"),INDIRECT("tblEquipment[Equipment Name]"),"")</f>
        <v/>
      </c>
      <c r="F1878" s="16" t="n"/>
      <c r="G1878" s="16" t="n"/>
      <c r="H1878" s="1">
        <f>IF(OR(F1878=0,G1878=0),"",(G1878-F1878)*24)</f>
        <v/>
      </c>
      <c r="I1878" s="10" t="n"/>
      <c r="J1878" s="1">
        <f>IF(OR(tblDowntime[[#This Row],[Failure Type]]="Sawshop",tblDowntime[[#This Row],[Failure Type]]="Electrical",tblDowntime[[#This Row],[Failure Type]]="Mechanical"),tblDowntime[[#This Row],[Downtime Hours]],"")</f>
        <v/>
      </c>
      <c r="K1878" s="10" t="n"/>
      <c r="L1878" s="10" t="n"/>
      <c r="M1878">
        <f>IF(tblDowntime[[#This Row],[Maintenance Downtime Hours]]="","",tblDowntime[[#This Row],[Equipment ID]])</f>
        <v/>
      </c>
      <c r="N1878" s="1">
        <f>IF(tblDowntime[[#This Row],[Failure Type]]="Production",tblDowntime[[#This Row],[Downtime Hours]],"")</f>
        <v/>
      </c>
      <c r="O1878">
        <f>IF(tblDowntime[[#This Row],[Production Downtime Hours]]="","",tblDowntime[[#This Row],[Equipment ID]])</f>
        <v/>
      </c>
      <c r="P1878" s="10" t="n"/>
    </row>
    <row r="1879">
      <c r="B1879">
        <f t="array" ref="B1879">_xlfn.XLOOKUP(C1879,INDIRECT("tblEquipment[Equipment ID]"),INDIRECT("tblEquipment[Production Department]"),"")</f>
        <v/>
      </c>
      <c r="D1879">
        <f t="array" ref="D1879">_xlfn.XLOOKUP(C1879,INDIRECT("tblEquipment[Equipment ID]"),INDIRECT("tblEquipment[Equipment Name]"),"")</f>
        <v/>
      </c>
      <c r="F1879" s="16" t="n"/>
      <c r="G1879" s="16" t="n"/>
      <c r="H1879" s="1">
        <f>IF(OR(F1879=0,G1879=0),"",(G1879-F1879)*24)</f>
        <v/>
      </c>
      <c r="I1879" s="10" t="n"/>
      <c r="J1879" s="1">
        <f>IF(OR(tblDowntime[[#This Row],[Failure Type]]="Sawshop",tblDowntime[[#This Row],[Failure Type]]="Electrical",tblDowntime[[#This Row],[Failure Type]]="Mechanical"),tblDowntime[[#This Row],[Downtime Hours]],"")</f>
        <v/>
      </c>
      <c r="K1879" s="10" t="n"/>
      <c r="L1879" s="10" t="n"/>
      <c r="M1879">
        <f>IF(tblDowntime[[#This Row],[Maintenance Downtime Hours]]="","",tblDowntime[[#This Row],[Equipment ID]])</f>
        <v/>
      </c>
      <c r="N1879" s="1">
        <f>IF(tblDowntime[[#This Row],[Failure Type]]="Production",tblDowntime[[#This Row],[Downtime Hours]],"")</f>
        <v/>
      </c>
      <c r="O1879">
        <f>IF(tblDowntime[[#This Row],[Production Downtime Hours]]="","",tblDowntime[[#This Row],[Equipment ID]])</f>
        <v/>
      </c>
      <c r="P1879" s="10" t="n"/>
    </row>
    <row r="1880">
      <c r="B1880">
        <f t="array" ref="B1880">_xlfn.XLOOKUP(C1880,INDIRECT("tblEquipment[Equipment ID]"),INDIRECT("tblEquipment[Production Department]"),"")</f>
        <v/>
      </c>
      <c r="D1880">
        <f t="array" ref="D1880">_xlfn.XLOOKUP(C1880,INDIRECT("tblEquipment[Equipment ID]"),INDIRECT("tblEquipment[Equipment Name]"),"")</f>
        <v/>
      </c>
      <c r="F1880" s="16" t="n"/>
      <c r="G1880" s="16" t="n"/>
      <c r="H1880" s="1">
        <f>IF(OR(F1880=0,G1880=0),"",(G1880-F1880)*24)</f>
        <v/>
      </c>
      <c r="I1880" s="10" t="n"/>
      <c r="J1880" s="1">
        <f>IF(OR(tblDowntime[[#This Row],[Failure Type]]="Sawshop",tblDowntime[[#This Row],[Failure Type]]="Electrical",tblDowntime[[#This Row],[Failure Type]]="Mechanical"),tblDowntime[[#This Row],[Downtime Hours]],"")</f>
        <v/>
      </c>
      <c r="K1880" s="10" t="n"/>
      <c r="L1880" s="10" t="n"/>
      <c r="M1880">
        <f>IF(tblDowntime[[#This Row],[Maintenance Downtime Hours]]="","",tblDowntime[[#This Row],[Equipment ID]])</f>
        <v/>
      </c>
      <c r="N1880" s="1">
        <f>IF(tblDowntime[[#This Row],[Failure Type]]="Production",tblDowntime[[#This Row],[Downtime Hours]],"")</f>
        <v/>
      </c>
      <c r="O1880">
        <f>IF(tblDowntime[[#This Row],[Production Downtime Hours]]="","",tblDowntime[[#This Row],[Equipment ID]])</f>
        <v/>
      </c>
      <c r="P1880" s="10" t="n"/>
    </row>
    <row r="1881">
      <c r="B1881">
        <f t="array" ref="B1881">_xlfn.XLOOKUP(C1881,INDIRECT("tblEquipment[Equipment ID]"),INDIRECT("tblEquipment[Production Department]"),"")</f>
        <v/>
      </c>
      <c r="D1881">
        <f t="array" ref="D1881">_xlfn.XLOOKUP(C1881,INDIRECT("tblEquipment[Equipment ID]"),INDIRECT("tblEquipment[Equipment Name]"),"")</f>
        <v/>
      </c>
      <c r="F1881" s="16" t="n"/>
      <c r="G1881" s="16" t="n"/>
      <c r="H1881" s="1">
        <f>IF(OR(F1881=0,G1881=0),"",(G1881-F1881)*24)</f>
        <v/>
      </c>
      <c r="I1881" s="10" t="n"/>
      <c r="J1881" s="1">
        <f>IF(OR(tblDowntime[[#This Row],[Failure Type]]="Sawshop",tblDowntime[[#This Row],[Failure Type]]="Electrical",tblDowntime[[#This Row],[Failure Type]]="Mechanical"),tblDowntime[[#This Row],[Downtime Hours]],"")</f>
        <v/>
      </c>
      <c r="K1881" s="10" t="n"/>
      <c r="L1881" s="10" t="n"/>
      <c r="M1881">
        <f>IF(tblDowntime[[#This Row],[Maintenance Downtime Hours]]="","",tblDowntime[[#This Row],[Equipment ID]])</f>
        <v/>
      </c>
      <c r="N1881" s="1">
        <f>IF(tblDowntime[[#This Row],[Failure Type]]="Production",tblDowntime[[#This Row],[Downtime Hours]],"")</f>
        <v/>
      </c>
      <c r="O1881">
        <f>IF(tblDowntime[[#This Row],[Production Downtime Hours]]="","",tblDowntime[[#This Row],[Equipment ID]])</f>
        <v/>
      </c>
      <c r="P1881" s="10" t="n"/>
    </row>
    <row r="1882">
      <c r="B1882">
        <f t="array" ref="B1882">_xlfn.XLOOKUP(C1882,INDIRECT("tblEquipment[Equipment ID]"),INDIRECT("tblEquipment[Production Department]"),"")</f>
        <v/>
      </c>
      <c r="D1882">
        <f t="array" ref="D1882">_xlfn.XLOOKUP(C1882,INDIRECT("tblEquipment[Equipment ID]"),INDIRECT("tblEquipment[Equipment Name]"),"")</f>
        <v/>
      </c>
      <c r="F1882" s="16" t="n"/>
      <c r="G1882" s="16" t="n"/>
      <c r="H1882" s="1">
        <f>IF(OR(F1882=0,G1882=0),"",(G1882-F1882)*24)</f>
        <v/>
      </c>
      <c r="I1882" s="10" t="n"/>
      <c r="J1882" s="1">
        <f>IF(OR(tblDowntime[[#This Row],[Failure Type]]="Sawshop",tblDowntime[[#This Row],[Failure Type]]="Electrical",tblDowntime[[#This Row],[Failure Type]]="Mechanical"),tblDowntime[[#This Row],[Downtime Hours]],"")</f>
        <v/>
      </c>
      <c r="K1882" s="10" t="n"/>
      <c r="L1882" s="10" t="n"/>
      <c r="M1882">
        <f>IF(tblDowntime[[#This Row],[Maintenance Downtime Hours]]="","",tblDowntime[[#This Row],[Equipment ID]])</f>
        <v/>
      </c>
      <c r="N1882" s="1">
        <f>IF(tblDowntime[[#This Row],[Failure Type]]="Production",tblDowntime[[#This Row],[Downtime Hours]],"")</f>
        <v/>
      </c>
      <c r="O1882">
        <f>IF(tblDowntime[[#This Row],[Production Downtime Hours]]="","",tblDowntime[[#This Row],[Equipment ID]])</f>
        <v/>
      </c>
      <c r="P1882" s="10" t="n"/>
    </row>
    <row r="1883">
      <c r="B1883">
        <f t="array" ref="B1883">_xlfn.XLOOKUP(C1883,INDIRECT("tblEquipment[Equipment ID]"),INDIRECT("tblEquipment[Production Department]"),"")</f>
        <v/>
      </c>
      <c r="D1883">
        <f t="array" ref="D1883">_xlfn.XLOOKUP(C1883,INDIRECT("tblEquipment[Equipment ID]"),INDIRECT("tblEquipment[Equipment Name]"),"")</f>
        <v/>
      </c>
      <c r="F1883" s="16" t="n"/>
      <c r="G1883" s="16" t="n"/>
      <c r="H1883" s="1">
        <f>IF(OR(F1883=0,G1883=0),"",(G1883-F1883)*24)</f>
        <v/>
      </c>
      <c r="I1883" s="10" t="n"/>
      <c r="J1883" s="1">
        <f>IF(OR(tblDowntime[[#This Row],[Failure Type]]="Sawshop",tblDowntime[[#This Row],[Failure Type]]="Electrical",tblDowntime[[#This Row],[Failure Type]]="Mechanical"),tblDowntime[[#This Row],[Downtime Hours]],"")</f>
        <v/>
      </c>
      <c r="K1883" s="10" t="n"/>
      <c r="L1883" s="10" t="n"/>
      <c r="M1883">
        <f>IF(tblDowntime[[#This Row],[Maintenance Downtime Hours]]="","",tblDowntime[[#This Row],[Equipment ID]])</f>
        <v/>
      </c>
      <c r="N1883" s="1">
        <f>IF(tblDowntime[[#This Row],[Failure Type]]="Production",tblDowntime[[#This Row],[Downtime Hours]],"")</f>
        <v/>
      </c>
      <c r="O1883">
        <f>IF(tblDowntime[[#This Row],[Production Downtime Hours]]="","",tblDowntime[[#This Row],[Equipment ID]])</f>
        <v/>
      </c>
      <c r="P1883" s="10" t="n"/>
    </row>
    <row r="1884">
      <c r="B1884">
        <f t="array" ref="B1884">_xlfn.XLOOKUP(C1884,INDIRECT("tblEquipment[Equipment ID]"),INDIRECT("tblEquipment[Production Department]"),"")</f>
        <v/>
      </c>
      <c r="D1884">
        <f t="array" ref="D1884">_xlfn.XLOOKUP(C1884,INDIRECT("tblEquipment[Equipment ID]"),INDIRECT("tblEquipment[Equipment Name]"),"")</f>
        <v/>
      </c>
      <c r="F1884" s="16" t="n"/>
      <c r="G1884" s="16" t="n"/>
      <c r="H1884" s="1">
        <f>IF(OR(F1884=0,G1884=0),"",(G1884-F1884)*24)</f>
        <v/>
      </c>
      <c r="I1884" s="10" t="n"/>
      <c r="J1884" s="1">
        <f>IF(OR(tblDowntime[[#This Row],[Failure Type]]="Sawshop",tblDowntime[[#This Row],[Failure Type]]="Electrical",tblDowntime[[#This Row],[Failure Type]]="Mechanical"),tblDowntime[[#This Row],[Downtime Hours]],"")</f>
        <v/>
      </c>
      <c r="K1884" s="10" t="n"/>
      <c r="L1884" s="10" t="n"/>
      <c r="M1884">
        <f>IF(tblDowntime[[#This Row],[Maintenance Downtime Hours]]="","",tblDowntime[[#This Row],[Equipment ID]])</f>
        <v/>
      </c>
      <c r="N1884" s="1">
        <f>IF(tblDowntime[[#This Row],[Failure Type]]="Production",tblDowntime[[#This Row],[Downtime Hours]],"")</f>
        <v/>
      </c>
      <c r="O1884">
        <f>IF(tblDowntime[[#This Row],[Production Downtime Hours]]="","",tblDowntime[[#This Row],[Equipment ID]])</f>
        <v/>
      </c>
      <c r="P1884" s="10" t="n"/>
    </row>
    <row r="1885">
      <c r="B1885">
        <f t="array" ref="B1885">_xlfn.XLOOKUP(C1885,INDIRECT("tblEquipment[Equipment ID]"),INDIRECT("tblEquipment[Production Department]"),"")</f>
        <v/>
      </c>
      <c r="D1885">
        <f t="array" ref="D1885">_xlfn.XLOOKUP(C1885,INDIRECT("tblEquipment[Equipment ID]"),INDIRECT("tblEquipment[Equipment Name]"),"")</f>
        <v/>
      </c>
      <c r="F1885" s="16" t="n"/>
      <c r="G1885" s="16" t="n"/>
      <c r="H1885" s="1">
        <f>IF(OR(F1885=0,G1885=0),"",(G1885-F1885)*24)</f>
        <v/>
      </c>
      <c r="I1885" s="10" t="n"/>
      <c r="J1885" s="1">
        <f>IF(OR(tblDowntime[[#This Row],[Failure Type]]="Sawshop",tblDowntime[[#This Row],[Failure Type]]="Electrical",tblDowntime[[#This Row],[Failure Type]]="Mechanical"),tblDowntime[[#This Row],[Downtime Hours]],"")</f>
        <v/>
      </c>
      <c r="K1885" s="10" t="n"/>
      <c r="L1885" s="10" t="n"/>
      <c r="M1885">
        <f>IF(tblDowntime[[#This Row],[Maintenance Downtime Hours]]="","",tblDowntime[[#This Row],[Equipment ID]])</f>
        <v/>
      </c>
      <c r="N1885" s="1">
        <f>IF(tblDowntime[[#This Row],[Failure Type]]="Production",tblDowntime[[#This Row],[Downtime Hours]],"")</f>
        <v/>
      </c>
      <c r="O1885">
        <f>IF(tblDowntime[[#This Row],[Production Downtime Hours]]="","",tblDowntime[[#This Row],[Equipment ID]])</f>
        <v/>
      </c>
      <c r="P1885" s="10" t="n"/>
    </row>
    <row r="1886">
      <c r="B1886">
        <f t="array" ref="B1886">_xlfn.XLOOKUP(C1886,INDIRECT("tblEquipment[Equipment ID]"),INDIRECT("tblEquipment[Production Department]"),"")</f>
        <v/>
      </c>
      <c r="D1886">
        <f t="array" ref="D1886">_xlfn.XLOOKUP(C1886,INDIRECT("tblEquipment[Equipment ID]"),INDIRECT("tblEquipment[Equipment Name]"),"")</f>
        <v/>
      </c>
      <c r="F1886" s="16" t="n"/>
      <c r="G1886" s="16" t="n"/>
      <c r="H1886" s="1">
        <f>IF(OR(F1886=0,G1886=0),"",(G1886-F1886)*24)</f>
        <v/>
      </c>
      <c r="I1886" s="10" t="n"/>
      <c r="J1886" s="1">
        <f>IF(OR(tblDowntime[[#This Row],[Failure Type]]="Sawshop",tblDowntime[[#This Row],[Failure Type]]="Electrical",tblDowntime[[#This Row],[Failure Type]]="Mechanical"),tblDowntime[[#This Row],[Downtime Hours]],"")</f>
        <v/>
      </c>
      <c r="K1886" s="10" t="n"/>
      <c r="L1886" s="10" t="n"/>
      <c r="M1886">
        <f>IF(tblDowntime[[#This Row],[Maintenance Downtime Hours]]="","",tblDowntime[[#This Row],[Equipment ID]])</f>
        <v/>
      </c>
      <c r="N1886" s="1">
        <f>IF(tblDowntime[[#This Row],[Failure Type]]="Production",tblDowntime[[#This Row],[Downtime Hours]],"")</f>
        <v/>
      </c>
      <c r="O1886">
        <f>IF(tblDowntime[[#This Row],[Production Downtime Hours]]="","",tblDowntime[[#This Row],[Equipment ID]])</f>
        <v/>
      </c>
      <c r="P1886" s="10" t="n"/>
    </row>
    <row r="1887">
      <c r="B1887">
        <f t="array" ref="B1887">_xlfn.XLOOKUP(C1887,INDIRECT("tblEquipment[Equipment ID]"),INDIRECT("tblEquipment[Production Department]"),"")</f>
        <v/>
      </c>
      <c r="D1887">
        <f t="array" ref="D1887">_xlfn.XLOOKUP(C1887,INDIRECT("tblEquipment[Equipment ID]"),INDIRECT("tblEquipment[Equipment Name]"),"")</f>
        <v/>
      </c>
      <c r="F1887" s="16" t="n"/>
      <c r="G1887" s="16" t="n"/>
      <c r="H1887" s="1">
        <f>IF(OR(F1887=0,G1887=0),"",(G1887-F1887)*24)</f>
        <v/>
      </c>
      <c r="I1887" s="10" t="n"/>
      <c r="J1887" s="1">
        <f>IF(OR(tblDowntime[[#This Row],[Failure Type]]="Sawshop",tblDowntime[[#This Row],[Failure Type]]="Electrical",tblDowntime[[#This Row],[Failure Type]]="Mechanical"),tblDowntime[[#This Row],[Downtime Hours]],"")</f>
        <v/>
      </c>
      <c r="K1887" s="10" t="n"/>
      <c r="L1887" s="10" t="n"/>
      <c r="M1887">
        <f>IF(tblDowntime[[#This Row],[Maintenance Downtime Hours]]="","",tblDowntime[[#This Row],[Equipment ID]])</f>
        <v/>
      </c>
      <c r="N1887" s="1">
        <f>IF(tblDowntime[[#This Row],[Failure Type]]="Production",tblDowntime[[#This Row],[Downtime Hours]],"")</f>
        <v/>
      </c>
      <c r="O1887">
        <f>IF(tblDowntime[[#This Row],[Production Downtime Hours]]="","",tblDowntime[[#This Row],[Equipment ID]])</f>
        <v/>
      </c>
      <c r="P1887" s="10" t="n"/>
    </row>
    <row r="1888">
      <c r="B1888">
        <f t="array" ref="B1888">_xlfn.XLOOKUP(C1888,INDIRECT("tblEquipment[Equipment ID]"),INDIRECT("tblEquipment[Production Department]"),"")</f>
        <v/>
      </c>
      <c r="D1888">
        <f t="array" ref="D1888">_xlfn.XLOOKUP(C1888,INDIRECT("tblEquipment[Equipment ID]"),INDIRECT("tblEquipment[Equipment Name]"),"")</f>
        <v/>
      </c>
      <c r="F1888" s="16" t="n"/>
      <c r="G1888" s="16" t="n"/>
      <c r="H1888" s="1">
        <f>IF(OR(F1888=0,G1888=0),"",(G1888-F1888)*24)</f>
        <v/>
      </c>
      <c r="I1888" s="10" t="n"/>
      <c r="J1888" s="1">
        <f>IF(OR(tblDowntime[[#This Row],[Failure Type]]="Sawshop",tblDowntime[[#This Row],[Failure Type]]="Electrical",tblDowntime[[#This Row],[Failure Type]]="Mechanical"),tblDowntime[[#This Row],[Downtime Hours]],"")</f>
        <v/>
      </c>
      <c r="K1888" s="10" t="n"/>
      <c r="L1888" s="10" t="n"/>
      <c r="M1888">
        <f>IF(tblDowntime[[#This Row],[Maintenance Downtime Hours]]="","",tblDowntime[[#This Row],[Equipment ID]])</f>
        <v/>
      </c>
      <c r="N1888" s="1">
        <f>IF(tblDowntime[[#This Row],[Failure Type]]="Production",tblDowntime[[#This Row],[Downtime Hours]],"")</f>
        <v/>
      </c>
      <c r="O1888">
        <f>IF(tblDowntime[[#This Row],[Production Downtime Hours]]="","",tblDowntime[[#This Row],[Equipment ID]])</f>
        <v/>
      </c>
      <c r="P1888" s="10" t="n"/>
    </row>
    <row r="1889">
      <c r="B1889">
        <f t="array" ref="B1889">_xlfn.XLOOKUP(C1889,INDIRECT("tblEquipment[Equipment ID]"),INDIRECT("tblEquipment[Production Department]"),"")</f>
        <v/>
      </c>
      <c r="D1889">
        <f t="array" ref="D1889">_xlfn.XLOOKUP(C1889,INDIRECT("tblEquipment[Equipment ID]"),INDIRECT("tblEquipment[Equipment Name]"),"")</f>
        <v/>
      </c>
      <c r="F1889" s="16" t="n"/>
      <c r="G1889" s="16" t="n"/>
      <c r="H1889" s="1">
        <f>IF(OR(F1889=0,G1889=0),"",(G1889-F1889)*24)</f>
        <v/>
      </c>
      <c r="I1889" s="10" t="n"/>
      <c r="J1889" s="1">
        <f>IF(OR(tblDowntime[[#This Row],[Failure Type]]="Sawshop",tblDowntime[[#This Row],[Failure Type]]="Electrical",tblDowntime[[#This Row],[Failure Type]]="Mechanical"),tblDowntime[[#This Row],[Downtime Hours]],"")</f>
        <v/>
      </c>
      <c r="K1889" s="10" t="n"/>
      <c r="L1889" s="10" t="n"/>
      <c r="M1889">
        <f>IF(tblDowntime[[#This Row],[Maintenance Downtime Hours]]="","",tblDowntime[[#This Row],[Equipment ID]])</f>
        <v/>
      </c>
      <c r="N1889" s="1">
        <f>IF(tblDowntime[[#This Row],[Failure Type]]="Production",tblDowntime[[#This Row],[Downtime Hours]],"")</f>
        <v/>
      </c>
      <c r="O1889">
        <f>IF(tblDowntime[[#This Row],[Production Downtime Hours]]="","",tblDowntime[[#This Row],[Equipment ID]])</f>
        <v/>
      </c>
      <c r="P1889" s="10" t="n"/>
    </row>
    <row r="1890">
      <c r="B1890">
        <f t="array" ref="B1890">_xlfn.XLOOKUP(C1890,INDIRECT("tblEquipment[Equipment ID]"),INDIRECT("tblEquipment[Production Department]"),"")</f>
        <v/>
      </c>
      <c r="D1890">
        <f t="array" ref="D1890">_xlfn.XLOOKUP(C1890,INDIRECT("tblEquipment[Equipment ID]"),INDIRECT("tblEquipment[Equipment Name]"),"")</f>
        <v/>
      </c>
      <c r="F1890" s="16" t="n"/>
      <c r="G1890" s="16" t="n"/>
      <c r="H1890" s="1">
        <f>IF(OR(F1890=0,G1890=0),"",(G1890-F1890)*24)</f>
        <v/>
      </c>
      <c r="I1890" s="10" t="n"/>
      <c r="J1890" s="1">
        <f>IF(OR(tblDowntime[[#This Row],[Failure Type]]="Sawshop",tblDowntime[[#This Row],[Failure Type]]="Electrical",tblDowntime[[#This Row],[Failure Type]]="Mechanical"),tblDowntime[[#This Row],[Downtime Hours]],"")</f>
        <v/>
      </c>
      <c r="K1890" s="10" t="n"/>
      <c r="L1890" s="10" t="n"/>
      <c r="M1890">
        <f>IF(tblDowntime[[#This Row],[Maintenance Downtime Hours]]="","",tblDowntime[[#This Row],[Equipment ID]])</f>
        <v/>
      </c>
      <c r="N1890" s="1">
        <f>IF(tblDowntime[[#This Row],[Failure Type]]="Production",tblDowntime[[#This Row],[Downtime Hours]],"")</f>
        <v/>
      </c>
      <c r="O1890">
        <f>IF(tblDowntime[[#This Row],[Production Downtime Hours]]="","",tblDowntime[[#This Row],[Equipment ID]])</f>
        <v/>
      </c>
      <c r="P1890" s="10" t="n"/>
    </row>
    <row r="1891">
      <c r="B1891">
        <f t="array" ref="B1891">_xlfn.XLOOKUP(C1891,INDIRECT("tblEquipment[Equipment ID]"),INDIRECT("tblEquipment[Production Department]"),"")</f>
        <v/>
      </c>
      <c r="D1891">
        <f t="array" ref="D1891">_xlfn.XLOOKUP(C1891,INDIRECT("tblEquipment[Equipment ID]"),INDIRECT("tblEquipment[Equipment Name]"),"")</f>
        <v/>
      </c>
      <c r="F1891" s="16" t="n"/>
      <c r="G1891" s="16" t="n"/>
      <c r="H1891" s="1">
        <f>IF(OR(F1891=0,G1891=0),"",(G1891-F1891)*24)</f>
        <v/>
      </c>
      <c r="I1891" s="10" t="n"/>
      <c r="J1891" s="1">
        <f>IF(OR(tblDowntime[[#This Row],[Failure Type]]="Sawshop",tblDowntime[[#This Row],[Failure Type]]="Electrical",tblDowntime[[#This Row],[Failure Type]]="Mechanical"),tblDowntime[[#This Row],[Downtime Hours]],"")</f>
        <v/>
      </c>
      <c r="K1891" s="10" t="n"/>
      <c r="L1891" s="10" t="n"/>
      <c r="M1891">
        <f>IF(tblDowntime[[#This Row],[Maintenance Downtime Hours]]="","",tblDowntime[[#This Row],[Equipment ID]])</f>
        <v/>
      </c>
      <c r="N1891" s="1">
        <f>IF(tblDowntime[[#This Row],[Failure Type]]="Production",tblDowntime[[#This Row],[Downtime Hours]],"")</f>
        <v/>
      </c>
      <c r="O1891">
        <f>IF(tblDowntime[[#This Row],[Production Downtime Hours]]="","",tblDowntime[[#This Row],[Equipment ID]])</f>
        <v/>
      </c>
      <c r="P1891" s="10" t="n"/>
    </row>
    <row r="1892">
      <c r="B1892">
        <f t="array" ref="B1892">_xlfn.XLOOKUP(C1892,INDIRECT("tblEquipment[Equipment ID]"),INDIRECT("tblEquipment[Production Department]"),"")</f>
        <v/>
      </c>
      <c r="D1892">
        <f t="array" ref="D1892">_xlfn.XLOOKUP(C1892,INDIRECT("tblEquipment[Equipment ID]"),INDIRECT("tblEquipment[Equipment Name]"),"")</f>
        <v/>
      </c>
      <c r="F1892" s="16" t="n"/>
      <c r="G1892" s="16" t="n"/>
      <c r="H1892" s="1">
        <f>IF(OR(F1892=0,G1892=0),"",(G1892-F1892)*24)</f>
        <v/>
      </c>
      <c r="I1892" s="10" t="n"/>
      <c r="J1892" s="1">
        <f>IF(OR(tblDowntime[[#This Row],[Failure Type]]="Sawshop",tblDowntime[[#This Row],[Failure Type]]="Electrical",tblDowntime[[#This Row],[Failure Type]]="Mechanical"),tblDowntime[[#This Row],[Downtime Hours]],"")</f>
        <v/>
      </c>
      <c r="K1892" s="10" t="n"/>
      <c r="L1892" s="10" t="n"/>
      <c r="M1892">
        <f>IF(tblDowntime[[#This Row],[Maintenance Downtime Hours]]="","",tblDowntime[[#This Row],[Equipment ID]])</f>
        <v/>
      </c>
      <c r="N1892" s="1">
        <f>IF(tblDowntime[[#This Row],[Failure Type]]="Production",tblDowntime[[#This Row],[Downtime Hours]],"")</f>
        <v/>
      </c>
      <c r="O1892">
        <f>IF(tblDowntime[[#This Row],[Production Downtime Hours]]="","",tblDowntime[[#This Row],[Equipment ID]])</f>
        <v/>
      </c>
      <c r="P1892" s="10" t="n"/>
    </row>
    <row r="1893">
      <c r="B1893">
        <f t="array" ref="B1893">_xlfn.XLOOKUP(C1893,INDIRECT("tblEquipment[Equipment ID]"),INDIRECT("tblEquipment[Production Department]"),"")</f>
        <v/>
      </c>
      <c r="D1893">
        <f t="array" ref="D1893">_xlfn.XLOOKUP(C1893,INDIRECT("tblEquipment[Equipment ID]"),INDIRECT("tblEquipment[Equipment Name]"),"")</f>
        <v/>
      </c>
      <c r="F1893" s="16" t="n"/>
      <c r="G1893" s="16" t="n"/>
      <c r="H1893" s="1">
        <f>IF(OR(F1893=0,G1893=0),"",(G1893-F1893)*24)</f>
        <v/>
      </c>
      <c r="I1893" s="10" t="n"/>
      <c r="J1893" s="1">
        <f>IF(OR(tblDowntime[[#This Row],[Failure Type]]="Sawshop",tblDowntime[[#This Row],[Failure Type]]="Electrical",tblDowntime[[#This Row],[Failure Type]]="Mechanical"),tblDowntime[[#This Row],[Downtime Hours]],"")</f>
        <v/>
      </c>
      <c r="K1893" s="10" t="n"/>
      <c r="L1893" s="10" t="n"/>
      <c r="M1893">
        <f>IF(tblDowntime[[#This Row],[Maintenance Downtime Hours]]="","",tblDowntime[[#This Row],[Equipment ID]])</f>
        <v/>
      </c>
      <c r="N1893" s="1">
        <f>IF(tblDowntime[[#This Row],[Failure Type]]="Production",tblDowntime[[#This Row],[Downtime Hours]],"")</f>
        <v/>
      </c>
      <c r="O1893">
        <f>IF(tblDowntime[[#This Row],[Production Downtime Hours]]="","",tblDowntime[[#This Row],[Equipment ID]])</f>
        <v/>
      </c>
      <c r="P1893" s="10" t="n"/>
    </row>
    <row r="1894">
      <c r="B1894">
        <f t="array" ref="B1894">_xlfn.XLOOKUP(C1894,INDIRECT("tblEquipment[Equipment ID]"),INDIRECT("tblEquipment[Production Department]"),"")</f>
        <v/>
      </c>
      <c r="D1894">
        <f t="array" ref="D1894">_xlfn.XLOOKUP(C1894,INDIRECT("tblEquipment[Equipment ID]"),INDIRECT("tblEquipment[Equipment Name]"),"")</f>
        <v/>
      </c>
      <c r="F1894" s="16" t="n"/>
      <c r="G1894" s="16" t="n"/>
      <c r="H1894" s="1">
        <f>IF(OR(F1894=0,G1894=0),"",(G1894-F1894)*24)</f>
        <v/>
      </c>
      <c r="I1894" s="10" t="n"/>
      <c r="J1894" s="1">
        <f>IF(OR(tblDowntime[[#This Row],[Failure Type]]="Sawshop",tblDowntime[[#This Row],[Failure Type]]="Electrical",tblDowntime[[#This Row],[Failure Type]]="Mechanical"),tblDowntime[[#This Row],[Downtime Hours]],"")</f>
        <v/>
      </c>
      <c r="K1894" s="10" t="n"/>
      <c r="L1894" s="10" t="n"/>
      <c r="M1894">
        <f>IF(tblDowntime[[#This Row],[Maintenance Downtime Hours]]="","",tblDowntime[[#This Row],[Equipment ID]])</f>
        <v/>
      </c>
      <c r="N1894" s="1">
        <f>IF(tblDowntime[[#This Row],[Failure Type]]="Production",tblDowntime[[#This Row],[Downtime Hours]],"")</f>
        <v/>
      </c>
      <c r="O1894">
        <f>IF(tblDowntime[[#This Row],[Production Downtime Hours]]="","",tblDowntime[[#This Row],[Equipment ID]])</f>
        <v/>
      </c>
      <c r="P1894" s="10" t="n"/>
    </row>
    <row r="1895">
      <c r="B1895">
        <f t="array" ref="B1895">_xlfn.XLOOKUP(C1895,INDIRECT("tblEquipment[Equipment ID]"),INDIRECT("tblEquipment[Production Department]"),"")</f>
        <v/>
      </c>
      <c r="D1895">
        <f t="array" ref="D1895">_xlfn.XLOOKUP(C1895,INDIRECT("tblEquipment[Equipment ID]"),INDIRECT("tblEquipment[Equipment Name]"),"")</f>
        <v/>
      </c>
      <c r="F1895" s="16" t="n"/>
      <c r="G1895" s="16" t="n"/>
      <c r="H1895" s="1">
        <f>IF(OR(F1895=0,G1895=0),"",(G1895-F1895)*24)</f>
        <v/>
      </c>
      <c r="I1895" s="10" t="n"/>
      <c r="J1895" s="1">
        <f>IF(OR(tblDowntime[[#This Row],[Failure Type]]="Sawshop",tblDowntime[[#This Row],[Failure Type]]="Electrical",tblDowntime[[#This Row],[Failure Type]]="Mechanical"),tblDowntime[[#This Row],[Downtime Hours]],"")</f>
        <v/>
      </c>
      <c r="K1895" s="10" t="n"/>
      <c r="L1895" s="10" t="n"/>
      <c r="M1895">
        <f>IF(tblDowntime[[#This Row],[Maintenance Downtime Hours]]="","",tblDowntime[[#This Row],[Equipment ID]])</f>
        <v/>
      </c>
      <c r="N1895" s="1">
        <f>IF(tblDowntime[[#This Row],[Failure Type]]="Production",tblDowntime[[#This Row],[Downtime Hours]],"")</f>
        <v/>
      </c>
      <c r="O1895">
        <f>IF(tblDowntime[[#This Row],[Production Downtime Hours]]="","",tblDowntime[[#This Row],[Equipment ID]])</f>
        <v/>
      </c>
      <c r="P1895" s="10" t="n"/>
    </row>
    <row r="1896">
      <c r="B1896">
        <f t="array" ref="B1896">_xlfn.XLOOKUP(C1896,INDIRECT("tblEquipment[Equipment ID]"),INDIRECT("tblEquipment[Production Department]"),"")</f>
        <v/>
      </c>
      <c r="D1896">
        <f t="array" ref="D1896">_xlfn.XLOOKUP(C1896,INDIRECT("tblEquipment[Equipment ID]"),INDIRECT("tblEquipment[Equipment Name]"),"")</f>
        <v/>
      </c>
      <c r="F1896" s="16" t="n"/>
      <c r="G1896" s="16" t="n"/>
      <c r="H1896" s="1">
        <f>IF(OR(F1896=0,G1896=0),"",(G1896-F1896)*24)</f>
        <v/>
      </c>
      <c r="I1896" s="10" t="n"/>
      <c r="J1896" s="1">
        <f>IF(OR(tblDowntime[[#This Row],[Failure Type]]="Sawshop",tblDowntime[[#This Row],[Failure Type]]="Electrical",tblDowntime[[#This Row],[Failure Type]]="Mechanical"),tblDowntime[[#This Row],[Downtime Hours]],"")</f>
        <v/>
      </c>
      <c r="K1896" s="10" t="n"/>
      <c r="L1896" s="10" t="n"/>
      <c r="M1896">
        <f>IF(tblDowntime[[#This Row],[Maintenance Downtime Hours]]="","",tblDowntime[[#This Row],[Equipment ID]])</f>
        <v/>
      </c>
      <c r="N1896" s="1">
        <f>IF(tblDowntime[[#This Row],[Failure Type]]="Production",tblDowntime[[#This Row],[Downtime Hours]],"")</f>
        <v/>
      </c>
      <c r="O1896">
        <f>IF(tblDowntime[[#This Row],[Production Downtime Hours]]="","",tblDowntime[[#This Row],[Equipment ID]])</f>
        <v/>
      </c>
      <c r="P1896" s="10" t="n"/>
    </row>
    <row r="1897">
      <c r="B1897">
        <f t="array" ref="B1897">_xlfn.XLOOKUP(C1897,INDIRECT("tblEquipment[Equipment ID]"),INDIRECT("tblEquipment[Production Department]"),"")</f>
        <v/>
      </c>
      <c r="D1897">
        <f t="array" ref="D1897">_xlfn.XLOOKUP(C1897,INDIRECT("tblEquipment[Equipment ID]"),INDIRECT("tblEquipment[Equipment Name]"),"")</f>
        <v/>
      </c>
      <c r="F1897" s="16" t="n"/>
      <c r="G1897" s="16" t="n"/>
      <c r="H1897" s="1">
        <f>IF(OR(F1897=0,G1897=0),"",(G1897-F1897)*24)</f>
        <v/>
      </c>
      <c r="I1897" s="10" t="n"/>
      <c r="J1897" s="1">
        <f>IF(OR(tblDowntime[[#This Row],[Failure Type]]="Sawshop",tblDowntime[[#This Row],[Failure Type]]="Electrical",tblDowntime[[#This Row],[Failure Type]]="Mechanical"),tblDowntime[[#This Row],[Downtime Hours]],"")</f>
        <v/>
      </c>
      <c r="K1897" s="10" t="n"/>
      <c r="L1897" s="10" t="n"/>
      <c r="M1897">
        <f>IF(tblDowntime[[#This Row],[Maintenance Downtime Hours]]="","",tblDowntime[[#This Row],[Equipment ID]])</f>
        <v/>
      </c>
      <c r="N1897" s="1">
        <f>IF(tblDowntime[[#This Row],[Failure Type]]="Production",tblDowntime[[#This Row],[Downtime Hours]],"")</f>
        <v/>
      </c>
      <c r="O1897">
        <f>IF(tblDowntime[[#This Row],[Production Downtime Hours]]="","",tblDowntime[[#This Row],[Equipment ID]])</f>
        <v/>
      </c>
      <c r="P1897" s="10" t="n"/>
    </row>
    <row r="1898">
      <c r="B1898">
        <f t="array" ref="B1898">_xlfn.XLOOKUP(C1898,INDIRECT("tblEquipment[Equipment ID]"),INDIRECT("tblEquipment[Production Department]"),"")</f>
        <v/>
      </c>
      <c r="D1898">
        <f t="array" ref="D1898">_xlfn.XLOOKUP(C1898,INDIRECT("tblEquipment[Equipment ID]"),INDIRECT("tblEquipment[Equipment Name]"),"")</f>
        <v/>
      </c>
      <c r="F1898" s="16" t="n"/>
      <c r="G1898" s="16" t="n"/>
      <c r="H1898" s="1">
        <f>IF(OR(F1898=0,G1898=0),"",(G1898-F1898)*24)</f>
        <v/>
      </c>
      <c r="I1898" s="10" t="n"/>
      <c r="J1898" s="1">
        <f>IF(OR(tblDowntime[[#This Row],[Failure Type]]="Sawshop",tblDowntime[[#This Row],[Failure Type]]="Electrical",tblDowntime[[#This Row],[Failure Type]]="Mechanical"),tblDowntime[[#This Row],[Downtime Hours]],"")</f>
        <v/>
      </c>
      <c r="K1898" s="10" t="n"/>
      <c r="L1898" s="10" t="n"/>
      <c r="M1898">
        <f>IF(tblDowntime[[#This Row],[Maintenance Downtime Hours]]="","",tblDowntime[[#This Row],[Equipment ID]])</f>
        <v/>
      </c>
      <c r="N1898" s="1">
        <f>IF(tblDowntime[[#This Row],[Failure Type]]="Production",tblDowntime[[#This Row],[Downtime Hours]],"")</f>
        <v/>
      </c>
      <c r="O1898">
        <f>IF(tblDowntime[[#This Row],[Production Downtime Hours]]="","",tblDowntime[[#This Row],[Equipment ID]])</f>
        <v/>
      </c>
      <c r="P1898" s="10" t="n"/>
    </row>
    <row r="1899">
      <c r="B1899">
        <f t="array" ref="B1899">_xlfn.XLOOKUP(C1899,INDIRECT("tblEquipment[Equipment ID]"),INDIRECT("tblEquipment[Production Department]"),"")</f>
        <v/>
      </c>
      <c r="D1899">
        <f t="array" ref="D1899">_xlfn.XLOOKUP(C1899,INDIRECT("tblEquipment[Equipment ID]"),INDIRECT("tblEquipment[Equipment Name]"),"")</f>
        <v/>
      </c>
      <c r="F1899" s="16" t="n"/>
      <c r="G1899" s="16" t="n"/>
      <c r="H1899" s="1">
        <f>IF(OR(F1899=0,G1899=0),"",(G1899-F1899)*24)</f>
        <v/>
      </c>
      <c r="I1899" s="10" t="n"/>
      <c r="J1899" s="1">
        <f>IF(OR(tblDowntime[[#This Row],[Failure Type]]="Sawshop",tblDowntime[[#This Row],[Failure Type]]="Electrical",tblDowntime[[#This Row],[Failure Type]]="Mechanical"),tblDowntime[[#This Row],[Downtime Hours]],"")</f>
        <v/>
      </c>
      <c r="K1899" s="10" t="n"/>
      <c r="L1899" s="10" t="n"/>
      <c r="M1899">
        <f>IF(tblDowntime[[#This Row],[Maintenance Downtime Hours]]="","",tblDowntime[[#This Row],[Equipment ID]])</f>
        <v/>
      </c>
      <c r="N1899" s="1">
        <f>IF(tblDowntime[[#This Row],[Failure Type]]="Production",tblDowntime[[#This Row],[Downtime Hours]],"")</f>
        <v/>
      </c>
      <c r="O1899">
        <f>IF(tblDowntime[[#This Row],[Production Downtime Hours]]="","",tblDowntime[[#This Row],[Equipment ID]])</f>
        <v/>
      </c>
      <c r="P1899" s="10" t="n"/>
    </row>
    <row r="1900">
      <c r="B1900">
        <f t="array" ref="B1900">_xlfn.XLOOKUP(C1900,INDIRECT("tblEquipment[Equipment ID]"),INDIRECT("tblEquipment[Production Department]"),"")</f>
        <v/>
      </c>
      <c r="D1900">
        <f t="array" ref="D1900">_xlfn.XLOOKUP(C1900,INDIRECT("tblEquipment[Equipment ID]"),INDIRECT("tblEquipment[Equipment Name]"),"")</f>
        <v/>
      </c>
      <c r="F1900" s="16" t="n"/>
      <c r="G1900" s="16" t="n"/>
      <c r="H1900" s="1">
        <f>IF(OR(F1900=0,G1900=0),"",(G1900-F1900)*24)</f>
        <v/>
      </c>
      <c r="I1900" s="10" t="n"/>
      <c r="J1900" s="1">
        <f>IF(OR(tblDowntime[[#This Row],[Failure Type]]="Sawshop",tblDowntime[[#This Row],[Failure Type]]="Electrical",tblDowntime[[#This Row],[Failure Type]]="Mechanical"),tblDowntime[[#This Row],[Downtime Hours]],"")</f>
        <v/>
      </c>
      <c r="K1900" s="10" t="n"/>
      <c r="L1900" s="10" t="n"/>
      <c r="M1900">
        <f>IF(tblDowntime[[#This Row],[Maintenance Downtime Hours]]="","",tblDowntime[[#This Row],[Equipment ID]])</f>
        <v/>
      </c>
      <c r="N1900" s="1">
        <f>IF(tblDowntime[[#This Row],[Failure Type]]="Production",tblDowntime[[#This Row],[Downtime Hours]],"")</f>
        <v/>
      </c>
      <c r="O1900">
        <f>IF(tblDowntime[[#This Row],[Production Downtime Hours]]="","",tblDowntime[[#This Row],[Equipment ID]])</f>
        <v/>
      </c>
      <c r="P1900" s="10" t="n"/>
    </row>
    <row r="1901">
      <c r="B1901">
        <f t="array" ref="B1901">_xlfn.XLOOKUP(C1901,INDIRECT("tblEquipment[Equipment ID]"),INDIRECT("tblEquipment[Production Department]"),"")</f>
        <v/>
      </c>
      <c r="D1901">
        <f t="array" ref="D1901">_xlfn.XLOOKUP(C1901,INDIRECT("tblEquipment[Equipment ID]"),INDIRECT("tblEquipment[Equipment Name]"),"")</f>
        <v/>
      </c>
      <c r="F1901" s="16" t="n"/>
      <c r="G1901" s="16" t="n"/>
      <c r="H1901" s="1">
        <f>IF(OR(F1901=0,G1901=0),"",(G1901-F1901)*24)</f>
        <v/>
      </c>
      <c r="I1901" s="10" t="n"/>
      <c r="J1901" s="1">
        <f>IF(OR(tblDowntime[[#This Row],[Failure Type]]="Sawshop",tblDowntime[[#This Row],[Failure Type]]="Electrical",tblDowntime[[#This Row],[Failure Type]]="Mechanical"),tblDowntime[[#This Row],[Downtime Hours]],"")</f>
        <v/>
      </c>
      <c r="K1901" s="10" t="n"/>
      <c r="L1901" s="10" t="n"/>
      <c r="M1901">
        <f>IF(tblDowntime[[#This Row],[Maintenance Downtime Hours]]="","",tblDowntime[[#This Row],[Equipment ID]])</f>
        <v/>
      </c>
      <c r="N1901" s="1">
        <f>IF(tblDowntime[[#This Row],[Failure Type]]="Production",tblDowntime[[#This Row],[Downtime Hours]],"")</f>
        <v/>
      </c>
      <c r="O1901">
        <f>IF(tblDowntime[[#This Row],[Production Downtime Hours]]="","",tblDowntime[[#This Row],[Equipment ID]])</f>
        <v/>
      </c>
      <c r="P1901" s="10" t="n"/>
    </row>
    <row r="1902">
      <c r="B1902">
        <f t="array" ref="B1902">_xlfn.XLOOKUP(C1902,INDIRECT("tblEquipment[Equipment ID]"),INDIRECT("tblEquipment[Production Department]"),"")</f>
        <v/>
      </c>
      <c r="D1902">
        <f t="array" ref="D1902">_xlfn.XLOOKUP(C1902,INDIRECT("tblEquipment[Equipment ID]"),INDIRECT("tblEquipment[Equipment Name]"),"")</f>
        <v/>
      </c>
      <c r="F1902" s="16" t="n"/>
      <c r="G1902" s="16" t="n"/>
      <c r="H1902" s="1">
        <f>IF(OR(F1902=0,G1902=0),"",(G1902-F1902)*24)</f>
        <v/>
      </c>
      <c r="I1902" s="10" t="n"/>
      <c r="J1902" s="1">
        <f>IF(OR(tblDowntime[[#This Row],[Failure Type]]="Sawshop",tblDowntime[[#This Row],[Failure Type]]="Electrical",tblDowntime[[#This Row],[Failure Type]]="Mechanical"),tblDowntime[[#This Row],[Downtime Hours]],"")</f>
        <v/>
      </c>
      <c r="K1902" s="10" t="n"/>
      <c r="L1902" s="10" t="n"/>
      <c r="M1902">
        <f>IF(tblDowntime[[#This Row],[Maintenance Downtime Hours]]="","",tblDowntime[[#This Row],[Equipment ID]])</f>
        <v/>
      </c>
      <c r="N1902" s="1">
        <f>IF(tblDowntime[[#This Row],[Failure Type]]="Production",tblDowntime[[#This Row],[Downtime Hours]],"")</f>
        <v/>
      </c>
      <c r="O1902">
        <f>IF(tblDowntime[[#This Row],[Production Downtime Hours]]="","",tblDowntime[[#This Row],[Equipment ID]])</f>
        <v/>
      </c>
      <c r="P1902" s="10" t="n"/>
    </row>
    <row r="1903">
      <c r="B1903">
        <f t="array" ref="B1903">_xlfn.XLOOKUP(C1903,INDIRECT("tblEquipment[Equipment ID]"),INDIRECT("tblEquipment[Production Department]"),"")</f>
        <v/>
      </c>
      <c r="D1903">
        <f t="array" ref="D1903">_xlfn.XLOOKUP(C1903,INDIRECT("tblEquipment[Equipment ID]"),INDIRECT("tblEquipment[Equipment Name]"),"")</f>
        <v/>
      </c>
      <c r="F1903" s="16" t="n"/>
      <c r="G1903" s="16" t="n"/>
      <c r="H1903" s="1">
        <f>IF(OR(F1903=0,G1903=0),"",(G1903-F1903)*24)</f>
        <v/>
      </c>
      <c r="I1903" s="10" t="n"/>
      <c r="J1903" s="1">
        <f>IF(OR(tblDowntime[[#This Row],[Failure Type]]="Sawshop",tblDowntime[[#This Row],[Failure Type]]="Electrical",tblDowntime[[#This Row],[Failure Type]]="Mechanical"),tblDowntime[[#This Row],[Downtime Hours]],"")</f>
        <v/>
      </c>
      <c r="K1903" s="10" t="n"/>
      <c r="L1903" s="10" t="n"/>
      <c r="M1903">
        <f>IF(tblDowntime[[#This Row],[Maintenance Downtime Hours]]="","",tblDowntime[[#This Row],[Equipment ID]])</f>
        <v/>
      </c>
      <c r="N1903" s="1">
        <f>IF(tblDowntime[[#This Row],[Failure Type]]="Production",tblDowntime[[#This Row],[Downtime Hours]],"")</f>
        <v/>
      </c>
      <c r="O1903">
        <f>IF(tblDowntime[[#This Row],[Production Downtime Hours]]="","",tblDowntime[[#This Row],[Equipment ID]])</f>
        <v/>
      </c>
      <c r="P1903" s="10" t="n"/>
    </row>
    <row r="1904">
      <c r="B1904">
        <f t="array" ref="B1904">_xlfn.XLOOKUP(C1904,INDIRECT("tblEquipment[Equipment ID]"),INDIRECT("tblEquipment[Production Department]"),"")</f>
        <v/>
      </c>
      <c r="D1904">
        <f t="array" ref="D1904">_xlfn.XLOOKUP(C1904,INDIRECT("tblEquipment[Equipment ID]"),INDIRECT("tblEquipment[Equipment Name]"),"")</f>
        <v/>
      </c>
      <c r="F1904" s="16" t="n"/>
      <c r="G1904" s="16" t="n"/>
      <c r="H1904" s="1">
        <f>IF(OR(F1904=0,G1904=0),"",(G1904-F1904)*24)</f>
        <v/>
      </c>
      <c r="I1904" s="10" t="n"/>
      <c r="J1904" s="1">
        <f>IF(OR(tblDowntime[[#This Row],[Failure Type]]="Sawshop",tblDowntime[[#This Row],[Failure Type]]="Electrical",tblDowntime[[#This Row],[Failure Type]]="Mechanical"),tblDowntime[[#This Row],[Downtime Hours]],"")</f>
        <v/>
      </c>
      <c r="K1904" s="10" t="n"/>
      <c r="L1904" s="10" t="n"/>
      <c r="M1904">
        <f>IF(tblDowntime[[#This Row],[Maintenance Downtime Hours]]="","",tblDowntime[[#This Row],[Equipment ID]])</f>
        <v/>
      </c>
      <c r="N1904" s="1">
        <f>IF(tblDowntime[[#This Row],[Failure Type]]="Production",tblDowntime[[#This Row],[Downtime Hours]],"")</f>
        <v/>
      </c>
      <c r="O1904">
        <f>IF(tblDowntime[[#This Row],[Production Downtime Hours]]="","",tblDowntime[[#This Row],[Equipment ID]])</f>
        <v/>
      </c>
      <c r="P1904" s="10" t="n"/>
    </row>
    <row r="1905">
      <c r="B1905">
        <f t="array" ref="B1905">_xlfn.XLOOKUP(C1905,INDIRECT("tblEquipment[Equipment ID]"),INDIRECT("tblEquipment[Production Department]"),"")</f>
        <v/>
      </c>
      <c r="D1905">
        <f t="array" ref="D1905">_xlfn.XLOOKUP(C1905,INDIRECT("tblEquipment[Equipment ID]"),INDIRECT("tblEquipment[Equipment Name]"),"")</f>
        <v/>
      </c>
      <c r="F1905" s="16" t="n"/>
      <c r="G1905" s="16" t="n"/>
      <c r="H1905" s="1">
        <f>IF(OR(F1905=0,G1905=0),"",(G1905-F1905)*24)</f>
        <v/>
      </c>
      <c r="I1905" s="10" t="n"/>
      <c r="J1905" s="1">
        <f>IF(OR(tblDowntime[[#This Row],[Failure Type]]="Sawshop",tblDowntime[[#This Row],[Failure Type]]="Electrical",tblDowntime[[#This Row],[Failure Type]]="Mechanical"),tblDowntime[[#This Row],[Downtime Hours]],"")</f>
        <v/>
      </c>
      <c r="K1905" s="10" t="n"/>
      <c r="L1905" s="10" t="n"/>
      <c r="M1905">
        <f>IF(tblDowntime[[#This Row],[Maintenance Downtime Hours]]="","",tblDowntime[[#This Row],[Equipment ID]])</f>
        <v/>
      </c>
      <c r="N1905" s="1">
        <f>IF(tblDowntime[[#This Row],[Failure Type]]="Production",tblDowntime[[#This Row],[Downtime Hours]],"")</f>
        <v/>
      </c>
      <c r="O1905">
        <f>IF(tblDowntime[[#This Row],[Production Downtime Hours]]="","",tblDowntime[[#This Row],[Equipment ID]])</f>
        <v/>
      </c>
      <c r="P1905" s="10" t="n"/>
    </row>
    <row r="1906">
      <c r="B1906">
        <f t="array" ref="B1906">_xlfn.XLOOKUP(C1906,INDIRECT("tblEquipment[Equipment ID]"),INDIRECT("tblEquipment[Production Department]"),"")</f>
        <v/>
      </c>
      <c r="D1906">
        <f t="array" ref="D1906">_xlfn.XLOOKUP(C1906,INDIRECT("tblEquipment[Equipment ID]"),INDIRECT("tblEquipment[Equipment Name]"),"")</f>
        <v/>
      </c>
      <c r="F1906" s="16" t="n"/>
      <c r="G1906" s="16" t="n"/>
      <c r="H1906" s="1">
        <f>IF(OR(F1906=0,G1906=0),"",(G1906-F1906)*24)</f>
        <v/>
      </c>
      <c r="I1906" s="10" t="n"/>
      <c r="J1906" s="1">
        <f>IF(OR(tblDowntime[[#This Row],[Failure Type]]="Sawshop",tblDowntime[[#This Row],[Failure Type]]="Electrical",tblDowntime[[#This Row],[Failure Type]]="Mechanical"),tblDowntime[[#This Row],[Downtime Hours]],"")</f>
        <v/>
      </c>
      <c r="K1906" s="10" t="n"/>
      <c r="L1906" s="10" t="n"/>
      <c r="M1906">
        <f>IF(tblDowntime[[#This Row],[Maintenance Downtime Hours]]="","",tblDowntime[[#This Row],[Equipment ID]])</f>
        <v/>
      </c>
      <c r="N1906" s="1">
        <f>IF(tblDowntime[[#This Row],[Failure Type]]="Production",tblDowntime[[#This Row],[Downtime Hours]],"")</f>
        <v/>
      </c>
      <c r="O1906">
        <f>IF(tblDowntime[[#This Row],[Production Downtime Hours]]="","",tblDowntime[[#This Row],[Equipment ID]])</f>
        <v/>
      </c>
      <c r="P1906" s="10" t="n"/>
    </row>
    <row r="1907">
      <c r="B1907">
        <f t="array" ref="B1907">_xlfn.XLOOKUP(C1907,INDIRECT("tblEquipment[Equipment ID]"),INDIRECT("tblEquipment[Production Department]"),"")</f>
        <v/>
      </c>
      <c r="D1907">
        <f t="array" ref="D1907">_xlfn.XLOOKUP(C1907,INDIRECT("tblEquipment[Equipment ID]"),INDIRECT("tblEquipment[Equipment Name]"),"")</f>
        <v/>
      </c>
      <c r="F1907" s="16" t="n"/>
      <c r="G1907" s="16" t="n"/>
      <c r="H1907" s="1">
        <f>IF(OR(F1907=0,G1907=0),"",(G1907-F1907)*24)</f>
        <v/>
      </c>
      <c r="I1907" s="10" t="n"/>
      <c r="J1907" s="1">
        <f>IF(OR(tblDowntime[[#This Row],[Failure Type]]="Sawshop",tblDowntime[[#This Row],[Failure Type]]="Electrical",tblDowntime[[#This Row],[Failure Type]]="Mechanical"),tblDowntime[[#This Row],[Downtime Hours]],"")</f>
        <v/>
      </c>
      <c r="K1907" s="10" t="n"/>
      <c r="L1907" s="10" t="n"/>
      <c r="M1907">
        <f>IF(tblDowntime[[#This Row],[Maintenance Downtime Hours]]="","",tblDowntime[[#This Row],[Equipment ID]])</f>
        <v/>
      </c>
      <c r="N1907" s="1">
        <f>IF(tblDowntime[[#This Row],[Failure Type]]="Production",tblDowntime[[#This Row],[Downtime Hours]],"")</f>
        <v/>
      </c>
      <c r="O1907">
        <f>IF(tblDowntime[[#This Row],[Production Downtime Hours]]="","",tblDowntime[[#This Row],[Equipment ID]])</f>
        <v/>
      </c>
      <c r="P1907" s="10" t="n"/>
    </row>
    <row r="1908">
      <c r="B1908">
        <f t="array" ref="B1908">_xlfn.XLOOKUP(C1908,INDIRECT("tblEquipment[Equipment ID]"),INDIRECT("tblEquipment[Production Department]"),"")</f>
        <v/>
      </c>
      <c r="D1908">
        <f t="array" ref="D1908">_xlfn.XLOOKUP(C1908,INDIRECT("tblEquipment[Equipment ID]"),INDIRECT("tblEquipment[Equipment Name]"),"")</f>
        <v/>
      </c>
      <c r="F1908" s="16" t="n"/>
      <c r="G1908" s="16" t="n"/>
      <c r="H1908" s="1">
        <f>IF(OR(F1908=0,G1908=0),"",(G1908-F1908)*24)</f>
        <v/>
      </c>
      <c r="I1908" s="10" t="n"/>
      <c r="J1908" s="1">
        <f>IF(OR(tblDowntime[[#This Row],[Failure Type]]="Sawshop",tblDowntime[[#This Row],[Failure Type]]="Electrical",tblDowntime[[#This Row],[Failure Type]]="Mechanical"),tblDowntime[[#This Row],[Downtime Hours]],"")</f>
        <v/>
      </c>
      <c r="K1908" s="10" t="n"/>
      <c r="L1908" s="10" t="n"/>
      <c r="M1908">
        <f>IF(tblDowntime[[#This Row],[Maintenance Downtime Hours]]="","",tblDowntime[[#This Row],[Equipment ID]])</f>
        <v/>
      </c>
      <c r="N1908" s="1">
        <f>IF(tblDowntime[[#This Row],[Failure Type]]="Production",tblDowntime[[#This Row],[Downtime Hours]],"")</f>
        <v/>
      </c>
      <c r="O1908">
        <f>IF(tblDowntime[[#This Row],[Production Downtime Hours]]="","",tblDowntime[[#This Row],[Equipment ID]])</f>
        <v/>
      </c>
      <c r="P1908" s="10" t="n"/>
    </row>
    <row r="1909">
      <c r="B1909">
        <f t="array" ref="B1909">_xlfn.XLOOKUP(C1909,INDIRECT("tblEquipment[Equipment ID]"),INDIRECT("tblEquipment[Production Department]"),"")</f>
        <v/>
      </c>
      <c r="D1909">
        <f t="array" ref="D1909">_xlfn.XLOOKUP(C1909,INDIRECT("tblEquipment[Equipment ID]"),INDIRECT("tblEquipment[Equipment Name]"),"")</f>
        <v/>
      </c>
      <c r="F1909" s="16" t="n"/>
      <c r="G1909" s="16" t="n"/>
      <c r="H1909" s="1">
        <f>IF(OR(F1909=0,G1909=0),"",(G1909-F1909)*24)</f>
        <v/>
      </c>
      <c r="I1909" s="10" t="n"/>
      <c r="J1909" s="1">
        <f>IF(OR(tblDowntime[[#This Row],[Failure Type]]="Sawshop",tblDowntime[[#This Row],[Failure Type]]="Electrical",tblDowntime[[#This Row],[Failure Type]]="Mechanical"),tblDowntime[[#This Row],[Downtime Hours]],"")</f>
        <v/>
      </c>
      <c r="K1909" s="10" t="n"/>
      <c r="L1909" s="10" t="n"/>
      <c r="M1909">
        <f>IF(tblDowntime[[#This Row],[Maintenance Downtime Hours]]="","",tblDowntime[[#This Row],[Equipment ID]])</f>
        <v/>
      </c>
      <c r="N1909" s="1">
        <f>IF(tblDowntime[[#This Row],[Failure Type]]="Production",tblDowntime[[#This Row],[Downtime Hours]],"")</f>
        <v/>
      </c>
      <c r="O1909">
        <f>IF(tblDowntime[[#This Row],[Production Downtime Hours]]="","",tblDowntime[[#This Row],[Equipment ID]])</f>
        <v/>
      </c>
      <c r="P1909" s="10" t="n"/>
    </row>
    <row r="1910">
      <c r="B1910">
        <f t="array" ref="B1910">_xlfn.XLOOKUP(C1910,INDIRECT("tblEquipment[Equipment ID]"),INDIRECT("tblEquipment[Production Department]"),"")</f>
        <v/>
      </c>
      <c r="D1910">
        <f t="array" ref="D1910">_xlfn.XLOOKUP(C1910,INDIRECT("tblEquipment[Equipment ID]"),INDIRECT("tblEquipment[Equipment Name]"),"")</f>
        <v/>
      </c>
      <c r="F1910" s="16" t="n"/>
      <c r="G1910" s="16" t="n"/>
      <c r="H1910" s="1">
        <f>IF(OR(F1910=0,G1910=0),"",(G1910-F1910)*24)</f>
        <v/>
      </c>
      <c r="I1910" s="10" t="n"/>
      <c r="J1910" s="1">
        <f>IF(OR(tblDowntime[[#This Row],[Failure Type]]="Sawshop",tblDowntime[[#This Row],[Failure Type]]="Electrical",tblDowntime[[#This Row],[Failure Type]]="Mechanical"),tblDowntime[[#This Row],[Downtime Hours]],"")</f>
        <v/>
      </c>
      <c r="K1910" s="10" t="n"/>
      <c r="L1910" s="10" t="n"/>
      <c r="M1910">
        <f>IF(tblDowntime[[#This Row],[Maintenance Downtime Hours]]="","",tblDowntime[[#This Row],[Equipment ID]])</f>
        <v/>
      </c>
      <c r="N1910" s="1">
        <f>IF(tblDowntime[[#This Row],[Failure Type]]="Production",tblDowntime[[#This Row],[Downtime Hours]],"")</f>
        <v/>
      </c>
      <c r="O1910">
        <f>IF(tblDowntime[[#This Row],[Production Downtime Hours]]="","",tblDowntime[[#This Row],[Equipment ID]])</f>
        <v/>
      </c>
      <c r="P1910" s="10" t="n"/>
    </row>
    <row r="1911">
      <c r="B1911">
        <f t="array" ref="B1911">_xlfn.XLOOKUP(C1911,INDIRECT("tblEquipment[Equipment ID]"),INDIRECT("tblEquipment[Production Department]"),"")</f>
        <v/>
      </c>
      <c r="D1911">
        <f t="array" ref="D1911">_xlfn.XLOOKUP(C1911,INDIRECT("tblEquipment[Equipment ID]"),INDIRECT("tblEquipment[Equipment Name]"),"")</f>
        <v/>
      </c>
      <c r="F1911" s="16" t="n"/>
      <c r="G1911" s="16" t="n"/>
      <c r="H1911" s="1">
        <f>IF(OR(F1911=0,G1911=0),"",(G1911-F1911)*24)</f>
        <v/>
      </c>
      <c r="I1911" s="10" t="n"/>
      <c r="J1911" s="1">
        <f>IF(OR(tblDowntime[[#This Row],[Failure Type]]="Sawshop",tblDowntime[[#This Row],[Failure Type]]="Electrical",tblDowntime[[#This Row],[Failure Type]]="Mechanical"),tblDowntime[[#This Row],[Downtime Hours]],"")</f>
        <v/>
      </c>
      <c r="K1911" s="10" t="n"/>
      <c r="L1911" s="10" t="n"/>
      <c r="M1911">
        <f>IF(tblDowntime[[#This Row],[Maintenance Downtime Hours]]="","",tblDowntime[[#This Row],[Equipment ID]])</f>
        <v/>
      </c>
      <c r="N1911" s="1">
        <f>IF(tblDowntime[[#This Row],[Failure Type]]="Production",tblDowntime[[#This Row],[Downtime Hours]],"")</f>
        <v/>
      </c>
      <c r="O1911">
        <f>IF(tblDowntime[[#This Row],[Production Downtime Hours]]="","",tblDowntime[[#This Row],[Equipment ID]])</f>
        <v/>
      </c>
      <c r="P1911" s="10" t="n"/>
    </row>
    <row r="1912">
      <c r="B1912">
        <f t="array" ref="B1912">_xlfn.XLOOKUP(C1912,INDIRECT("tblEquipment[Equipment ID]"),INDIRECT("tblEquipment[Production Department]"),"")</f>
        <v/>
      </c>
      <c r="D1912">
        <f t="array" ref="D1912">_xlfn.XLOOKUP(C1912,INDIRECT("tblEquipment[Equipment ID]"),INDIRECT("tblEquipment[Equipment Name]"),"")</f>
        <v/>
      </c>
      <c r="F1912" s="16" t="n"/>
      <c r="G1912" s="16" t="n"/>
      <c r="H1912" s="1">
        <f>IF(OR(F1912=0,G1912=0),"",(G1912-F1912)*24)</f>
        <v/>
      </c>
      <c r="I1912" s="10" t="n"/>
      <c r="J1912" s="1">
        <f>IF(OR(tblDowntime[[#This Row],[Failure Type]]="Sawshop",tblDowntime[[#This Row],[Failure Type]]="Electrical",tblDowntime[[#This Row],[Failure Type]]="Mechanical"),tblDowntime[[#This Row],[Downtime Hours]],"")</f>
        <v/>
      </c>
      <c r="K1912" s="10" t="n"/>
      <c r="L1912" s="10" t="n"/>
      <c r="M1912">
        <f>IF(tblDowntime[[#This Row],[Maintenance Downtime Hours]]="","",tblDowntime[[#This Row],[Equipment ID]])</f>
        <v/>
      </c>
      <c r="N1912" s="1">
        <f>IF(tblDowntime[[#This Row],[Failure Type]]="Production",tblDowntime[[#This Row],[Downtime Hours]],"")</f>
        <v/>
      </c>
      <c r="O1912">
        <f>IF(tblDowntime[[#This Row],[Production Downtime Hours]]="","",tblDowntime[[#This Row],[Equipment ID]])</f>
        <v/>
      </c>
      <c r="P1912" s="10" t="n"/>
    </row>
    <row r="1913">
      <c r="B1913">
        <f t="array" ref="B1913">_xlfn.XLOOKUP(C1913,INDIRECT("tblEquipment[Equipment ID]"),INDIRECT("tblEquipment[Production Department]"),"")</f>
        <v/>
      </c>
      <c r="D1913">
        <f t="array" ref="D1913">_xlfn.XLOOKUP(C1913,INDIRECT("tblEquipment[Equipment ID]"),INDIRECT("tblEquipment[Equipment Name]"),"")</f>
        <v/>
      </c>
      <c r="F1913" s="16" t="n"/>
      <c r="G1913" s="16" t="n"/>
      <c r="H1913" s="1">
        <f>IF(OR(F1913=0,G1913=0),"",(G1913-F1913)*24)</f>
        <v/>
      </c>
      <c r="I1913" s="10" t="n"/>
      <c r="J1913" s="1">
        <f>IF(OR(tblDowntime[[#This Row],[Failure Type]]="Sawshop",tblDowntime[[#This Row],[Failure Type]]="Electrical",tblDowntime[[#This Row],[Failure Type]]="Mechanical"),tblDowntime[[#This Row],[Downtime Hours]],"")</f>
        <v/>
      </c>
      <c r="K1913" s="10" t="n"/>
      <c r="L1913" s="10" t="n"/>
      <c r="M1913">
        <f>IF(tblDowntime[[#This Row],[Maintenance Downtime Hours]]="","",tblDowntime[[#This Row],[Equipment ID]])</f>
        <v/>
      </c>
      <c r="N1913" s="1">
        <f>IF(tblDowntime[[#This Row],[Failure Type]]="Production",tblDowntime[[#This Row],[Downtime Hours]],"")</f>
        <v/>
      </c>
      <c r="O1913">
        <f>IF(tblDowntime[[#This Row],[Production Downtime Hours]]="","",tblDowntime[[#This Row],[Equipment ID]])</f>
        <v/>
      </c>
      <c r="P1913" s="10" t="n"/>
    </row>
    <row r="1914">
      <c r="B1914">
        <f t="array" ref="B1914">_xlfn.XLOOKUP(C1914,INDIRECT("tblEquipment[Equipment ID]"),INDIRECT("tblEquipment[Production Department]"),"")</f>
        <v/>
      </c>
      <c r="D1914">
        <f t="array" ref="D1914">_xlfn.XLOOKUP(C1914,INDIRECT("tblEquipment[Equipment ID]"),INDIRECT("tblEquipment[Equipment Name]"),"")</f>
        <v/>
      </c>
      <c r="F1914" s="16" t="n"/>
      <c r="G1914" s="16" t="n"/>
      <c r="H1914" s="1">
        <f>IF(OR(F1914=0,G1914=0),"",(G1914-F1914)*24)</f>
        <v/>
      </c>
      <c r="I1914" s="10" t="n"/>
      <c r="J1914" s="1">
        <f>IF(OR(tblDowntime[[#This Row],[Failure Type]]="Sawshop",tblDowntime[[#This Row],[Failure Type]]="Electrical",tblDowntime[[#This Row],[Failure Type]]="Mechanical"),tblDowntime[[#This Row],[Downtime Hours]],"")</f>
        <v/>
      </c>
      <c r="K1914" s="10" t="n"/>
      <c r="L1914" s="10" t="n"/>
      <c r="M1914">
        <f>IF(tblDowntime[[#This Row],[Maintenance Downtime Hours]]="","",tblDowntime[[#This Row],[Equipment ID]])</f>
        <v/>
      </c>
      <c r="N1914" s="1">
        <f>IF(tblDowntime[[#This Row],[Failure Type]]="Production",tblDowntime[[#This Row],[Downtime Hours]],"")</f>
        <v/>
      </c>
      <c r="O1914">
        <f>IF(tblDowntime[[#This Row],[Production Downtime Hours]]="","",tblDowntime[[#This Row],[Equipment ID]])</f>
        <v/>
      </c>
      <c r="P1914" s="10" t="n"/>
    </row>
    <row r="1915">
      <c r="B1915">
        <f t="array" ref="B1915">_xlfn.XLOOKUP(C1915,INDIRECT("tblEquipment[Equipment ID]"),INDIRECT("tblEquipment[Production Department]"),"")</f>
        <v/>
      </c>
      <c r="D1915">
        <f t="array" ref="D1915">_xlfn.XLOOKUP(C1915,INDIRECT("tblEquipment[Equipment ID]"),INDIRECT("tblEquipment[Equipment Name]"),"")</f>
        <v/>
      </c>
      <c r="F1915" s="16" t="n"/>
      <c r="G1915" s="16" t="n"/>
      <c r="H1915" s="1">
        <f>IF(OR(F1915=0,G1915=0),"",(G1915-F1915)*24)</f>
        <v/>
      </c>
      <c r="I1915" s="10" t="n"/>
      <c r="J1915" s="1">
        <f>IF(OR(tblDowntime[[#This Row],[Failure Type]]="Sawshop",tblDowntime[[#This Row],[Failure Type]]="Electrical",tblDowntime[[#This Row],[Failure Type]]="Mechanical"),tblDowntime[[#This Row],[Downtime Hours]],"")</f>
        <v/>
      </c>
      <c r="K1915" s="10" t="n"/>
      <c r="L1915" s="10" t="n"/>
      <c r="M1915">
        <f>IF(tblDowntime[[#This Row],[Maintenance Downtime Hours]]="","",tblDowntime[[#This Row],[Equipment ID]])</f>
        <v/>
      </c>
      <c r="N1915" s="1">
        <f>IF(tblDowntime[[#This Row],[Failure Type]]="Production",tblDowntime[[#This Row],[Downtime Hours]],"")</f>
        <v/>
      </c>
      <c r="O1915">
        <f>IF(tblDowntime[[#This Row],[Production Downtime Hours]]="","",tblDowntime[[#This Row],[Equipment ID]])</f>
        <v/>
      </c>
      <c r="P1915" s="10" t="n"/>
    </row>
    <row r="1916">
      <c r="B1916">
        <f t="array" ref="B1916">_xlfn.XLOOKUP(C1916,INDIRECT("tblEquipment[Equipment ID]"),INDIRECT("tblEquipment[Production Department]"),"")</f>
        <v/>
      </c>
      <c r="D1916">
        <f t="array" ref="D1916">_xlfn.XLOOKUP(C1916,INDIRECT("tblEquipment[Equipment ID]"),INDIRECT("tblEquipment[Equipment Name]"),"")</f>
        <v/>
      </c>
      <c r="F1916" s="16" t="n"/>
      <c r="G1916" s="16" t="n"/>
      <c r="H1916" s="1">
        <f>IF(OR(F1916=0,G1916=0),"",(G1916-F1916)*24)</f>
        <v/>
      </c>
      <c r="I1916" s="10" t="n"/>
      <c r="J1916" s="1">
        <f>IF(OR(tblDowntime[[#This Row],[Failure Type]]="Sawshop",tblDowntime[[#This Row],[Failure Type]]="Electrical",tblDowntime[[#This Row],[Failure Type]]="Mechanical"),tblDowntime[[#This Row],[Downtime Hours]],"")</f>
        <v/>
      </c>
      <c r="K1916" s="10" t="n"/>
      <c r="L1916" s="10" t="n"/>
      <c r="M1916">
        <f>IF(tblDowntime[[#This Row],[Maintenance Downtime Hours]]="","",tblDowntime[[#This Row],[Equipment ID]])</f>
        <v/>
      </c>
      <c r="N1916" s="1">
        <f>IF(tblDowntime[[#This Row],[Failure Type]]="Production",tblDowntime[[#This Row],[Downtime Hours]],"")</f>
        <v/>
      </c>
      <c r="O1916">
        <f>IF(tblDowntime[[#This Row],[Production Downtime Hours]]="","",tblDowntime[[#This Row],[Equipment ID]])</f>
        <v/>
      </c>
      <c r="P1916" s="10" t="n"/>
    </row>
    <row r="1917">
      <c r="B1917">
        <f t="array" ref="B1917">_xlfn.XLOOKUP(C1917,INDIRECT("tblEquipment[Equipment ID]"),INDIRECT("tblEquipment[Production Department]"),"")</f>
        <v/>
      </c>
      <c r="D1917">
        <f t="array" ref="D1917">_xlfn.XLOOKUP(C1917,INDIRECT("tblEquipment[Equipment ID]"),INDIRECT("tblEquipment[Equipment Name]"),"")</f>
        <v/>
      </c>
      <c r="F1917" s="16" t="n"/>
      <c r="G1917" s="16" t="n"/>
      <c r="H1917" s="1">
        <f>IF(OR(F1917=0,G1917=0),"",(G1917-F1917)*24)</f>
        <v/>
      </c>
      <c r="I1917" s="10" t="n"/>
      <c r="J1917" s="1">
        <f>IF(OR(tblDowntime[[#This Row],[Failure Type]]="Sawshop",tblDowntime[[#This Row],[Failure Type]]="Electrical",tblDowntime[[#This Row],[Failure Type]]="Mechanical"),tblDowntime[[#This Row],[Downtime Hours]],"")</f>
        <v/>
      </c>
      <c r="K1917" s="10" t="n"/>
      <c r="L1917" s="10" t="n"/>
      <c r="M1917">
        <f>IF(tblDowntime[[#This Row],[Maintenance Downtime Hours]]="","",tblDowntime[[#This Row],[Equipment ID]])</f>
        <v/>
      </c>
      <c r="N1917" s="1">
        <f>IF(tblDowntime[[#This Row],[Failure Type]]="Production",tblDowntime[[#This Row],[Downtime Hours]],"")</f>
        <v/>
      </c>
      <c r="O1917">
        <f>IF(tblDowntime[[#This Row],[Production Downtime Hours]]="","",tblDowntime[[#This Row],[Equipment ID]])</f>
        <v/>
      </c>
      <c r="P1917" s="10" t="n"/>
    </row>
    <row r="1918">
      <c r="B1918">
        <f t="array" ref="B1918">_xlfn.XLOOKUP(C1918,INDIRECT("tblEquipment[Equipment ID]"),INDIRECT("tblEquipment[Production Department]"),"")</f>
        <v/>
      </c>
      <c r="D1918">
        <f t="array" ref="D1918">_xlfn.XLOOKUP(C1918,INDIRECT("tblEquipment[Equipment ID]"),INDIRECT("tblEquipment[Equipment Name]"),"")</f>
        <v/>
      </c>
      <c r="F1918" s="16" t="n"/>
      <c r="G1918" s="16" t="n"/>
      <c r="H1918" s="1">
        <f>IF(OR(F1918=0,G1918=0),"",(G1918-F1918)*24)</f>
        <v/>
      </c>
      <c r="I1918" s="10" t="n"/>
      <c r="J1918" s="1">
        <f>IF(OR(tblDowntime[[#This Row],[Failure Type]]="Sawshop",tblDowntime[[#This Row],[Failure Type]]="Electrical",tblDowntime[[#This Row],[Failure Type]]="Mechanical"),tblDowntime[[#This Row],[Downtime Hours]],"")</f>
        <v/>
      </c>
      <c r="K1918" s="10" t="n"/>
      <c r="L1918" s="10" t="n"/>
      <c r="M1918">
        <f>IF(tblDowntime[[#This Row],[Maintenance Downtime Hours]]="","",tblDowntime[[#This Row],[Equipment ID]])</f>
        <v/>
      </c>
      <c r="N1918" s="1">
        <f>IF(tblDowntime[[#This Row],[Failure Type]]="Production",tblDowntime[[#This Row],[Downtime Hours]],"")</f>
        <v/>
      </c>
      <c r="O1918">
        <f>IF(tblDowntime[[#This Row],[Production Downtime Hours]]="","",tblDowntime[[#This Row],[Equipment ID]])</f>
        <v/>
      </c>
      <c r="P1918" s="10" t="n"/>
    </row>
    <row r="1919">
      <c r="B1919">
        <f t="array" ref="B1919">_xlfn.XLOOKUP(C1919,INDIRECT("tblEquipment[Equipment ID]"),INDIRECT("tblEquipment[Production Department]"),"")</f>
        <v/>
      </c>
      <c r="D1919">
        <f t="array" ref="D1919">_xlfn.XLOOKUP(C1919,INDIRECT("tblEquipment[Equipment ID]"),INDIRECT("tblEquipment[Equipment Name]"),"")</f>
        <v/>
      </c>
      <c r="F1919" s="16" t="n"/>
      <c r="G1919" s="16" t="n"/>
      <c r="H1919" s="1">
        <f>IF(OR(F1919=0,G1919=0),"",(G1919-F1919)*24)</f>
        <v/>
      </c>
      <c r="I1919" s="10" t="n"/>
      <c r="J1919" s="1">
        <f>IF(OR(tblDowntime[[#This Row],[Failure Type]]="Sawshop",tblDowntime[[#This Row],[Failure Type]]="Electrical",tblDowntime[[#This Row],[Failure Type]]="Mechanical"),tblDowntime[[#This Row],[Downtime Hours]],"")</f>
        <v/>
      </c>
      <c r="K1919" s="10" t="n"/>
      <c r="L1919" s="10" t="n"/>
      <c r="M1919">
        <f>IF(tblDowntime[[#This Row],[Maintenance Downtime Hours]]="","",tblDowntime[[#This Row],[Equipment ID]])</f>
        <v/>
      </c>
      <c r="N1919" s="1">
        <f>IF(tblDowntime[[#This Row],[Failure Type]]="Production",tblDowntime[[#This Row],[Downtime Hours]],"")</f>
        <v/>
      </c>
      <c r="O1919">
        <f>IF(tblDowntime[[#This Row],[Production Downtime Hours]]="","",tblDowntime[[#This Row],[Equipment ID]])</f>
        <v/>
      </c>
      <c r="P1919" s="10" t="n"/>
    </row>
    <row r="1920">
      <c r="B1920">
        <f t="array" ref="B1920">_xlfn.XLOOKUP(C1920,INDIRECT("tblEquipment[Equipment ID]"),INDIRECT("tblEquipment[Production Department]"),"")</f>
        <v/>
      </c>
      <c r="D1920">
        <f t="array" ref="D1920">_xlfn.XLOOKUP(C1920,INDIRECT("tblEquipment[Equipment ID]"),INDIRECT("tblEquipment[Equipment Name]"),"")</f>
        <v/>
      </c>
      <c r="F1920" s="16" t="n"/>
      <c r="G1920" s="16" t="n"/>
      <c r="H1920" s="1">
        <f>IF(OR(F1920=0,G1920=0),"",(G1920-F1920)*24)</f>
        <v/>
      </c>
      <c r="I1920" s="10" t="n"/>
      <c r="J1920" s="1">
        <f>IF(OR(tblDowntime[[#This Row],[Failure Type]]="Sawshop",tblDowntime[[#This Row],[Failure Type]]="Electrical",tblDowntime[[#This Row],[Failure Type]]="Mechanical"),tblDowntime[[#This Row],[Downtime Hours]],"")</f>
        <v/>
      </c>
      <c r="K1920" s="10" t="n"/>
      <c r="L1920" s="10" t="n"/>
      <c r="M1920">
        <f>IF(tblDowntime[[#This Row],[Maintenance Downtime Hours]]="","",tblDowntime[[#This Row],[Equipment ID]])</f>
        <v/>
      </c>
      <c r="N1920" s="1">
        <f>IF(tblDowntime[[#This Row],[Failure Type]]="Production",tblDowntime[[#This Row],[Downtime Hours]],"")</f>
        <v/>
      </c>
      <c r="O1920">
        <f>IF(tblDowntime[[#This Row],[Production Downtime Hours]]="","",tblDowntime[[#This Row],[Equipment ID]])</f>
        <v/>
      </c>
      <c r="P1920" s="10" t="n"/>
    </row>
    <row r="1921">
      <c r="B1921">
        <f t="array" ref="B1921">_xlfn.XLOOKUP(C1921,INDIRECT("tblEquipment[Equipment ID]"),INDIRECT("tblEquipment[Production Department]"),"")</f>
        <v/>
      </c>
      <c r="D1921">
        <f t="array" ref="D1921">_xlfn.XLOOKUP(C1921,INDIRECT("tblEquipment[Equipment ID]"),INDIRECT("tblEquipment[Equipment Name]"),"")</f>
        <v/>
      </c>
      <c r="F1921" s="16" t="n"/>
      <c r="G1921" s="16" t="n"/>
      <c r="H1921" s="1">
        <f>IF(OR(F1921=0,G1921=0),"",(G1921-F1921)*24)</f>
        <v/>
      </c>
      <c r="I1921" s="10" t="n"/>
      <c r="J1921" s="1">
        <f>IF(OR(tblDowntime[[#This Row],[Failure Type]]="Sawshop",tblDowntime[[#This Row],[Failure Type]]="Electrical",tblDowntime[[#This Row],[Failure Type]]="Mechanical"),tblDowntime[[#This Row],[Downtime Hours]],"")</f>
        <v/>
      </c>
      <c r="K1921" s="10" t="n"/>
      <c r="L1921" s="10" t="n"/>
      <c r="M1921">
        <f>IF(tblDowntime[[#This Row],[Maintenance Downtime Hours]]="","",tblDowntime[[#This Row],[Equipment ID]])</f>
        <v/>
      </c>
      <c r="N1921" s="1">
        <f>IF(tblDowntime[[#This Row],[Failure Type]]="Production",tblDowntime[[#This Row],[Downtime Hours]],"")</f>
        <v/>
      </c>
      <c r="O1921">
        <f>IF(tblDowntime[[#This Row],[Production Downtime Hours]]="","",tblDowntime[[#This Row],[Equipment ID]])</f>
        <v/>
      </c>
      <c r="P1921" s="10" t="n"/>
    </row>
    <row r="1922">
      <c r="B1922">
        <f t="array" ref="B1922">_xlfn.XLOOKUP(C1922,INDIRECT("tblEquipment[Equipment ID]"),INDIRECT("tblEquipment[Production Department]"),"")</f>
        <v/>
      </c>
      <c r="D1922">
        <f t="array" ref="D1922">_xlfn.XLOOKUP(C1922,INDIRECT("tblEquipment[Equipment ID]"),INDIRECT("tblEquipment[Equipment Name]"),"")</f>
        <v/>
      </c>
      <c r="F1922" s="16" t="n"/>
      <c r="G1922" s="16" t="n"/>
      <c r="H1922" s="1">
        <f>IF(OR(F1922=0,G1922=0),"",(G1922-F1922)*24)</f>
        <v/>
      </c>
      <c r="I1922" s="10" t="n"/>
      <c r="J1922" s="1">
        <f>IF(OR(tblDowntime[[#This Row],[Failure Type]]="Sawshop",tblDowntime[[#This Row],[Failure Type]]="Electrical",tblDowntime[[#This Row],[Failure Type]]="Mechanical"),tblDowntime[[#This Row],[Downtime Hours]],"")</f>
        <v/>
      </c>
      <c r="K1922" s="10" t="n"/>
      <c r="L1922" s="10" t="n"/>
      <c r="M1922">
        <f>IF(tblDowntime[[#This Row],[Maintenance Downtime Hours]]="","",tblDowntime[[#This Row],[Equipment ID]])</f>
        <v/>
      </c>
      <c r="N1922" s="1">
        <f>IF(tblDowntime[[#This Row],[Failure Type]]="Production",tblDowntime[[#This Row],[Downtime Hours]],"")</f>
        <v/>
      </c>
      <c r="O1922">
        <f>IF(tblDowntime[[#This Row],[Production Downtime Hours]]="","",tblDowntime[[#This Row],[Equipment ID]])</f>
        <v/>
      </c>
      <c r="P1922" s="10" t="n"/>
    </row>
    <row r="1923">
      <c r="B1923">
        <f t="array" ref="B1923">_xlfn.XLOOKUP(C1923,INDIRECT("tblEquipment[Equipment ID]"),INDIRECT("tblEquipment[Production Department]"),"")</f>
        <v/>
      </c>
      <c r="D1923">
        <f t="array" ref="D1923">_xlfn.XLOOKUP(C1923,INDIRECT("tblEquipment[Equipment ID]"),INDIRECT("tblEquipment[Equipment Name]"),"")</f>
        <v/>
      </c>
      <c r="F1923" s="16" t="n"/>
      <c r="G1923" s="16" t="n"/>
      <c r="H1923" s="1">
        <f>IF(OR(F1923=0,G1923=0),"",(G1923-F1923)*24)</f>
        <v/>
      </c>
      <c r="I1923" s="10" t="n"/>
      <c r="J1923" s="1">
        <f>IF(OR(tblDowntime[[#This Row],[Failure Type]]="Sawshop",tblDowntime[[#This Row],[Failure Type]]="Electrical",tblDowntime[[#This Row],[Failure Type]]="Mechanical"),tblDowntime[[#This Row],[Downtime Hours]],"")</f>
        <v/>
      </c>
      <c r="K1923" s="10" t="n"/>
      <c r="L1923" s="10" t="n"/>
      <c r="M1923">
        <f>IF(tblDowntime[[#This Row],[Maintenance Downtime Hours]]="","",tblDowntime[[#This Row],[Equipment ID]])</f>
        <v/>
      </c>
      <c r="N1923" s="1">
        <f>IF(tblDowntime[[#This Row],[Failure Type]]="Production",tblDowntime[[#This Row],[Downtime Hours]],"")</f>
        <v/>
      </c>
      <c r="O1923">
        <f>IF(tblDowntime[[#This Row],[Production Downtime Hours]]="","",tblDowntime[[#This Row],[Equipment ID]])</f>
        <v/>
      </c>
      <c r="P1923" s="10" t="n"/>
    </row>
    <row r="1924">
      <c r="B1924">
        <f t="array" ref="B1924">_xlfn.XLOOKUP(C1924,INDIRECT("tblEquipment[Equipment ID]"),INDIRECT("tblEquipment[Production Department]"),"")</f>
        <v/>
      </c>
      <c r="D1924">
        <f t="array" ref="D1924">_xlfn.XLOOKUP(C1924,INDIRECT("tblEquipment[Equipment ID]"),INDIRECT("tblEquipment[Equipment Name]"),"")</f>
        <v/>
      </c>
      <c r="F1924" s="16" t="n"/>
      <c r="G1924" s="16" t="n"/>
      <c r="H1924" s="1">
        <f>IF(OR(F1924=0,G1924=0),"",(G1924-F1924)*24)</f>
        <v/>
      </c>
      <c r="I1924" s="10" t="n"/>
      <c r="J1924" s="1">
        <f>IF(OR(tblDowntime[[#This Row],[Failure Type]]="Sawshop",tblDowntime[[#This Row],[Failure Type]]="Electrical",tblDowntime[[#This Row],[Failure Type]]="Mechanical"),tblDowntime[[#This Row],[Downtime Hours]],"")</f>
        <v/>
      </c>
      <c r="K1924" s="10" t="n"/>
      <c r="L1924" s="10" t="n"/>
      <c r="M1924">
        <f>IF(tblDowntime[[#This Row],[Maintenance Downtime Hours]]="","",tblDowntime[[#This Row],[Equipment ID]])</f>
        <v/>
      </c>
      <c r="N1924" s="1">
        <f>IF(tblDowntime[[#This Row],[Failure Type]]="Production",tblDowntime[[#This Row],[Downtime Hours]],"")</f>
        <v/>
      </c>
      <c r="O1924">
        <f>IF(tblDowntime[[#This Row],[Production Downtime Hours]]="","",tblDowntime[[#This Row],[Equipment ID]])</f>
        <v/>
      </c>
      <c r="P1924" s="10" t="n"/>
    </row>
    <row r="1925">
      <c r="B1925">
        <f t="array" ref="B1925">_xlfn.XLOOKUP(C1925,INDIRECT("tblEquipment[Equipment ID]"),INDIRECT("tblEquipment[Production Department]"),"")</f>
        <v/>
      </c>
      <c r="D1925">
        <f t="array" ref="D1925">_xlfn.XLOOKUP(C1925,INDIRECT("tblEquipment[Equipment ID]"),INDIRECT("tblEquipment[Equipment Name]"),"")</f>
        <v/>
      </c>
      <c r="F1925" s="16" t="n"/>
      <c r="G1925" s="16" t="n"/>
      <c r="H1925" s="1">
        <f>IF(OR(F1925=0,G1925=0),"",(G1925-F1925)*24)</f>
        <v/>
      </c>
      <c r="I1925" s="10" t="n"/>
      <c r="J1925" s="1">
        <f>IF(OR(tblDowntime[[#This Row],[Failure Type]]="Sawshop",tblDowntime[[#This Row],[Failure Type]]="Electrical",tblDowntime[[#This Row],[Failure Type]]="Mechanical"),tblDowntime[[#This Row],[Downtime Hours]],"")</f>
        <v/>
      </c>
      <c r="K1925" s="10" t="n"/>
      <c r="L1925" s="10" t="n"/>
      <c r="M1925">
        <f>IF(tblDowntime[[#This Row],[Maintenance Downtime Hours]]="","",tblDowntime[[#This Row],[Equipment ID]])</f>
        <v/>
      </c>
      <c r="N1925" s="1">
        <f>IF(tblDowntime[[#This Row],[Failure Type]]="Production",tblDowntime[[#This Row],[Downtime Hours]],"")</f>
        <v/>
      </c>
      <c r="O1925">
        <f>IF(tblDowntime[[#This Row],[Production Downtime Hours]]="","",tblDowntime[[#This Row],[Equipment ID]])</f>
        <v/>
      </c>
      <c r="P1925" s="10" t="n"/>
    </row>
    <row r="1926">
      <c r="B1926">
        <f t="array" ref="B1926">_xlfn.XLOOKUP(C1926,INDIRECT("tblEquipment[Equipment ID]"),INDIRECT("tblEquipment[Production Department]"),"")</f>
        <v/>
      </c>
      <c r="D1926">
        <f t="array" ref="D1926">_xlfn.XLOOKUP(C1926,INDIRECT("tblEquipment[Equipment ID]"),INDIRECT("tblEquipment[Equipment Name]"),"")</f>
        <v/>
      </c>
      <c r="F1926" s="16" t="n"/>
      <c r="G1926" s="16" t="n"/>
      <c r="H1926" s="1">
        <f>IF(OR(F1926=0,G1926=0),"",(G1926-F1926)*24)</f>
        <v/>
      </c>
      <c r="I1926" s="10" t="n"/>
      <c r="J1926" s="1">
        <f>IF(OR(tblDowntime[[#This Row],[Failure Type]]="Sawshop",tblDowntime[[#This Row],[Failure Type]]="Electrical",tblDowntime[[#This Row],[Failure Type]]="Mechanical"),tblDowntime[[#This Row],[Downtime Hours]],"")</f>
        <v/>
      </c>
      <c r="K1926" s="10" t="n"/>
      <c r="L1926" s="10" t="n"/>
      <c r="M1926">
        <f>IF(tblDowntime[[#This Row],[Maintenance Downtime Hours]]="","",tblDowntime[[#This Row],[Equipment ID]])</f>
        <v/>
      </c>
      <c r="N1926" s="1">
        <f>IF(tblDowntime[[#This Row],[Failure Type]]="Production",tblDowntime[[#This Row],[Downtime Hours]],"")</f>
        <v/>
      </c>
      <c r="O1926">
        <f>IF(tblDowntime[[#This Row],[Production Downtime Hours]]="","",tblDowntime[[#This Row],[Equipment ID]])</f>
        <v/>
      </c>
      <c r="P1926" s="10" t="n"/>
    </row>
    <row r="1927">
      <c r="B1927">
        <f t="array" ref="B1927">_xlfn.XLOOKUP(C1927,INDIRECT("tblEquipment[Equipment ID]"),INDIRECT("tblEquipment[Production Department]"),"")</f>
        <v/>
      </c>
      <c r="D1927">
        <f t="array" ref="D1927">_xlfn.XLOOKUP(C1927,INDIRECT("tblEquipment[Equipment ID]"),INDIRECT("tblEquipment[Equipment Name]"),"")</f>
        <v/>
      </c>
      <c r="F1927" s="16" t="n"/>
      <c r="G1927" s="16" t="n"/>
      <c r="H1927" s="1">
        <f>IF(OR(F1927=0,G1927=0),"",(G1927-F1927)*24)</f>
        <v/>
      </c>
      <c r="I1927" s="10" t="n"/>
      <c r="J1927" s="1">
        <f>IF(OR(tblDowntime[[#This Row],[Failure Type]]="Sawshop",tblDowntime[[#This Row],[Failure Type]]="Electrical",tblDowntime[[#This Row],[Failure Type]]="Mechanical"),tblDowntime[[#This Row],[Downtime Hours]],"")</f>
        <v/>
      </c>
      <c r="K1927" s="10" t="n"/>
      <c r="L1927" s="10" t="n"/>
      <c r="M1927">
        <f>IF(tblDowntime[[#This Row],[Maintenance Downtime Hours]]="","",tblDowntime[[#This Row],[Equipment ID]])</f>
        <v/>
      </c>
      <c r="N1927" s="1">
        <f>IF(tblDowntime[[#This Row],[Failure Type]]="Production",tblDowntime[[#This Row],[Downtime Hours]],"")</f>
        <v/>
      </c>
      <c r="O1927">
        <f>IF(tblDowntime[[#This Row],[Production Downtime Hours]]="","",tblDowntime[[#This Row],[Equipment ID]])</f>
        <v/>
      </c>
      <c r="P1927" s="10" t="n"/>
    </row>
    <row r="1928">
      <c r="B1928">
        <f t="array" ref="B1928">_xlfn.XLOOKUP(C1928,INDIRECT("tblEquipment[Equipment ID]"),INDIRECT("tblEquipment[Production Department]"),"")</f>
        <v/>
      </c>
      <c r="D1928">
        <f t="array" ref="D1928">_xlfn.XLOOKUP(C1928,INDIRECT("tblEquipment[Equipment ID]"),INDIRECT("tblEquipment[Equipment Name]"),"")</f>
        <v/>
      </c>
      <c r="F1928" s="16" t="n"/>
      <c r="G1928" s="16" t="n"/>
      <c r="H1928" s="1">
        <f>IF(OR(F1928=0,G1928=0),"",(G1928-F1928)*24)</f>
        <v/>
      </c>
      <c r="I1928" s="10" t="n"/>
      <c r="J1928" s="1">
        <f>IF(OR(tblDowntime[[#This Row],[Failure Type]]="Sawshop",tblDowntime[[#This Row],[Failure Type]]="Electrical",tblDowntime[[#This Row],[Failure Type]]="Mechanical"),tblDowntime[[#This Row],[Downtime Hours]],"")</f>
        <v/>
      </c>
      <c r="K1928" s="10" t="n"/>
      <c r="L1928" s="10" t="n"/>
      <c r="M1928">
        <f>IF(tblDowntime[[#This Row],[Maintenance Downtime Hours]]="","",tblDowntime[[#This Row],[Equipment ID]])</f>
        <v/>
      </c>
      <c r="N1928" s="1">
        <f>IF(tblDowntime[[#This Row],[Failure Type]]="Production",tblDowntime[[#This Row],[Downtime Hours]],"")</f>
        <v/>
      </c>
      <c r="O1928">
        <f>IF(tblDowntime[[#This Row],[Production Downtime Hours]]="","",tblDowntime[[#This Row],[Equipment ID]])</f>
        <v/>
      </c>
      <c r="P1928" s="10" t="n"/>
    </row>
    <row r="1929">
      <c r="B1929">
        <f t="array" ref="B1929">_xlfn.XLOOKUP(C1929,INDIRECT("tblEquipment[Equipment ID]"),INDIRECT("tblEquipment[Production Department]"),"")</f>
        <v/>
      </c>
      <c r="D1929">
        <f t="array" ref="D1929">_xlfn.XLOOKUP(C1929,INDIRECT("tblEquipment[Equipment ID]"),INDIRECT("tblEquipment[Equipment Name]"),"")</f>
        <v/>
      </c>
      <c r="F1929" s="16" t="n"/>
      <c r="G1929" s="16" t="n"/>
      <c r="H1929" s="1">
        <f>IF(OR(F1929=0,G1929=0),"",(G1929-F1929)*24)</f>
        <v/>
      </c>
      <c r="I1929" s="10" t="n"/>
      <c r="J1929" s="1">
        <f>IF(OR(tblDowntime[[#This Row],[Failure Type]]="Sawshop",tblDowntime[[#This Row],[Failure Type]]="Electrical",tblDowntime[[#This Row],[Failure Type]]="Mechanical"),tblDowntime[[#This Row],[Downtime Hours]],"")</f>
        <v/>
      </c>
      <c r="K1929" s="10" t="n"/>
      <c r="L1929" s="10" t="n"/>
      <c r="M1929">
        <f>IF(tblDowntime[[#This Row],[Maintenance Downtime Hours]]="","",tblDowntime[[#This Row],[Equipment ID]])</f>
        <v/>
      </c>
      <c r="N1929" s="1">
        <f>IF(tblDowntime[[#This Row],[Failure Type]]="Production",tblDowntime[[#This Row],[Downtime Hours]],"")</f>
        <v/>
      </c>
      <c r="O1929">
        <f>IF(tblDowntime[[#This Row],[Production Downtime Hours]]="","",tblDowntime[[#This Row],[Equipment ID]])</f>
        <v/>
      </c>
      <c r="P1929" s="10" t="n"/>
    </row>
    <row r="1930">
      <c r="B1930">
        <f t="array" ref="B1930">_xlfn.XLOOKUP(C1930,INDIRECT("tblEquipment[Equipment ID]"),INDIRECT("tblEquipment[Production Department]"),"")</f>
        <v/>
      </c>
      <c r="D1930">
        <f t="array" ref="D1930">_xlfn.XLOOKUP(C1930,INDIRECT("tblEquipment[Equipment ID]"),INDIRECT("tblEquipment[Equipment Name]"),"")</f>
        <v/>
      </c>
      <c r="F1930" s="16" t="n"/>
      <c r="G1930" s="16" t="n"/>
      <c r="H1930" s="1">
        <f>IF(OR(F1930=0,G1930=0),"",(G1930-F1930)*24)</f>
        <v/>
      </c>
      <c r="I1930" s="10" t="n"/>
      <c r="J1930" s="1">
        <f>IF(OR(tblDowntime[[#This Row],[Failure Type]]="Sawshop",tblDowntime[[#This Row],[Failure Type]]="Electrical",tblDowntime[[#This Row],[Failure Type]]="Mechanical"),tblDowntime[[#This Row],[Downtime Hours]],"")</f>
        <v/>
      </c>
      <c r="K1930" s="10" t="n"/>
      <c r="L1930" s="10" t="n"/>
      <c r="M1930">
        <f>IF(tblDowntime[[#This Row],[Maintenance Downtime Hours]]="","",tblDowntime[[#This Row],[Equipment ID]])</f>
        <v/>
      </c>
      <c r="N1930" s="1">
        <f>IF(tblDowntime[[#This Row],[Failure Type]]="Production",tblDowntime[[#This Row],[Downtime Hours]],"")</f>
        <v/>
      </c>
      <c r="O1930">
        <f>IF(tblDowntime[[#This Row],[Production Downtime Hours]]="","",tblDowntime[[#This Row],[Equipment ID]])</f>
        <v/>
      </c>
      <c r="P1930" s="10" t="n"/>
    </row>
    <row r="1931">
      <c r="B1931">
        <f t="array" ref="B1931">_xlfn.XLOOKUP(C1931,INDIRECT("tblEquipment[Equipment ID]"),INDIRECT("tblEquipment[Production Department]"),"")</f>
        <v/>
      </c>
      <c r="D1931">
        <f t="array" ref="D1931">_xlfn.XLOOKUP(C1931,INDIRECT("tblEquipment[Equipment ID]"),INDIRECT("tblEquipment[Equipment Name]"),"")</f>
        <v/>
      </c>
      <c r="F1931" s="16" t="n"/>
      <c r="G1931" s="16" t="n"/>
      <c r="H1931" s="1">
        <f>IF(OR(F1931=0,G1931=0),"",(G1931-F1931)*24)</f>
        <v/>
      </c>
      <c r="I1931" s="10" t="n"/>
      <c r="J1931" s="1">
        <f>IF(OR(tblDowntime[[#This Row],[Failure Type]]="Sawshop",tblDowntime[[#This Row],[Failure Type]]="Electrical",tblDowntime[[#This Row],[Failure Type]]="Mechanical"),tblDowntime[[#This Row],[Downtime Hours]],"")</f>
        <v/>
      </c>
      <c r="K1931" s="10" t="n"/>
      <c r="L1931" s="10" t="n"/>
      <c r="M1931">
        <f>IF(tblDowntime[[#This Row],[Maintenance Downtime Hours]]="","",tblDowntime[[#This Row],[Equipment ID]])</f>
        <v/>
      </c>
      <c r="N1931" s="1">
        <f>IF(tblDowntime[[#This Row],[Failure Type]]="Production",tblDowntime[[#This Row],[Downtime Hours]],"")</f>
        <v/>
      </c>
      <c r="O1931">
        <f>IF(tblDowntime[[#This Row],[Production Downtime Hours]]="","",tblDowntime[[#This Row],[Equipment ID]])</f>
        <v/>
      </c>
      <c r="P1931" s="10" t="n"/>
    </row>
    <row r="1932">
      <c r="B1932">
        <f t="array" ref="B1932">_xlfn.XLOOKUP(C1932,INDIRECT("tblEquipment[Equipment ID]"),INDIRECT("tblEquipment[Production Department]"),"")</f>
        <v/>
      </c>
      <c r="D1932">
        <f t="array" ref="D1932">_xlfn.XLOOKUP(C1932,INDIRECT("tblEquipment[Equipment ID]"),INDIRECT("tblEquipment[Equipment Name]"),"")</f>
        <v/>
      </c>
      <c r="F1932" s="16" t="n"/>
      <c r="G1932" s="16" t="n"/>
      <c r="H1932" s="1">
        <f>IF(OR(F1932=0,G1932=0),"",(G1932-F1932)*24)</f>
        <v/>
      </c>
      <c r="I1932" s="10" t="n"/>
      <c r="J1932" s="1">
        <f>IF(OR(tblDowntime[[#This Row],[Failure Type]]="Sawshop",tblDowntime[[#This Row],[Failure Type]]="Electrical",tblDowntime[[#This Row],[Failure Type]]="Mechanical"),tblDowntime[[#This Row],[Downtime Hours]],"")</f>
        <v/>
      </c>
      <c r="K1932" s="10" t="n"/>
      <c r="L1932" s="10" t="n"/>
      <c r="M1932">
        <f>IF(tblDowntime[[#This Row],[Maintenance Downtime Hours]]="","",tblDowntime[[#This Row],[Equipment ID]])</f>
        <v/>
      </c>
      <c r="N1932" s="1">
        <f>IF(tblDowntime[[#This Row],[Failure Type]]="Production",tblDowntime[[#This Row],[Downtime Hours]],"")</f>
        <v/>
      </c>
      <c r="O1932">
        <f>IF(tblDowntime[[#This Row],[Production Downtime Hours]]="","",tblDowntime[[#This Row],[Equipment ID]])</f>
        <v/>
      </c>
      <c r="P1932" s="10" t="n"/>
    </row>
    <row r="1933">
      <c r="B1933">
        <f t="array" ref="B1933">_xlfn.XLOOKUP(C1933,INDIRECT("tblEquipment[Equipment ID]"),INDIRECT("tblEquipment[Production Department]"),"")</f>
        <v/>
      </c>
      <c r="D1933">
        <f t="array" ref="D1933">_xlfn.XLOOKUP(C1933,INDIRECT("tblEquipment[Equipment ID]"),INDIRECT("tblEquipment[Equipment Name]"),"")</f>
        <v/>
      </c>
      <c r="F1933" s="16" t="n"/>
      <c r="G1933" s="16" t="n"/>
      <c r="H1933" s="1">
        <f>IF(OR(F1933=0,G1933=0),"",(G1933-F1933)*24)</f>
        <v/>
      </c>
      <c r="I1933" s="10" t="n"/>
      <c r="J1933" s="1">
        <f>IF(OR(tblDowntime[[#This Row],[Failure Type]]="Sawshop",tblDowntime[[#This Row],[Failure Type]]="Electrical",tblDowntime[[#This Row],[Failure Type]]="Mechanical"),tblDowntime[[#This Row],[Downtime Hours]],"")</f>
        <v/>
      </c>
      <c r="K1933" s="10" t="n"/>
      <c r="L1933" s="10" t="n"/>
      <c r="M1933">
        <f>IF(tblDowntime[[#This Row],[Maintenance Downtime Hours]]="","",tblDowntime[[#This Row],[Equipment ID]])</f>
        <v/>
      </c>
      <c r="N1933" s="1">
        <f>IF(tblDowntime[[#This Row],[Failure Type]]="Production",tblDowntime[[#This Row],[Downtime Hours]],"")</f>
        <v/>
      </c>
      <c r="O1933">
        <f>IF(tblDowntime[[#This Row],[Production Downtime Hours]]="","",tblDowntime[[#This Row],[Equipment ID]])</f>
        <v/>
      </c>
      <c r="P1933" s="10" t="n"/>
    </row>
    <row r="1934">
      <c r="B1934">
        <f t="array" ref="B1934">_xlfn.XLOOKUP(C1934,INDIRECT("tblEquipment[Equipment ID]"),INDIRECT("tblEquipment[Production Department]"),"")</f>
        <v/>
      </c>
      <c r="D1934">
        <f t="array" ref="D1934">_xlfn.XLOOKUP(C1934,INDIRECT("tblEquipment[Equipment ID]"),INDIRECT("tblEquipment[Equipment Name]"),"")</f>
        <v/>
      </c>
      <c r="F1934" s="16" t="n"/>
      <c r="G1934" s="16" t="n"/>
      <c r="H1934" s="1">
        <f>IF(OR(F1934=0,G1934=0),"",(G1934-F1934)*24)</f>
        <v/>
      </c>
      <c r="I1934" s="10" t="n"/>
      <c r="J1934" s="1">
        <f>IF(OR(tblDowntime[[#This Row],[Failure Type]]="Sawshop",tblDowntime[[#This Row],[Failure Type]]="Electrical",tblDowntime[[#This Row],[Failure Type]]="Mechanical"),tblDowntime[[#This Row],[Downtime Hours]],"")</f>
        <v/>
      </c>
      <c r="K1934" s="10" t="n"/>
      <c r="L1934" s="10" t="n"/>
      <c r="M1934">
        <f>IF(tblDowntime[[#This Row],[Maintenance Downtime Hours]]="","",tblDowntime[[#This Row],[Equipment ID]])</f>
        <v/>
      </c>
      <c r="N1934" s="1">
        <f>IF(tblDowntime[[#This Row],[Failure Type]]="Production",tblDowntime[[#This Row],[Downtime Hours]],"")</f>
        <v/>
      </c>
      <c r="O1934">
        <f>IF(tblDowntime[[#This Row],[Production Downtime Hours]]="","",tblDowntime[[#This Row],[Equipment ID]])</f>
        <v/>
      </c>
      <c r="P1934" s="10" t="n"/>
    </row>
    <row r="1935">
      <c r="B1935">
        <f t="array" ref="B1935">_xlfn.XLOOKUP(C1935,INDIRECT("tblEquipment[Equipment ID]"),INDIRECT("tblEquipment[Production Department]"),"")</f>
        <v/>
      </c>
      <c r="D1935">
        <f t="array" ref="D1935">_xlfn.XLOOKUP(C1935,INDIRECT("tblEquipment[Equipment ID]"),INDIRECT("tblEquipment[Equipment Name]"),"")</f>
        <v/>
      </c>
      <c r="F1935" s="16" t="n"/>
      <c r="G1935" s="16" t="n"/>
      <c r="H1935" s="1">
        <f>IF(OR(F1935=0,G1935=0),"",(G1935-F1935)*24)</f>
        <v/>
      </c>
      <c r="I1935" s="10" t="n"/>
      <c r="J1935" s="1">
        <f>IF(OR(tblDowntime[[#This Row],[Failure Type]]="Sawshop",tblDowntime[[#This Row],[Failure Type]]="Electrical",tblDowntime[[#This Row],[Failure Type]]="Mechanical"),tblDowntime[[#This Row],[Downtime Hours]],"")</f>
        <v/>
      </c>
      <c r="K1935" s="10" t="n"/>
      <c r="L1935" s="10" t="n"/>
      <c r="M1935">
        <f>IF(tblDowntime[[#This Row],[Maintenance Downtime Hours]]="","",tblDowntime[[#This Row],[Equipment ID]])</f>
        <v/>
      </c>
      <c r="N1935" s="1">
        <f>IF(tblDowntime[[#This Row],[Failure Type]]="Production",tblDowntime[[#This Row],[Downtime Hours]],"")</f>
        <v/>
      </c>
      <c r="O1935">
        <f>IF(tblDowntime[[#This Row],[Production Downtime Hours]]="","",tblDowntime[[#This Row],[Equipment ID]])</f>
        <v/>
      </c>
      <c r="P1935" s="10" t="n"/>
    </row>
    <row r="1936">
      <c r="B1936">
        <f t="array" ref="B1936">_xlfn.XLOOKUP(C1936,INDIRECT("tblEquipment[Equipment ID]"),INDIRECT("tblEquipment[Production Department]"),"")</f>
        <v/>
      </c>
      <c r="D1936">
        <f t="array" ref="D1936">_xlfn.XLOOKUP(C1936,INDIRECT("tblEquipment[Equipment ID]"),INDIRECT("tblEquipment[Equipment Name]"),"")</f>
        <v/>
      </c>
      <c r="F1936" s="16" t="n"/>
      <c r="G1936" s="16" t="n"/>
      <c r="H1936" s="1">
        <f>IF(OR(F1936=0,G1936=0),"",(G1936-F1936)*24)</f>
        <v/>
      </c>
      <c r="I1936" s="10" t="n"/>
      <c r="J1936" s="1">
        <f>IF(OR(tblDowntime[[#This Row],[Failure Type]]="Sawshop",tblDowntime[[#This Row],[Failure Type]]="Electrical",tblDowntime[[#This Row],[Failure Type]]="Mechanical"),tblDowntime[[#This Row],[Downtime Hours]],"")</f>
        <v/>
      </c>
      <c r="K1936" s="10" t="n"/>
      <c r="L1936" s="10" t="n"/>
      <c r="M1936">
        <f>IF(tblDowntime[[#This Row],[Maintenance Downtime Hours]]="","",tblDowntime[[#This Row],[Equipment ID]])</f>
        <v/>
      </c>
      <c r="N1936" s="1">
        <f>IF(tblDowntime[[#This Row],[Failure Type]]="Production",tblDowntime[[#This Row],[Downtime Hours]],"")</f>
        <v/>
      </c>
      <c r="O1936">
        <f>IF(tblDowntime[[#This Row],[Production Downtime Hours]]="","",tblDowntime[[#This Row],[Equipment ID]])</f>
        <v/>
      </c>
      <c r="P1936" s="10" t="n"/>
    </row>
    <row r="1937">
      <c r="B1937">
        <f t="array" ref="B1937">_xlfn.XLOOKUP(C1937,INDIRECT("tblEquipment[Equipment ID]"),INDIRECT("tblEquipment[Production Department]"),"")</f>
        <v/>
      </c>
      <c r="D1937">
        <f t="array" ref="D1937">_xlfn.XLOOKUP(C1937,INDIRECT("tblEquipment[Equipment ID]"),INDIRECT("tblEquipment[Equipment Name]"),"")</f>
        <v/>
      </c>
      <c r="F1937" s="16" t="n"/>
      <c r="G1937" s="16" t="n"/>
      <c r="H1937" s="1">
        <f>IF(OR(F1937=0,G1937=0),"",(G1937-F1937)*24)</f>
        <v/>
      </c>
      <c r="I1937" s="10" t="n"/>
      <c r="J1937" s="1">
        <f>IF(OR(tblDowntime[[#This Row],[Failure Type]]="Sawshop",tblDowntime[[#This Row],[Failure Type]]="Electrical",tblDowntime[[#This Row],[Failure Type]]="Mechanical"),tblDowntime[[#This Row],[Downtime Hours]],"")</f>
        <v/>
      </c>
      <c r="K1937" s="10" t="n"/>
      <c r="L1937" s="10" t="n"/>
      <c r="M1937">
        <f>IF(tblDowntime[[#This Row],[Maintenance Downtime Hours]]="","",tblDowntime[[#This Row],[Equipment ID]])</f>
        <v/>
      </c>
      <c r="N1937" s="1">
        <f>IF(tblDowntime[[#This Row],[Failure Type]]="Production",tblDowntime[[#This Row],[Downtime Hours]],"")</f>
        <v/>
      </c>
      <c r="O1937">
        <f>IF(tblDowntime[[#This Row],[Production Downtime Hours]]="","",tblDowntime[[#This Row],[Equipment ID]])</f>
        <v/>
      </c>
      <c r="P1937" s="10" t="n"/>
    </row>
    <row r="1938">
      <c r="B1938">
        <f t="array" ref="B1938">_xlfn.XLOOKUP(C1938,INDIRECT("tblEquipment[Equipment ID]"),INDIRECT("tblEquipment[Production Department]"),"")</f>
        <v/>
      </c>
      <c r="D1938">
        <f t="array" ref="D1938">_xlfn.XLOOKUP(C1938,INDIRECT("tblEquipment[Equipment ID]"),INDIRECT("tblEquipment[Equipment Name]"),"")</f>
        <v/>
      </c>
      <c r="F1938" s="16" t="n"/>
      <c r="G1938" s="16" t="n"/>
      <c r="H1938" s="1">
        <f>IF(OR(F1938=0,G1938=0),"",(G1938-F1938)*24)</f>
        <v/>
      </c>
      <c r="I1938" s="10" t="n"/>
      <c r="J1938" s="1">
        <f>IF(OR(tblDowntime[[#This Row],[Failure Type]]="Sawshop",tblDowntime[[#This Row],[Failure Type]]="Electrical",tblDowntime[[#This Row],[Failure Type]]="Mechanical"),tblDowntime[[#This Row],[Downtime Hours]],"")</f>
        <v/>
      </c>
      <c r="K1938" s="10" t="n"/>
      <c r="L1938" s="10" t="n"/>
      <c r="M1938">
        <f>IF(tblDowntime[[#This Row],[Maintenance Downtime Hours]]="","",tblDowntime[[#This Row],[Equipment ID]])</f>
        <v/>
      </c>
      <c r="N1938" s="1">
        <f>IF(tblDowntime[[#This Row],[Failure Type]]="Production",tblDowntime[[#This Row],[Downtime Hours]],"")</f>
        <v/>
      </c>
      <c r="O1938">
        <f>IF(tblDowntime[[#This Row],[Production Downtime Hours]]="","",tblDowntime[[#This Row],[Equipment ID]])</f>
        <v/>
      </c>
      <c r="P1938" s="10" t="n"/>
    </row>
    <row r="1939">
      <c r="B1939">
        <f t="array" ref="B1939">_xlfn.XLOOKUP(C1939,INDIRECT("tblEquipment[Equipment ID]"),INDIRECT("tblEquipment[Production Department]"),"")</f>
        <v/>
      </c>
      <c r="D1939">
        <f t="array" ref="D1939">_xlfn.XLOOKUP(C1939,INDIRECT("tblEquipment[Equipment ID]"),INDIRECT("tblEquipment[Equipment Name]"),"")</f>
        <v/>
      </c>
      <c r="F1939" s="16" t="n"/>
      <c r="G1939" s="16" t="n"/>
      <c r="H1939" s="1">
        <f>IF(OR(F1939=0,G1939=0),"",(G1939-F1939)*24)</f>
        <v/>
      </c>
      <c r="I1939" s="10" t="n"/>
      <c r="J1939" s="1">
        <f>IF(OR(tblDowntime[[#This Row],[Failure Type]]="Sawshop",tblDowntime[[#This Row],[Failure Type]]="Electrical",tblDowntime[[#This Row],[Failure Type]]="Mechanical"),tblDowntime[[#This Row],[Downtime Hours]],"")</f>
        <v/>
      </c>
      <c r="K1939" s="10" t="n"/>
      <c r="L1939" s="10" t="n"/>
      <c r="M1939">
        <f>IF(tblDowntime[[#This Row],[Maintenance Downtime Hours]]="","",tblDowntime[[#This Row],[Equipment ID]])</f>
        <v/>
      </c>
      <c r="N1939" s="1">
        <f>IF(tblDowntime[[#This Row],[Failure Type]]="Production",tblDowntime[[#This Row],[Downtime Hours]],"")</f>
        <v/>
      </c>
      <c r="O1939">
        <f>IF(tblDowntime[[#This Row],[Production Downtime Hours]]="","",tblDowntime[[#This Row],[Equipment ID]])</f>
        <v/>
      </c>
      <c r="P1939" s="10" t="n"/>
    </row>
    <row r="1940">
      <c r="B1940">
        <f t="array" ref="B1940">_xlfn.XLOOKUP(C1940,INDIRECT("tblEquipment[Equipment ID]"),INDIRECT("tblEquipment[Production Department]"),"")</f>
        <v/>
      </c>
      <c r="D1940">
        <f t="array" ref="D1940">_xlfn.XLOOKUP(C1940,INDIRECT("tblEquipment[Equipment ID]"),INDIRECT("tblEquipment[Equipment Name]"),"")</f>
        <v/>
      </c>
      <c r="F1940" s="16" t="n"/>
      <c r="G1940" s="16" t="n"/>
      <c r="H1940" s="1">
        <f>IF(OR(F1940=0,G1940=0),"",(G1940-F1940)*24)</f>
        <v/>
      </c>
      <c r="I1940" s="10" t="n"/>
      <c r="J1940" s="1">
        <f>IF(OR(tblDowntime[[#This Row],[Failure Type]]="Sawshop",tblDowntime[[#This Row],[Failure Type]]="Electrical",tblDowntime[[#This Row],[Failure Type]]="Mechanical"),tblDowntime[[#This Row],[Downtime Hours]],"")</f>
        <v/>
      </c>
      <c r="K1940" s="10" t="n"/>
      <c r="L1940" s="10" t="n"/>
      <c r="M1940">
        <f>IF(tblDowntime[[#This Row],[Maintenance Downtime Hours]]="","",tblDowntime[[#This Row],[Equipment ID]])</f>
        <v/>
      </c>
      <c r="N1940" s="1">
        <f>IF(tblDowntime[[#This Row],[Failure Type]]="Production",tblDowntime[[#This Row],[Downtime Hours]],"")</f>
        <v/>
      </c>
      <c r="O1940">
        <f>IF(tblDowntime[[#This Row],[Production Downtime Hours]]="","",tblDowntime[[#This Row],[Equipment ID]])</f>
        <v/>
      </c>
      <c r="P1940" s="10" t="n"/>
    </row>
    <row r="1941">
      <c r="B1941">
        <f t="array" ref="B1941">_xlfn.XLOOKUP(C1941,INDIRECT("tblEquipment[Equipment ID]"),INDIRECT("tblEquipment[Production Department]"),"")</f>
        <v/>
      </c>
      <c r="D1941">
        <f t="array" ref="D1941">_xlfn.XLOOKUP(C1941,INDIRECT("tblEquipment[Equipment ID]"),INDIRECT("tblEquipment[Equipment Name]"),"")</f>
        <v/>
      </c>
      <c r="F1941" s="16" t="n"/>
      <c r="G1941" s="16" t="n"/>
      <c r="H1941" s="1">
        <f>IF(OR(F1941=0,G1941=0),"",(G1941-F1941)*24)</f>
        <v/>
      </c>
      <c r="I1941" s="10" t="n"/>
      <c r="J1941" s="1">
        <f>IF(OR(tblDowntime[[#This Row],[Failure Type]]="Sawshop",tblDowntime[[#This Row],[Failure Type]]="Electrical",tblDowntime[[#This Row],[Failure Type]]="Mechanical"),tblDowntime[[#This Row],[Downtime Hours]],"")</f>
        <v/>
      </c>
      <c r="K1941" s="10" t="n"/>
      <c r="L1941" s="10" t="n"/>
      <c r="M1941">
        <f>IF(tblDowntime[[#This Row],[Maintenance Downtime Hours]]="","",tblDowntime[[#This Row],[Equipment ID]])</f>
        <v/>
      </c>
      <c r="N1941" s="1">
        <f>IF(tblDowntime[[#This Row],[Failure Type]]="Production",tblDowntime[[#This Row],[Downtime Hours]],"")</f>
        <v/>
      </c>
      <c r="O1941">
        <f>IF(tblDowntime[[#This Row],[Production Downtime Hours]]="","",tblDowntime[[#This Row],[Equipment ID]])</f>
        <v/>
      </c>
      <c r="P1941" s="10" t="n"/>
    </row>
    <row r="1942">
      <c r="B1942">
        <f t="array" ref="B1942">_xlfn.XLOOKUP(C1942,INDIRECT("tblEquipment[Equipment ID]"),INDIRECT("tblEquipment[Production Department]"),"")</f>
        <v/>
      </c>
      <c r="D1942">
        <f t="array" ref="D1942">_xlfn.XLOOKUP(C1942,INDIRECT("tblEquipment[Equipment ID]"),INDIRECT("tblEquipment[Equipment Name]"),"")</f>
        <v/>
      </c>
      <c r="F1942" s="16" t="n"/>
      <c r="G1942" s="16" t="n"/>
      <c r="H1942" s="1">
        <f>IF(OR(F1942=0,G1942=0),"",(G1942-F1942)*24)</f>
        <v/>
      </c>
      <c r="I1942" s="10" t="n"/>
      <c r="J1942" s="1">
        <f>IF(OR(tblDowntime[[#This Row],[Failure Type]]="Sawshop",tblDowntime[[#This Row],[Failure Type]]="Electrical",tblDowntime[[#This Row],[Failure Type]]="Mechanical"),tblDowntime[[#This Row],[Downtime Hours]],"")</f>
        <v/>
      </c>
      <c r="K1942" s="10" t="n"/>
      <c r="L1942" s="10" t="n"/>
      <c r="M1942">
        <f>IF(tblDowntime[[#This Row],[Maintenance Downtime Hours]]="","",tblDowntime[[#This Row],[Equipment ID]])</f>
        <v/>
      </c>
      <c r="N1942" s="1">
        <f>IF(tblDowntime[[#This Row],[Failure Type]]="Production",tblDowntime[[#This Row],[Downtime Hours]],"")</f>
        <v/>
      </c>
      <c r="O1942">
        <f>IF(tblDowntime[[#This Row],[Production Downtime Hours]]="","",tblDowntime[[#This Row],[Equipment ID]])</f>
        <v/>
      </c>
      <c r="P1942" s="10" t="n"/>
    </row>
    <row r="1943">
      <c r="B1943">
        <f t="array" ref="B1943">_xlfn.XLOOKUP(C1943,INDIRECT("tblEquipment[Equipment ID]"),INDIRECT("tblEquipment[Production Department]"),"")</f>
        <v/>
      </c>
      <c r="D1943">
        <f t="array" ref="D1943">_xlfn.XLOOKUP(C1943,INDIRECT("tblEquipment[Equipment ID]"),INDIRECT("tblEquipment[Equipment Name]"),"")</f>
        <v/>
      </c>
      <c r="F1943" s="16" t="n"/>
      <c r="G1943" s="16" t="n"/>
      <c r="H1943" s="1">
        <f>IF(OR(F1943=0,G1943=0),"",(G1943-F1943)*24)</f>
        <v/>
      </c>
      <c r="I1943" s="10" t="n"/>
      <c r="J1943" s="1">
        <f>IF(OR(tblDowntime[[#This Row],[Failure Type]]="Sawshop",tblDowntime[[#This Row],[Failure Type]]="Electrical",tblDowntime[[#This Row],[Failure Type]]="Mechanical"),tblDowntime[[#This Row],[Downtime Hours]],"")</f>
        <v/>
      </c>
      <c r="K1943" s="10" t="n"/>
      <c r="L1943" s="10" t="n"/>
      <c r="M1943">
        <f>IF(tblDowntime[[#This Row],[Maintenance Downtime Hours]]="","",tblDowntime[[#This Row],[Equipment ID]])</f>
        <v/>
      </c>
      <c r="N1943" s="1">
        <f>IF(tblDowntime[[#This Row],[Failure Type]]="Production",tblDowntime[[#This Row],[Downtime Hours]],"")</f>
        <v/>
      </c>
      <c r="O1943">
        <f>IF(tblDowntime[[#This Row],[Production Downtime Hours]]="","",tblDowntime[[#This Row],[Equipment ID]])</f>
        <v/>
      </c>
      <c r="P1943" s="10" t="n"/>
    </row>
    <row r="1944">
      <c r="B1944">
        <f t="array" ref="B1944">_xlfn.XLOOKUP(C1944,INDIRECT("tblEquipment[Equipment ID]"),INDIRECT("tblEquipment[Production Department]"),"")</f>
        <v/>
      </c>
      <c r="D1944">
        <f t="array" ref="D1944">_xlfn.XLOOKUP(C1944,INDIRECT("tblEquipment[Equipment ID]"),INDIRECT("tblEquipment[Equipment Name]"),"")</f>
        <v/>
      </c>
      <c r="F1944" s="16" t="n"/>
      <c r="G1944" s="16" t="n"/>
      <c r="H1944" s="1">
        <f>IF(OR(F1944=0,G1944=0),"",(G1944-F1944)*24)</f>
        <v/>
      </c>
      <c r="I1944" s="10" t="n"/>
      <c r="J1944" s="1">
        <f>IF(OR(tblDowntime[[#This Row],[Failure Type]]="Sawshop",tblDowntime[[#This Row],[Failure Type]]="Electrical",tblDowntime[[#This Row],[Failure Type]]="Mechanical"),tblDowntime[[#This Row],[Downtime Hours]],"")</f>
        <v/>
      </c>
      <c r="K1944" s="10" t="n"/>
      <c r="L1944" s="10" t="n"/>
      <c r="M1944">
        <f>IF(tblDowntime[[#This Row],[Maintenance Downtime Hours]]="","",tblDowntime[[#This Row],[Equipment ID]])</f>
        <v/>
      </c>
      <c r="N1944" s="1">
        <f>IF(tblDowntime[[#This Row],[Failure Type]]="Production",tblDowntime[[#This Row],[Downtime Hours]],"")</f>
        <v/>
      </c>
      <c r="O1944">
        <f>IF(tblDowntime[[#This Row],[Production Downtime Hours]]="","",tblDowntime[[#This Row],[Equipment ID]])</f>
        <v/>
      </c>
      <c r="P1944" s="10" t="n"/>
    </row>
    <row r="1945">
      <c r="B1945">
        <f t="array" ref="B1945">_xlfn.XLOOKUP(C1945,INDIRECT("tblEquipment[Equipment ID]"),INDIRECT("tblEquipment[Production Department]"),"")</f>
        <v/>
      </c>
      <c r="D1945">
        <f t="array" ref="D1945">_xlfn.XLOOKUP(C1945,INDIRECT("tblEquipment[Equipment ID]"),INDIRECT("tblEquipment[Equipment Name]"),"")</f>
        <v/>
      </c>
      <c r="F1945" s="16" t="n"/>
      <c r="G1945" s="16" t="n"/>
      <c r="H1945" s="1">
        <f>IF(OR(F1945=0,G1945=0),"",(G1945-F1945)*24)</f>
        <v/>
      </c>
      <c r="I1945" s="10" t="n"/>
      <c r="J1945" s="1">
        <f>IF(OR(tblDowntime[[#This Row],[Failure Type]]="Sawshop",tblDowntime[[#This Row],[Failure Type]]="Electrical",tblDowntime[[#This Row],[Failure Type]]="Mechanical"),tblDowntime[[#This Row],[Downtime Hours]],"")</f>
        <v/>
      </c>
      <c r="K1945" s="10" t="n"/>
      <c r="L1945" s="10" t="n"/>
      <c r="M1945">
        <f>IF(tblDowntime[[#This Row],[Maintenance Downtime Hours]]="","",tblDowntime[[#This Row],[Equipment ID]])</f>
        <v/>
      </c>
      <c r="N1945" s="1">
        <f>IF(tblDowntime[[#This Row],[Failure Type]]="Production",tblDowntime[[#This Row],[Downtime Hours]],"")</f>
        <v/>
      </c>
      <c r="O1945">
        <f>IF(tblDowntime[[#This Row],[Production Downtime Hours]]="","",tblDowntime[[#This Row],[Equipment ID]])</f>
        <v/>
      </c>
      <c r="P1945" s="10" t="n"/>
    </row>
    <row r="1946">
      <c r="B1946">
        <f t="array" ref="B1946">_xlfn.XLOOKUP(C1946,INDIRECT("tblEquipment[Equipment ID]"),INDIRECT("tblEquipment[Production Department]"),"")</f>
        <v/>
      </c>
      <c r="D1946">
        <f t="array" ref="D1946">_xlfn.XLOOKUP(C1946,INDIRECT("tblEquipment[Equipment ID]"),INDIRECT("tblEquipment[Equipment Name]"),"")</f>
        <v/>
      </c>
      <c r="F1946" s="16" t="n"/>
      <c r="G1946" s="16" t="n"/>
      <c r="H1946" s="1">
        <f>IF(OR(F1946=0,G1946=0),"",(G1946-F1946)*24)</f>
        <v/>
      </c>
      <c r="I1946" s="10" t="n"/>
      <c r="J1946" s="1">
        <f>IF(OR(tblDowntime[[#This Row],[Failure Type]]="Sawshop",tblDowntime[[#This Row],[Failure Type]]="Electrical",tblDowntime[[#This Row],[Failure Type]]="Mechanical"),tblDowntime[[#This Row],[Downtime Hours]],"")</f>
        <v/>
      </c>
      <c r="K1946" s="10" t="n"/>
      <c r="L1946" s="10" t="n"/>
      <c r="M1946">
        <f>IF(tblDowntime[[#This Row],[Maintenance Downtime Hours]]="","",tblDowntime[[#This Row],[Equipment ID]])</f>
        <v/>
      </c>
      <c r="N1946" s="1">
        <f>IF(tblDowntime[[#This Row],[Failure Type]]="Production",tblDowntime[[#This Row],[Downtime Hours]],"")</f>
        <v/>
      </c>
      <c r="O1946">
        <f>IF(tblDowntime[[#This Row],[Production Downtime Hours]]="","",tblDowntime[[#This Row],[Equipment ID]])</f>
        <v/>
      </c>
      <c r="P1946" s="10" t="n"/>
    </row>
    <row r="1947">
      <c r="B1947">
        <f t="array" ref="B1947">_xlfn.XLOOKUP(C1947,INDIRECT("tblEquipment[Equipment ID]"),INDIRECT("tblEquipment[Production Department]"),"")</f>
        <v/>
      </c>
      <c r="D1947">
        <f t="array" ref="D1947">_xlfn.XLOOKUP(C1947,INDIRECT("tblEquipment[Equipment ID]"),INDIRECT("tblEquipment[Equipment Name]"),"")</f>
        <v/>
      </c>
      <c r="F1947" s="16" t="n"/>
      <c r="G1947" s="16" t="n"/>
      <c r="H1947" s="1">
        <f>IF(OR(F1947=0,G1947=0),"",(G1947-F1947)*24)</f>
        <v/>
      </c>
      <c r="I1947" s="10" t="n"/>
      <c r="J1947" s="1">
        <f>IF(OR(tblDowntime[[#This Row],[Failure Type]]="Sawshop",tblDowntime[[#This Row],[Failure Type]]="Electrical",tblDowntime[[#This Row],[Failure Type]]="Mechanical"),tblDowntime[[#This Row],[Downtime Hours]],"")</f>
        <v/>
      </c>
      <c r="K1947" s="10" t="n"/>
      <c r="L1947" s="10" t="n"/>
      <c r="M1947">
        <f>IF(tblDowntime[[#This Row],[Maintenance Downtime Hours]]="","",tblDowntime[[#This Row],[Equipment ID]])</f>
        <v/>
      </c>
      <c r="N1947" s="1">
        <f>IF(tblDowntime[[#This Row],[Failure Type]]="Production",tblDowntime[[#This Row],[Downtime Hours]],"")</f>
        <v/>
      </c>
      <c r="O1947">
        <f>IF(tblDowntime[[#This Row],[Production Downtime Hours]]="","",tblDowntime[[#This Row],[Equipment ID]])</f>
        <v/>
      </c>
      <c r="P1947" s="10" t="n"/>
    </row>
    <row r="1948">
      <c r="B1948">
        <f t="array" ref="B1948">_xlfn.XLOOKUP(C1948,INDIRECT("tblEquipment[Equipment ID]"),INDIRECT("tblEquipment[Production Department]"),"")</f>
        <v/>
      </c>
      <c r="D1948">
        <f t="array" ref="D1948">_xlfn.XLOOKUP(C1948,INDIRECT("tblEquipment[Equipment ID]"),INDIRECT("tblEquipment[Equipment Name]"),"")</f>
        <v/>
      </c>
      <c r="F1948" s="16" t="n"/>
      <c r="G1948" s="16" t="n"/>
      <c r="H1948" s="1">
        <f>IF(OR(F1948=0,G1948=0),"",(G1948-F1948)*24)</f>
        <v/>
      </c>
      <c r="I1948" s="10" t="n"/>
      <c r="J1948" s="1">
        <f>IF(OR(tblDowntime[[#This Row],[Failure Type]]="Sawshop",tblDowntime[[#This Row],[Failure Type]]="Electrical",tblDowntime[[#This Row],[Failure Type]]="Mechanical"),tblDowntime[[#This Row],[Downtime Hours]],"")</f>
        <v/>
      </c>
      <c r="K1948" s="10" t="n"/>
      <c r="L1948" s="10" t="n"/>
      <c r="M1948">
        <f>IF(tblDowntime[[#This Row],[Maintenance Downtime Hours]]="","",tblDowntime[[#This Row],[Equipment ID]])</f>
        <v/>
      </c>
      <c r="N1948" s="1">
        <f>IF(tblDowntime[[#This Row],[Failure Type]]="Production",tblDowntime[[#This Row],[Downtime Hours]],"")</f>
        <v/>
      </c>
      <c r="O1948">
        <f>IF(tblDowntime[[#This Row],[Production Downtime Hours]]="","",tblDowntime[[#This Row],[Equipment ID]])</f>
        <v/>
      </c>
      <c r="P1948" s="10" t="n"/>
    </row>
    <row r="1949">
      <c r="B1949">
        <f t="array" ref="B1949">_xlfn.XLOOKUP(C1949,INDIRECT("tblEquipment[Equipment ID]"),INDIRECT("tblEquipment[Production Department]"),"")</f>
        <v/>
      </c>
      <c r="D1949">
        <f t="array" ref="D1949">_xlfn.XLOOKUP(C1949,INDIRECT("tblEquipment[Equipment ID]"),INDIRECT("tblEquipment[Equipment Name]"),"")</f>
        <v/>
      </c>
      <c r="F1949" s="16" t="n"/>
      <c r="G1949" s="16" t="n"/>
      <c r="H1949" s="1">
        <f>IF(OR(F1949=0,G1949=0),"",(G1949-F1949)*24)</f>
        <v/>
      </c>
      <c r="I1949" s="10" t="n"/>
      <c r="J1949" s="1">
        <f>IF(OR(tblDowntime[[#This Row],[Failure Type]]="Sawshop",tblDowntime[[#This Row],[Failure Type]]="Electrical",tblDowntime[[#This Row],[Failure Type]]="Mechanical"),tblDowntime[[#This Row],[Downtime Hours]],"")</f>
        <v/>
      </c>
      <c r="K1949" s="10" t="n"/>
      <c r="L1949" s="10" t="n"/>
      <c r="M1949">
        <f>IF(tblDowntime[[#This Row],[Maintenance Downtime Hours]]="","",tblDowntime[[#This Row],[Equipment ID]])</f>
        <v/>
      </c>
      <c r="N1949" s="1">
        <f>IF(tblDowntime[[#This Row],[Failure Type]]="Production",tblDowntime[[#This Row],[Downtime Hours]],"")</f>
        <v/>
      </c>
      <c r="O1949">
        <f>IF(tblDowntime[[#This Row],[Production Downtime Hours]]="","",tblDowntime[[#This Row],[Equipment ID]])</f>
        <v/>
      </c>
      <c r="P1949" s="10" t="n"/>
    </row>
    <row r="1950">
      <c r="B1950">
        <f t="array" ref="B1950">_xlfn.XLOOKUP(C1950,INDIRECT("tblEquipment[Equipment ID]"),INDIRECT("tblEquipment[Production Department]"),"")</f>
        <v/>
      </c>
      <c r="D1950">
        <f t="array" ref="D1950">_xlfn.XLOOKUP(C1950,INDIRECT("tblEquipment[Equipment ID]"),INDIRECT("tblEquipment[Equipment Name]"),"")</f>
        <v/>
      </c>
      <c r="F1950" s="16" t="n"/>
      <c r="G1950" s="16" t="n"/>
      <c r="H1950" s="1">
        <f>IF(OR(F1950=0,G1950=0),"",(G1950-F1950)*24)</f>
        <v/>
      </c>
      <c r="I1950" s="10" t="n"/>
      <c r="J1950" s="1">
        <f>IF(OR(tblDowntime[[#This Row],[Failure Type]]="Sawshop",tblDowntime[[#This Row],[Failure Type]]="Electrical",tblDowntime[[#This Row],[Failure Type]]="Mechanical"),tblDowntime[[#This Row],[Downtime Hours]],"")</f>
        <v/>
      </c>
      <c r="K1950" s="10" t="n"/>
      <c r="L1950" s="10" t="n"/>
      <c r="M1950">
        <f>IF(tblDowntime[[#This Row],[Maintenance Downtime Hours]]="","",tblDowntime[[#This Row],[Equipment ID]])</f>
        <v/>
      </c>
      <c r="N1950" s="1">
        <f>IF(tblDowntime[[#This Row],[Failure Type]]="Production",tblDowntime[[#This Row],[Downtime Hours]],"")</f>
        <v/>
      </c>
      <c r="O1950">
        <f>IF(tblDowntime[[#This Row],[Production Downtime Hours]]="","",tblDowntime[[#This Row],[Equipment ID]])</f>
        <v/>
      </c>
      <c r="P1950" s="10" t="n"/>
    </row>
    <row r="1951">
      <c r="B1951">
        <f t="array" ref="B1951">_xlfn.XLOOKUP(C1951,INDIRECT("tblEquipment[Equipment ID]"),INDIRECT("tblEquipment[Production Department]"),"")</f>
        <v/>
      </c>
      <c r="D1951">
        <f t="array" ref="D1951">_xlfn.XLOOKUP(C1951,INDIRECT("tblEquipment[Equipment ID]"),INDIRECT("tblEquipment[Equipment Name]"),"")</f>
        <v/>
      </c>
      <c r="F1951" s="16" t="n"/>
      <c r="G1951" s="16" t="n"/>
      <c r="H1951" s="1">
        <f>IF(OR(F1951=0,G1951=0),"",(G1951-F1951)*24)</f>
        <v/>
      </c>
      <c r="I1951" s="10" t="n"/>
      <c r="J1951" s="1">
        <f>IF(OR(tblDowntime[[#This Row],[Failure Type]]="Sawshop",tblDowntime[[#This Row],[Failure Type]]="Electrical",tblDowntime[[#This Row],[Failure Type]]="Mechanical"),tblDowntime[[#This Row],[Downtime Hours]],"")</f>
        <v/>
      </c>
      <c r="K1951" s="10" t="n"/>
      <c r="L1951" s="10" t="n"/>
      <c r="M1951">
        <f>IF(tblDowntime[[#This Row],[Maintenance Downtime Hours]]="","",tblDowntime[[#This Row],[Equipment ID]])</f>
        <v/>
      </c>
      <c r="N1951" s="1">
        <f>IF(tblDowntime[[#This Row],[Failure Type]]="Production",tblDowntime[[#This Row],[Downtime Hours]],"")</f>
        <v/>
      </c>
      <c r="O1951">
        <f>IF(tblDowntime[[#This Row],[Production Downtime Hours]]="","",tblDowntime[[#This Row],[Equipment ID]])</f>
        <v/>
      </c>
      <c r="P1951" s="10" t="n"/>
    </row>
    <row r="1952">
      <c r="B1952">
        <f t="array" ref="B1952">_xlfn.XLOOKUP(C1952,INDIRECT("tblEquipment[Equipment ID]"),INDIRECT("tblEquipment[Production Department]"),"")</f>
        <v/>
      </c>
      <c r="D1952">
        <f t="array" ref="D1952">_xlfn.XLOOKUP(C1952,INDIRECT("tblEquipment[Equipment ID]"),INDIRECT("tblEquipment[Equipment Name]"),"")</f>
        <v/>
      </c>
      <c r="F1952" s="16" t="n"/>
      <c r="G1952" s="16" t="n"/>
      <c r="H1952" s="1">
        <f>IF(OR(F1952=0,G1952=0),"",(G1952-F1952)*24)</f>
        <v/>
      </c>
      <c r="I1952" s="10" t="n"/>
      <c r="J1952" s="1">
        <f>IF(OR(tblDowntime[[#This Row],[Failure Type]]="Sawshop",tblDowntime[[#This Row],[Failure Type]]="Electrical",tblDowntime[[#This Row],[Failure Type]]="Mechanical"),tblDowntime[[#This Row],[Downtime Hours]],"")</f>
        <v/>
      </c>
      <c r="K1952" s="10" t="n"/>
      <c r="L1952" s="10" t="n"/>
      <c r="M1952">
        <f>IF(tblDowntime[[#This Row],[Maintenance Downtime Hours]]="","",tblDowntime[[#This Row],[Equipment ID]])</f>
        <v/>
      </c>
      <c r="N1952" s="1">
        <f>IF(tblDowntime[[#This Row],[Failure Type]]="Production",tblDowntime[[#This Row],[Downtime Hours]],"")</f>
        <v/>
      </c>
      <c r="O1952">
        <f>IF(tblDowntime[[#This Row],[Production Downtime Hours]]="","",tblDowntime[[#This Row],[Equipment ID]])</f>
        <v/>
      </c>
      <c r="P1952" s="10" t="n"/>
    </row>
    <row r="1953">
      <c r="B1953">
        <f t="array" ref="B1953">_xlfn.XLOOKUP(C1953,INDIRECT("tblEquipment[Equipment ID]"),INDIRECT("tblEquipment[Production Department]"),"")</f>
        <v/>
      </c>
      <c r="D1953">
        <f t="array" ref="D1953">_xlfn.XLOOKUP(C1953,INDIRECT("tblEquipment[Equipment ID]"),INDIRECT("tblEquipment[Equipment Name]"),"")</f>
        <v/>
      </c>
      <c r="F1953" s="16" t="n"/>
      <c r="G1953" s="16" t="n"/>
      <c r="H1953" s="1">
        <f>IF(OR(F1953=0,G1953=0),"",(G1953-F1953)*24)</f>
        <v/>
      </c>
      <c r="I1953" s="10" t="n"/>
      <c r="J1953" s="1">
        <f>IF(OR(tblDowntime[[#This Row],[Failure Type]]="Sawshop",tblDowntime[[#This Row],[Failure Type]]="Electrical",tblDowntime[[#This Row],[Failure Type]]="Mechanical"),tblDowntime[[#This Row],[Downtime Hours]],"")</f>
        <v/>
      </c>
      <c r="K1953" s="10" t="n"/>
      <c r="L1953" s="10" t="n"/>
      <c r="M1953">
        <f>IF(tblDowntime[[#This Row],[Maintenance Downtime Hours]]="","",tblDowntime[[#This Row],[Equipment ID]])</f>
        <v/>
      </c>
      <c r="N1953" s="1">
        <f>IF(tblDowntime[[#This Row],[Failure Type]]="Production",tblDowntime[[#This Row],[Downtime Hours]],"")</f>
        <v/>
      </c>
      <c r="O1953">
        <f>IF(tblDowntime[[#This Row],[Production Downtime Hours]]="","",tblDowntime[[#This Row],[Equipment ID]])</f>
        <v/>
      </c>
      <c r="P1953" s="10" t="n"/>
    </row>
    <row r="1954">
      <c r="B1954">
        <f t="array" ref="B1954">_xlfn.XLOOKUP(C1954,INDIRECT("tblEquipment[Equipment ID]"),INDIRECT("tblEquipment[Production Department]"),"")</f>
        <v/>
      </c>
      <c r="D1954">
        <f t="array" ref="D1954">_xlfn.XLOOKUP(C1954,INDIRECT("tblEquipment[Equipment ID]"),INDIRECT("tblEquipment[Equipment Name]"),"")</f>
        <v/>
      </c>
      <c r="F1954" s="16" t="n"/>
      <c r="G1954" s="16" t="n"/>
      <c r="H1954" s="1">
        <f>IF(OR(F1954=0,G1954=0),"",(G1954-F1954)*24)</f>
        <v/>
      </c>
      <c r="I1954" s="10" t="n"/>
      <c r="J1954" s="1">
        <f>IF(OR(tblDowntime[[#This Row],[Failure Type]]="Sawshop",tblDowntime[[#This Row],[Failure Type]]="Electrical",tblDowntime[[#This Row],[Failure Type]]="Mechanical"),tblDowntime[[#This Row],[Downtime Hours]],"")</f>
        <v/>
      </c>
      <c r="K1954" s="10" t="n"/>
      <c r="L1954" s="10" t="n"/>
      <c r="M1954">
        <f>IF(tblDowntime[[#This Row],[Maintenance Downtime Hours]]="","",tblDowntime[[#This Row],[Equipment ID]])</f>
        <v/>
      </c>
      <c r="N1954" s="1">
        <f>IF(tblDowntime[[#This Row],[Failure Type]]="Production",tblDowntime[[#This Row],[Downtime Hours]],"")</f>
        <v/>
      </c>
      <c r="O1954">
        <f>IF(tblDowntime[[#This Row],[Production Downtime Hours]]="","",tblDowntime[[#This Row],[Equipment ID]])</f>
        <v/>
      </c>
      <c r="P1954" s="10" t="n"/>
    </row>
    <row r="1955">
      <c r="B1955">
        <f t="array" ref="B1955">_xlfn.XLOOKUP(C1955,INDIRECT("tblEquipment[Equipment ID]"),INDIRECT("tblEquipment[Production Department]"),"")</f>
        <v/>
      </c>
      <c r="D1955">
        <f t="array" ref="D1955">_xlfn.XLOOKUP(C1955,INDIRECT("tblEquipment[Equipment ID]"),INDIRECT("tblEquipment[Equipment Name]"),"")</f>
        <v/>
      </c>
      <c r="F1955" s="16" t="n"/>
      <c r="G1955" s="16" t="n"/>
      <c r="H1955" s="1">
        <f>IF(OR(F1955=0,G1955=0),"",(G1955-F1955)*24)</f>
        <v/>
      </c>
      <c r="I1955" s="10" t="n"/>
      <c r="J1955" s="1">
        <f>IF(OR(tblDowntime[[#This Row],[Failure Type]]="Sawshop",tblDowntime[[#This Row],[Failure Type]]="Electrical",tblDowntime[[#This Row],[Failure Type]]="Mechanical"),tblDowntime[[#This Row],[Downtime Hours]],"")</f>
        <v/>
      </c>
      <c r="K1955" s="10" t="n"/>
      <c r="L1955" s="10" t="n"/>
      <c r="M1955">
        <f>IF(tblDowntime[[#This Row],[Maintenance Downtime Hours]]="","",tblDowntime[[#This Row],[Equipment ID]])</f>
        <v/>
      </c>
      <c r="N1955" s="1">
        <f>IF(tblDowntime[[#This Row],[Failure Type]]="Production",tblDowntime[[#This Row],[Downtime Hours]],"")</f>
        <v/>
      </c>
      <c r="O1955">
        <f>IF(tblDowntime[[#This Row],[Production Downtime Hours]]="","",tblDowntime[[#This Row],[Equipment ID]])</f>
        <v/>
      </c>
      <c r="P1955" s="10" t="n"/>
    </row>
    <row r="1956">
      <c r="B1956">
        <f t="array" ref="B1956">_xlfn.XLOOKUP(C1956,INDIRECT("tblEquipment[Equipment ID]"),INDIRECT("tblEquipment[Production Department]"),"")</f>
        <v/>
      </c>
      <c r="D1956">
        <f t="array" ref="D1956">_xlfn.XLOOKUP(C1956,INDIRECT("tblEquipment[Equipment ID]"),INDIRECT("tblEquipment[Equipment Name]"),"")</f>
        <v/>
      </c>
      <c r="F1956" s="16" t="n"/>
      <c r="G1956" s="16" t="n"/>
      <c r="H1956" s="1">
        <f>IF(OR(F1956=0,G1956=0),"",(G1956-F1956)*24)</f>
        <v/>
      </c>
      <c r="I1956" s="10" t="n"/>
      <c r="J1956" s="1">
        <f>IF(OR(tblDowntime[[#This Row],[Failure Type]]="Sawshop",tblDowntime[[#This Row],[Failure Type]]="Electrical",tblDowntime[[#This Row],[Failure Type]]="Mechanical"),tblDowntime[[#This Row],[Downtime Hours]],"")</f>
        <v/>
      </c>
      <c r="K1956" s="10" t="n"/>
      <c r="L1956" s="10" t="n"/>
      <c r="M1956">
        <f>IF(tblDowntime[[#This Row],[Maintenance Downtime Hours]]="","",tblDowntime[[#This Row],[Equipment ID]])</f>
        <v/>
      </c>
      <c r="N1956" s="1">
        <f>IF(tblDowntime[[#This Row],[Failure Type]]="Production",tblDowntime[[#This Row],[Downtime Hours]],"")</f>
        <v/>
      </c>
      <c r="O1956">
        <f>IF(tblDowntime[[#This Row],[Production Downtime Hours]]="","",tblDowntime[[#This Row],[Equipment ID]])</f>
        <v/>
      </c>
      <c r="P1956" s="10" t="n"/>
    </row>
    <row r="1957">
      <c r="B1957">
        <f t="array" ref="B1957">_xlfn.XLOOKUP(C1957,INDIRECT("tblEquipment[Equipment ID]"),INDIRECT("tblEquipment[Production Department]"),"")</f>
        <v/>
      </c>
      <c r="D1957">
        <f t="array" ref="D1957">_xlfn.XLOOKUP(C1957,INDIRECT("tblEquipment[Equipment ID]"),INDIRECT("tblEquipment[Equipment Name]"),"")</f>
        <v/>
      </c>
      <c r="F1957" s="16" t="n"/>
      <c r="G1957" s="16" t="n"/>
      <c r="H1957" s="1">
        <f>IF(OR(F1957=0,G1957=0),"",(G1957-F1957)*24)</f>
        <v/>
      </c>
      <c r="I1957" s="10" t="n"/>
      <c r="J1957" s="1">
        <f>IF(OR(tblDowntime[[#This Row],[Failure Type]]="Sawshop",tblDowntime[[#This Row],[Failure Type]]="Electrical",tblDowntime[[#This Row],[Failure Type]]="Mechanical"),tblDowntime[[#This Row],[Downtime Hours]],"")</f>
        <v/>
      </c>
      <c r="K1957" s="10" t="n"/>
      <c r="L1957" s="10" t="n"/>
      <c r="M1957">
        <f>IF(tblDowntime[[#This Row],[Maintenance Downtime Hours]]="","",tblDowntime[[#This Row],[Equipment ID]])</f>
        <v/>
      </c>
      <c r="N1957" s="1">
        <f>IF(tblDowntime[[#This Row],[Failure Type]]="Production",tblDowntime[[#This Row],[Downtime Hours]],"")</f>
        <v/>
      </c>
      <c r="O1957">
        <f>IF(tblDowntime[[#This Row],[Production Downtime Hours]]="","",tblDowntime[[#This Row],[Equipment ID]])</f>
        <v/>
      </c>
      <c r="P1957" s="10" t="n"/>
    </row>
    <row r="1958">
      <c r="B1958">
        <f t="array" ref="B1958">_xlfn.XLOOKUP(C1958,INDIRECT("tblEquipment[Equipment ID]"),INDIRECT("tblEquipment[Production Department]"),"")</f>
        <v/>
      </c>
      <c r="D1958">
        <f t="array" ref="D1958">_xlfn.XLOOKUP(C1958,INDIRECT("tblEquipment[Equipment ID]"),INDIRECT("tblEquipment[Equipment Name]"),"")</f>
        <v/>
      </c>
      <c r="F1958" s="16" t="n"/>
      <c r="G1958" s="16" t="n"/>
      <c r="H1958" s="1">
        <f>IF(OR(F1958=0,G1958=0),"",(G1958-F1958)*24)</f>
        <v/>
      </c>
      <c r="I1958" s="10" t="n"/>
      <c r="J1958" s="1">
        <f>IF(OR(tblDowntime[[#This Row],[Failure Type]]="Sawshop",tblDowntime[[#This Row],[Failure Type]]="Electrical",tblDowntime[[#This Row],[Failure Type]]="Mechanical"),tblDowntime[[#This Row],[Downtime Hours]],"")</f>
        <v/>
      </c>
      <c r="K1958" s="10" t="n"/>
      <c r="L1958" s="10" t="n"/>
      <c r="M1958">
        <f>IF(tblDowntime[[#This Row],[Maintenance Downtime Hours]]="","",tblDowntime[[#This Row],[Equipment ID]])</f>
        <v/>
      </c>
      <c r="N1958" s="1">
        <f>IF(tblDowntime[[#This Row],[Failure Type]]="Production",tblDowntime[[#This Row],[Downtime Hours]],"")</f>
        <v/>
      </c>
      <c r="O1958">
        <f>IF(tblDowntime[[#This Row],[Production Downtime Hours]]="","",tblDowntime[[#This Row],[Equipment ID]])</f>
        <v/>
      </c>
      <c r="P1958" s="10" t="n"/>
    </row>
    <row r="1959">
      <c r="B1959">
        <f t="array" ref="B1959">_xlfn.XLOOKUP(C1959,INDIRECT("tblEquipment[Equipment ID]"),INDIRECT("tblEquipment[Production Department]"),"")</f>
        <v/>
      </c>
      <c r="D1959">
        <f t="array" ref="D1959">_xlfn.XLOOKUP(C1959,INDIRECT("tblEquipment[Equipment ID]"),INDIRECT("tblEquipment[Equipment Name]"),"")</f>
        <v/>
      </c>
      <c r="F1959" s="16" t="n"/>
      <c r="G1959" s="16" t="n"/>
      <c r="H1959" s="1">
        <f>IF(OR(F1959=0,G1959=0),"",(G1959-F1959)*24)</f>
        <v/>
      </c>
      <c r="I1959" s="10" t="n"/>
      <c r="J1959" s="1">
        <f>IF(OR(tblDowntime[[#This Row],[Failure Type]]="Sawshop",tblDowntime[[#This Row],[Failure Type]]="Electrical",tblDowntime[[#This Row],[Failure Type]]="Mechanical"),tblDowntime[[#This Row],[Downtime Hours]],"")</f>
        <v/>
      </c>
      <c r="K1959" s="10" t="n"/>
      <c r="L1959" s="10" t="n"/>
      <c r="M1959">
        <f>IF(tblDowntime[[#This Row],[Maintenance Downtime Hours]]="","",tblDowntime[[#This Row],[Equipment ID]])</f>
        <v/>
      </c>
      <c r="N1959" s="1">
        <f>IF(tblDowntime[[#This Row],[Failure Type]]="Production",tblDowntime[[#This Row],[Downtime Hours]],"")</f>
        <v/>
      </c>
      <c r="O1959">
        <f>IF(tblDowntime[[#This Row],[Production Downtime Hours]]="","",tblDowntime[[#This Row],[Equipment ID]])</f>
        <v/>
      </c>
      <c r="P1959" s="10" t="n"/>
    </row>
    <row r="1960">
      <c r="B1960">
        <f t="array" ref="B1960">_xlfn.XLOOKUP(C1960,INDIRECT("tblEquipment[Equipment ID]"),INDIRECT("tblEquipment[Production Department]"),"")</f>
        <v/>
      </c>
      <c r="D1960">
        <f t="array" ref="D1960">_xlfn.XLOOKUP(C1960,INDIRECT("tblEquipment[Equipment ID]"),INDIRECT("tblEquipment[Equipment Name]"),"")</f>
        <v/>
      </c>
      <c r="F1960" s="16" t="n"/>
      <c r="G1960" s="16" t="n"/>
      <c r="H1960" s="1">
        <f>IF(OR(F1960=0,G1960=0),"",(G1960-F1960)*24)</f>
        <v/>
      </c>
      <c r="I1960" s="10" t="n"/>
      <c r="J1960" s="1">
        <f>IF(OR(tblDowntime[[#This Row],[Failure Type]]="Sawshop",tblDowntime[[#This Row],[Failure Type]]="Electrical",tblDowntime[[#This Row],[Failure Type]]="Mechanical"),tblDowntime[[#This Row],[Downtime Hours]],"")</f>
        <v/>
      </c>
      <c r="K1960" s="10" t="n"/>
      <c r="L1960" s="10" t="n"/>
      <c r="M1960">
        <f>IF(tblDowntime[[#This Row],[Maintenance Downtime Hours]]="","",tblDowntime[[#This Row],[Equipment ID]])</f>
        <v/>
      </c>
      <c r="N1960" s="1">
        <f>IF(tblDowntime[[#This Row],[Failure Type]]="Production",tblDowntime[[#This Row],[Downtime Hours]],"")</f>
        <v/>
      </c>
      <c r="O1960">
        <f>IF(tblDowntime[[#This Row],[Production Downtime Hours]]="","",tblDowntime[[#This Row],[Equipment ID]])</f>
        <v/>
      </c>
      <c r="P1960" s="10" t="n"/>
    </row>
    <row r="1961">
      <c r="B1961">
        <f t="array" ref="B1961">_xlfn.XLOOKUP(C1961,INDIRECT("tblEquipment[Equipment ID]"),INDIRECT("tblEquipment[Production Department]"),"")</f>
        <v/>
      </c>
      <c r="D1961">
        <f t="array" ref="D1961">_xlfn.XLOOKUP(C1961,INDIRECT("tblEquipment[Equipment ID]"),INDIRECT("tblEquipment[Equipment Name]"),"")</f>
        <v/>
      </c>
      <c r="F1961" s="16" t="n"/>
      <c r="G1961" s="16" t="n"/>
      <c r="H1961" s="1">
        <f>IF(OR(F1961=0,G1961=0),"",(G1961-F1961)*24)</f>
        <v/>
      </c>
      <c r="I1961" s="10" t="n"/>
      <c r="J1961" s="1">
        <f>IF(OR(tblDowntime[[#This Row],[Failure Type]]="Sawshop",tblDowntime[[#This Row],[Failure Type]]="Electrical",tblDowntime[[#This Row],[Failure Type]]="Mechanical"),tblDowntime[[#This Row],[Downtime Hours]],"")</f>
        <v/>
      </c>
      <c r="K1961" s="10" t="n"/>
      <c r="L1961" s="10" t="n"/>
      <c r="M1961">
        <f>IF(tblDowntime[[#This Row],[Maintenance Downtime Hours]]="","",tblDowntime[[#This Row],[Equipment ID]])</f>
        <v/>
      </c>
      <c r="N1961" s="1">
        <f>IF(tblDowntime[[#This Row],[Failure Type]]="Production",tblDowntime[[#This Row],[Downtime Hours]],"")</f>
        <v/>
      </c>
      <c r="O1961">
        <f>IF(tblDowntime[[#This Row],[Production Downtime Hours]]="","",tblDowntime[[#This Row],[Equipment ID]])</f>
        <v/>
      </c>
      <c r="P1961" s="10" t="n"/>
    </row>
    <row r="1962">
      <c r="B1962">
        <f t="array" ref="B1962">_xlfn.XLOOKUP(C1962,INDIRECT("tblEquipment[Equipment ID]"),INDIRECT("tblEquipment[Production Department]"),"")</f>
        <v/>
      </c>
      <c r="D1962">
        <f t="array" ref="D1962">_xlfn.XLOOKUP(C1962,INDIRECT("tblEquipment[Equipment ID]"),INDIRECT("tblEquipment[Equipment Name]"),"")</f>
        <v/>
      </c>
      <c r="F1962" s="16" t="n"/>
      <c r="G1962" s="16" t="n"/>
      <c r="H1962" s="1">
        <f>IF(OR(F1962=0,G1962=0),"",(G1962-F1962)*24)</f>
        <v/>
      </c>
      <c r="I1962" s="10" t="n"/>
      <c r="J1962" s="1">
        <f>IF(OR(tblDowntime[[#This Row],[Failure Type]]="Sawshop",tblDowntime[[#This Row],[Failure Type]]="Electrical",tblDowntime[[#This Row],[Failure Type]]="Mechanical"),tblDowntime[[#This Row],[Downtime Hours]],"")</f>
        <v/>
      </c>
      <c r="K1962" s="10" t="n"/>
      <c r="L1962" s="10" t="n"/>
      <c r="M1962">
        <f>IF(tblDowntime[[#This Row],[Maintenance Downtime Hours]]="","",tblDowntime[[#This Row],[Equipment ID]])</f>
        <v/>
      </c>
      <c r="N1962" s="1">
        <f>IF(tblDowntime[[#This Row],[Failure Type]]="Production",tblDowntime[[#This Row],[Downtime Hours]],"")</f>
        <v/>
      </c>
      <c r="O1962">
        <f>IF(tblDowntime[[#This Row],[Production Downtime Hours]]="","",tblDowntime[[#This Row],[Equipment ID]])</f>
        <v/>
      </c>
      <c r="P1962" s="10" t="n"/>
    </row>
    <row r="1963">
      <c r="B1963">
        <f t="array" ref="B1963">_xlfn.XLOOKUP(C1963,INDIRECT("tblEquipment[Equipment ID]"),INDIRECT("tblEquipment[Production Department]"),"")</f>
        <v/>
      </c>
      <c r="D1963">
        <f t="array" ref="D1963">_xlfn.XLOOKUP(C1963,INDIRECT("tblEquipment[Equipment ID]"),INDIRECT("tblEquipment[Equipment Name]"),"")</f>
        <v/>
      </c>
      <c r="F1963" s="16" t="n"/>
      <c r="G1963" s="16" t="n"/>
      <c r="H1963" s="1">
        <f>IF(OR(F1963=0,G1963=0),"",(G1963-F1963)*24)</f>
        <v/>
      </c>
      <c r="I1963" s="10" t="n"/>
      <c r="J1963" s="1">
        <f>IF(OR(tblDowntime[[#This Row],[Failure Type]]="Sawshop",tblDowntime[[#This Row],[Failure Type]]="Electrical",tblDowntime[[#This Row],[Failure Type]]="Mechanical"),tblDowntime[[#This Row],[Downtime Hours]],"")</f>
        <v/>
      </c>
      <c r="K1963" s="10" t="n"/>
      <c r="L1963" s="10" t="n"/>
      <c r="M1963">
        <f>IF(tblDowntime[[#This Row],[Maintenance Downtime Hours]]="","",tblDowntime[[#This Row],[Equipment ID]])</f>
        <v/>
      </c>
      <c r="N1963" s="1">
        <f>IF(tblDowntime[[#This Row],[Failure Type]]="Production",tblDowntime[[#This Row],[Downtime Hours]],"")</f>
        <v/>
      </c>
      <c r="O1963">
        <f>IF(tblDowntime[[#This Row],[Production Downtime Hours]]="","",tblDowntime[[#This Row],[Equipment ID]])</f>
        <v/>
      </c>
      <c r="P1963" s="10" t="n"/>
    </row>
    <row r="1964">
      <c r="B1964">
        <f t="array" ref="B1964">_xlfn.XLOOKUP(C1964,INDIRECT("tblEquipment[Equipment ID]"),INDIRECT("tblEquipment[Production Department]"),"")</f>
        <v/>
      </c>
      <c r="D1964">
        <f t="array" ref="D1964">_xlfn.XLOOKUP(C1964,INDIRECT("tblEquipment[Equipment ID]"),INDIRECT("tblEquipment[Equipment Name]"),"")</f>
        <v/>
      </c>
      <c r="F1964" s="16" t="n"/>
      <c r="G1964" s="16" t="n"/>
      <c r="H1964" s="1">
        <f>IF(OR(F1964=0,G1964=0),"",(G1964-F1964)*24)</f>
        <v/>
      </c>
      <c r="I1964" s="10" t="n"/>
      <c r="J1964" s="1">
        <f>IF(OR(tblDowntime[[#This Row],[Failure Type]]="Sawshop",tblDowntime[[#This Row],[Failure Type]]="Electrical",tblDowntime[[#This Row],[Failure Type]]="Mechanical"),tblDowntime[[#This Row],[Downtime Hours]],"")</f>
        <v/>
      </c>
      <c r="K1964" s="10" t="n"/>
      <c r="L1964" s="10" t="n"/>
      <c r="M1964">
        <f>IF(tblDowntime[[#This Row],[Maintenance Downtime Hours]]="","",tblDowntime[[#This Row],[Equipment ID]])</f>
        <v/>
      </c>
      <c r="N1964" s="1">
        <f>IF(tblDowntime[[#This Row],[Failure Type]]="Production",tblDowntime[[#This Row],[Downtime Hours]],"")</f>
        <v/>
      </c>
      <c r="O1964">
        <f>IF(tblDowntime[[#This Row],[Production Downtime Hours]]="","",tblDowntime[[#This Row],[Equipment ID]])</f>
        <v/>
      </c>
      <c r="P1964" s="10" t="n"/>
    </row>
    <row r="1965">
      <c r="B1965">
        <f t="array" ref="B1965">_xlfn.XLOOKUP(C1965,INDIRECT("tblEquipment[Equipment ID]"),INDIRECT("tblEquipment[Production Department]"),"")</f>
        <v/>
      </c>
      <c r="D1965">
        <f t="array" ref="D1965">_xlfn.XLOOKUP(C1965,INDIRECT("tblEquipment[Equipment ID]"),INDIRECT("tblEquipment[Equipment Name]"),"")</f>
        <v/>
      </c>
      <c r="F1965" s="16" t="n"/>
      <c r="G1965" s="16" t="n"/>
      <c r="H1965" s="1">
        <f>IF(OR(F1965=0,G1965=0),"",(G1965-F1965)*24)</f>
        <v/>
      </c>
      <c r="I1965" s="10" t="n"/>
      <c r="J1965" s="1">
        <f>IF(OR(tblDowntime[[#This Row],[Failure Type]]="Sawshop",tblDowntime[[#This Row],[Failure Type]]="Electrical",tblDowntime[[#This Row],[Failure Type]]="Mechanical"),tblDowntime[[#This Row],[Downtime Hours]],"")</f>
        <v/>
      </c>
      <c r="K1965" s="10" t="n"/>
      <c r="L1965" s="10" t="n"/>
      <c r="M1965">
        <f>IF(tblDowntime[[#This Row],[Maintenance Downtime Hours]]="","",tblDowntime[[#This Row],[Equipment ID]])</f>
        <v/>
      </c>
      <c r="N1965" s="1">
        <f>IF(tblDowntime[[#This Row],[Failure Type]]="Production",tblDowntime[[#This Row],[Downtime Hours]],"")</f>
        <v/>
      </c>
      <c r="O1965">
        <f>IF(tblDowntime[[#This Row],[Production Downtime Hours]]="","",tblDowntime[[#This Row],[Equipment ID]])</f>
        <v/>
      </c>
      <c r="P1965" s="10" t="n"/>
    </row>
    <row r="1966">
      <c r="B1966">
        <f t="array" ref="B1966">_xlfn.XLOOKUP(C1966,INDIRECT("tblEquipment[Equipment ID]"),INDIRECT("tblEquipment[Production Department]"),"")</f>
        <v/>
      </c>
      <c r="D1966">
        <f t="array" ref="D1966">_xlfn.XLOOKUP(C1966,INDIRECT("tblEquipment[Equipment ID]"),INDIRECT("tblEquipment[Equipment Name]"),"")</f>
        <v/>
      </c>
      <c r="F1966" s="16" t="n"/>
      <c r="G1966" s="16" t="n"/>
      <c r="H1966" s="1">
        <f>IF(OR(F1966=0,G1966=0),"",(G1966-F1966)*24)</f>
        <v/>
      </c>
      <c r="I1966" s="10" t="n"/>
      <c r="J1966" s="1">
        <f>IF(OR(tblDowntime[[#This Row],[Failure Type]]="Sawshop",tblDowntime[[#This Row],[Failure Type]]="Electrical",tblDowntime[[#This Row],[Failure Type]]="Mechanical"),tblDowntime[[#This Row],[Downtime Hours]],"")</f>
        <v/>
      </c>
      <c r="K1966" s="10" t="n"/>
      <c r="L1966" s="10" t="n"/>
      <c r="M1966">
        <f>IF(tblDowntime[[#This Row],[Maintenance Downtime Hours]]="","",tblDowntime[[#This Row],[Equipment ID]])</f>
        <v/>
      </c>
      <c r="N1966" s="1">
        <f>IF(tblDowntime[[#This Row],[Failure Type]]="Production",tblDowntime[[#This Row],[Downtime Hours]],"")</f>
        <v/>
      </c>
      <c r="O1966">
        <f>IF(tblDowntime[[#This Row],[Production Downtime Hours]]="","",tblDowntime[[#This Row],[Equipment ID]])</f>
        <v/>
      </c>
      <c r="P1966" s="10" t="n"/>
    </row>
    <row r="1967">
      <c r="B1967">
        <f t="array" ref="B1967">_xlfn.XLOOKUP(C1967,INDIRECT("tblEquipment[Equipment ID]"),INDIRECT("tblEquipment[Production Department]"),"")</f>
        <v/>
      </c>
      <c r="D1967">
        <f t="array" ref="D1967">_xlfn.XLOOKUP(C1967,INDIRECT("tblEquipment[Equipment ID]"),INDIRECT("tblEquipment[Equipment Name]"),"")</f>
        <v/>
      </c>
      <c r="F1967" s="16" t="n"/>
      <c r="G1967" s="16" t="n"/>
      <c r="H1967" s="1">
        <f>IF(OR(F1967=0,G1967=0),"",(G1967-F1967)*24)</f>
        <v/>
      </c>
      <c r="I1967" s="10" t="n"/>
      <c r="J1967" s="1">
        <f>IF(OR(tblDowntime[[#This Row],[Failure Type]]="Sawshop",tblDowntime[[#This Row],[Failure Type]]="Electrical",tblDowntime[[#This Row],[Failure Type]]="Mechanical"),tblDowntime[[#This Row],[Downtime Hours]],"")</f>
        <v/>
      </c>
      <c r="K1967" s="10" t="n"/>
      <c r="L1967" s="10" t="n"/>
      <c r="M1967">
        <f>IF(tblDowntime[[#This Row],[Maintenance Downtime Hours]]="","",tblDowntime[[#This Row],[Equipment ID]])</f>
        <v/>
      </c>
      <c r="N1967" s="1">
        <f>IF(tblDowntime[[#This Row],[Failure Type]]="Production",tblDowntime[[#This Row],[Downtime Hours]],"")</f>
        <v/>
      </c>
      <c r="O1967">
        <f>IF(tblDowntime[[#This Row],[Production Downtime Hours]]="","",tblDowntime[[#This Row],[Equipment ID]])</f>
        <v/>
      </c>
      <c r="P1967" s="10" t="n"/>
    </row>
    <row r="1968">
      <c r="B1968">
        <f t="array" ref="B1968">_xlfn.XLOOKUP(C1968,INDIRECT("tblEquipment[Equipment ID]"),INDIRECT("tblEquipment[Production Department]"),"")</f>
        <v/>
      </c>
      <c r="D1968">
        <f t="array" ref="D1968">_xlfn.XLOOKUP(C1968,INDIRECT("tblEquipment[Equipment ID]"),INDIRECT("tblEquipment[Equipment Name]"),"")</f>
        <v/>
      </c>
      <c r="F1968" s="16" t="n"/>
      <c r="G1968" s="16" t="n"/>
      <c r="H1968" s="1">
        <f>IF(OR(F1968=0,G1968=0),"",(G1968-F1968)*24)</f>
        <v/>
      </c>
      <c r="I1968" s="10" t="n"/>
      <c r="J1968" s="1">
        <f>IF(OR(tblDowntime[[#This Row],[Failure Type]]="Sawshop",tblDowntime[[#This Row],[Failure Type]]="Electrical",tblDowntime[[#This Row],[Failure Type]]="Mechanical"),tblDowntime[[#This Row],[Downtime Hours]],"")</f>
        <v/>
      </c>
      <c r="K1968" s="10" t="n"/>
      <c r="L1968" s="10" t="n"/>
      <c r="M1968">
        <f>IF(tblDowntime[[#This Row],[Maintenance Downtime Hours]]="","",tblDowntime[[#This Row],[Equipment ID]])</f>
        <v/>
      </c>
      <c r="N1968" s="1">
        <f>IF(tblDowntime[[#This Row],[Failure Type]]="Production",tblDowntime[[#This Row],[Downtime Hours]],"")</f>
        <v/>
      </c>
      <c r="O1968">
        <f>IF(tblDowntime[[#This Row],[Production Downtime Hours]]="","",tblDowntime[[#This Row],[Equipment ID]])</f>
        <v/>
      </c>
      <c r="P1968" s="10" t="n"/>
    </row>
    <row r="1969">
      <c r="B1969">
        <f t="array" ref="B1969">_xlfn.XLOOKUP(C1969,INDIRECT("tblEquipment[Equipment ID]"),INDIRECT("tblEquipment[Production Department]"),"")</f>
        <v/>
      </c>
      <c r="D1969">
        <f t="array" ref="D1969">_xlfn.XLOOKUP(C1969,INDIRECT("tblEquipment[Equipment ID]"),INDIRECT("tblEquipment[Equipment Name]"),"")</f>
        <v/>
      </c>
      <c r="F1969" s="16" t="n"/>
      <c r="G1969" s="16" t="n"/>
      <c r="H1969" s="1">
        <f>IF(OR(F1969=0,G1969=0),"",(G1969-F1969)*24)</f>
        <v/>
      </c>
      <c r="I1969" s="10" t="n"/>
      <c r="J1969" s="1">
        <f>IF(OR(tblDowntime[[#This Row],[Failure Type]]="Sawshop",tblDowntime[[#This Row],[Failure Type]]="Electrical",tblDowntime[[#This Row],[Failure Type]]="Mechanical"),tblDowntime[[#This Row],[Downtime Hours]],"")</f>
        <v/>
      </c>
      <c r="K1969" s="10" t="n"/>
      <c r="L1969" s="10" t="n"/>
      <c r="M1969">
        <f>IF(tblDowntime[[#This Row],[Maintenance Downtime Hours]]="","",tblDowntime[[#This Row],[Equipment ID]])</f>
        <v/>
      </c>
      <c r="N1969" s="1">
        <f>IF(tblDowntime[[#This Row],[Failure Type]]="Production",tblDowntime[[#This Row],[Downtime Hours]],"")</f>
        <v/>
      </c>
      <c r="O1969">
        <f>IF(tblDowntime[[#This Row],[Production Downtime Hours]]="","",tblDowntime[[#This Row],[Equipment ID]])</f>
        <v/>
      </c>
      <c r="P1969" s="10" t="n"/>
    </row>
    <row r="1970">
      <c r="B1970">
        <f t="array" ref="B1970">_xlfn.XLOOKUP(C1970,INDIRECT("tblEquipment[Equipment ID]"),INDIRECT("tblEquipment[Production Department]"),"")</f>
        <v/>
      </c>
      <c r="D1970">
        <f t="array" ref="D1970">_xlfn.XLOOKUP(C1970,INDIRECT("tblEquipment[Equipment ID]"),INDIRECT("tblEquipment[Equipment Name]"),"")</f>
        <v/>
      </c>
      <c r="F1970" s="16" t="n"/>
      <c r="G1970" s="16" t="n"/>
      <c r="H1970" s="1">
        <f>IF(OR(F1970=0,G1970=0),"",(G1970-F1970)*24)</f>
        <v/>
      </c>
      <c r="I1970" s="10" t="n"/>
      <c r="J1970" s="1">
        <f>IF(OR(tblDowntime[[#This Row],[Failure Type]]="Sawshop",tblDowntime[[#This Row],[Failure Type]]="Electrical",tblDowntime[[#This Row],[Failure Type]]="Mechanical"),tblDowntime[[#This Row],[Downtime Hours]],"")</f>
        <v/>
      </c>
      <c r="K1970" s="10" t="n"/>
      <c r="L1970" s="10" t="n"/>
      <c r="M1970">
        <f>IF(tblDowntime[[#This Row],[Maintenance Downtime Hours]]="","",tblDowntime[[#This Row],[Equipment ID]])</f>
        <v/>
      </c>
      <c r="N1970" s="1">
        <f>IF(tblDowntime[[#This Row],[Failure Type]]="Production",tblDowntime[[#This Row],[Downtime Hours]],"")</f>
        <v/>
      </c>
      <c r="O1970">
        <f>IF(tblDowntime[[#This Row],[Production Downtime Hours]]="","",tblDowntime[[#This Row],[Equipment ID]])</f>
        <v/>
      </c>
      <c r="P1970" s="10" t="n"/>
    </row>
    <row r="1971">
      <c r="B1971">
        <f t="array" ref="B1971">_xlfn.XLOOKUP(C1971,INDIRECT("tblEquipment[Equipment ID]"),INDIRECT("tblEquipment[Production Department]"),"")</f>
        <v/>
      </c>
      <c r="D1971">
        <f t="array" ref="D1971">_xlfn.XLOOKUP(C1971,INDIRECT("tblEquipment[Equipment ID]"),INDIRECT("tblEquipment[Equipment Name]"),"")</f>
        <v/>
      </c>
      <c r="F1971" s="16" t="n"/>
      <c r="G1971" s="16" t="n"/>
      <c r="H1971" s="1">
        <f>IF(OR(F1971=0,G1971=0),"",(G1971-F1971)*24)</f>
        <v/>
      </c>
      <c r="I1971" s="10" t="n"/>
      <c r="J1971" s="1">
        <f>IF(OR(tblDowntime[[#This Row],[Failure Type]]="Sawshop",tblDowntime[[#This Row],[Failure Type]]="Electrical",tblDowntime[[#This Row],[Failure Type]]="Mechanical"),tblDowntime[[#This Row],[Downtime Hours]],"")</f>
        <v/>
      </c>
      <c r="K1971" s="10" t="n"/>
      <c r="L1971" s="10" t="n"/>
      <c r="M1971">
        <f>IF(tblDowntime[[#This Row],[Maintenance Downtime Hours]]="","",tblDowntime[[#This Row],[Equipment ID]])</f>
        <v/>
      </c>
      <c r="N1971" s="1">
        <f>IF(tblDowntime[[#This Row],[Failure Type]]="Production",tblDowntime[[#This Row],[Downtime Hours]],"")</f>
        <v/>
      </c>
      <c r="O1971">
        <f>IF(tblDowntime[[#This Row],[Production Downtime Hours]]="","",tblDowntime[[#This Row],[Equipment ID]])</f>
        <v/>
      </c>
      <c r="P1971" s="10" t="n"/>
    </row>
    <row r="1972">
      <c r="B1972">
        <f t="array" ref="B1972">_xlfn.XLOOKUP(C1972,INDIRECT("tblEquipment[Equipment ID]"),INDIRECT("tblEquipment[Production Department]"),"")</f>
        <v/>
      </c>
      <c r="D1972">
        <f t="array" ref="D1972">_xlfn.XLOOKUP(C1972,INDIRECT("tblEquipment[Equipment ID]"),INDIRECT("tblEquipment[Equipment Name]"),"")</f>
        <v/>
      </c>
      <c r="F1972" s="16" t="n"/>
      <c r="G1972" s="16" t="n"/>
      <c r="H1972" s="1">
        <f>IF(OR(F1972=0,G1972=0),"",(G1972-F1972)*24)</f>
        <v/>
      </c>
      <c r="I1972" s="10" t="n"/>
      <c r="J1972" s="1">
        <f>IF(OR(tblDowntime[[#This Row],[Failure Type]]="Sawshop",tblDowntime[[#This Row],[Failure Type]]="Electrical",tblDowntime[[#This Row],[Failure Type]]="Mechanical"),tblDowntime[[#This Row],[Downtime Hours]],"")</f>
        <v/>
      </c>
      <c r="K1972" s="10" t="n"/>
      <c r="L1972" s="10" t="n"/>
      <c r="M1972">
        <f>IF(tblDowntime[[#This Row],[Maintenance Downtime Hours]]="","",tblDowntime[[#This Row],[Equipment ID]])</f>
        <v/>
      </c>
      <c r="N1972" s="1">
        <f>IF(tblDowntime[[#This Row],[Failure Type]]="Production",tblDowntime[[#This Row],[Downtime Hours]],"")</f>
        <v/>
      </c>
      <c r="O1972">
        <f>IF(tblDowntime[[#This Row],[Production Downtime Hours]]="","",tblDowntime[[#This Row],[Equipment ID]])</f>
        <v/>
      </c>
      <c r="P1972" s="10" t="n"/>
    </row>
    <row r="1973">
      <c r="B1973">
        <f t="array" ref="B1973">_xlfn.XLOOKUP(C1973,INDIRECT("tblEquipment[Equipment ID]"),INDIRECT("tblEquipment[Production Department]"),"")</f>
        <v/>
      </c>
      <c r="D1973">
        <f t="array" ref="D1973">_xlfn.XLOOKUP(C1973,INDIRECT("tblEquipment[Equipment ID]"),INDIRECT("tblEquipment[Equipment Name]"),"")</f>
        <v/>
      </c>
      <c r="F1973" s="16" t="n"/>
      <c r="G1973" s="16" t="n"/>
      <c r="H1973" s="1">
        <f>IF(OR(F1973=0,G1973=0),"",(G1973-F1973)*24)</f>
        <v/>
      </c>
      <c r="I1973" s="10" t="n"/>
      <c r="J1973" s="1">
        <f>IF(OR(tblDowntime[[#This Row],[Failure Type]]="Sawshop",tblDowntime[[#This Row],[Failure Type]]="Electrical",tblDowntime[[#This Row],[Failure Type]]="Mechanical"),tblDowntime[[#This Row],[Downtime Hours]],"")</f>
        <v/>
      </c>
      <c r="K1973" s="10" t="n"/>
      <c r="L1973" s="10" t="n"/>
      <c r="M1973">
        <f>IF(tblDowntime[[#This Row],[Maintenance Downtime Hours]]="","",tblDowntime[[#This Row],[Equipment ID]])</f>
        <v/>
      </c>
      <c r="N1973" s="1">
        <f>IF(tblDowntime[[#This Row],[Failure Type]]="Production",tblDowntime[[#This Row],[Downtime Hours]],"")</f>
        <v/>
      </c>
      <c r="O1973">
        <f>IF(tblDowntime[[#This Row],[Production Downtime Hours]]="","",tblDowntime[[#This Row],[Equipment ID]])</f>
        <v/>
      </c>
      <c r="P1973" s="10" t="n"/>
    </row>
    <row r="1974">
      <c r="B1974">
        <f t="array" ref="B1974">_xlfn.XLOOKUP(C1974,INDIRECT("tblEquipment[Equipment ID]"),INDIRECT("tblEquipment[Production Department]"),"")</f>
        <v/>
      </c>
      <c r="D1974">
        <f t="array" ref="D1974">_xlfn.XLOOKUP(C1974,INDIRECT("tblEquipment[Equipment ID]"),INDIRECT("tblEquipment[Equipment Name]"),"")</f>
        <v/>
      </c>
      <c r="F1974" s="16" t="n"/>
      <c r="G1974" s="16" t="n"/>
      <c r="H1974" s="1">
        <f>IF(OR(F1974=0,G1974=0),"",(G1974-F1974)*24)</f>
        <v/>
      </c>
      <c r="I1974" s="10" t="n"/>
      <c r="J1974" s="1">
        <f>IF(OR(tblDowntime[[#This Row],[Failure Type]]="Sawshop",tblDowntime[[#This Row],[Failure Type]]="Electrical",tblDowntime[[#This Row],[Failure Type]]="Mechanical"),tblDowntime[[#This Row],[Downtime Hours]],"")</f>
        <v/>
      </c>
      <c r="K1974" s="10" t="n"/>
      <c r="L1974" s="10" t="n"/>
      <c r="M1974">
        <f>IF(tblDowntime[[#This Row],[Maintenance Downtime Hours]]="","",tblDowntime[[#This Row],[Equipment ID]])</f>
        <v/>
      </c>
      <c r="N1974" s="1">
        <f>IF(tblDowntime[[#This Row],[Failure Type]]="Production",tblDowntime[[#This Row],[Downtime Hours]],"")</f>
        <v/>
      </c>
      <c r="O1974">
        <f>IF(tblDowntime[[#This Row],[Production Downtime Hours]]="","",tblDowntime[[#This Row],[Equipment ID]])</f>
        <v/>
      </c>
      <c r="P1974" s="10" t="n"/>
    </row>
    <row r="1975">
      <c r="B1975">
        <f t="array" ref="B1975">_xlfn.XLOOKUP(C1975,INDIRECT("tblEquipment[Equipment ID]"),INDIRECT("tblEquipment[Production Department]"),"")</f>
        <v/>
      </c>
      <c r="D1975">
        <f t="array" ref="D1975">_xlfn.XLOOKUP(C1975,INDIRECT("tblEquipment[Equipment ID]"),INDIRECT("tblEquipment[Equipment Name]"),"")</f>
        <v/>
      </c>
      <c r="F1975" s="16" t="n"/>
      <c r="G1975" s="16" t="n"/>
      <c r="H1975" s="1">
        <f>IF(OR(F1975=0,G1975=0),"",(G1975-F1975)*24)</f>
        <v/>
      </c>
      <c r="I1975" s="10" t="n"/>
      <c r="J1975" s="1">
        <f>IF(OR(tblDowntime[[#This Row],[Failure Type]]="Sawshop",tblDowntime[[#This Row],[Failure Type]]="Electrical",tblDowntime[[#This Row],[Failure Type]]="Mechanical"),tblDowntime[[#This Row],[Downtime Hours]],"")</f>
        <v/>
      </c>
      <c r="K1975" s="10" t="n"/>
      <c r="L1975" s="10" t="n"/>
      <c r="M1975">
        <f>IF(tblDowntime[[#This Row],[Maintenance Downtime Hours]]="","",tblDowntime[[#This Row],[Equipment ID]])</f>
        <v/>
      </c>
      <c r="N1975" s="1">
        <f>IF(tblDowntime[[#This Row],[Failure Type]]="Production",tblDowntime[[#This Row],[Downtime Hours]],"")</f>
        <v/>
      </c>
      <c r="O1975">
        <f>IF(tblDowntime[[#This Row],[Production Downtime Hours]]="","",tblDowntime[[#This Row],[Equipment ID]])</f>
        <v/>
      </c>
      <c r="P1975" s="10" t="n"/>
    </row>
    <row r="1976">
      <c r="B1976">
        <f t="array" ref="B1976">_xlfn.XLOOKUP(C1976,INDIRECT("tblEquipment[Equipment ID]"),INDIRECT("tblEquipment[Production Department]"),"")</f>
        <v/>
      </c>
      <c r="D1976">
        <f t="array" ref="D1976">_xlfn.XLOOKUP(C1976,INDIRECT("tblEquipment[Equipment ID]"),INDIRECT("tblEquipment[Equipment Name]"),"")</f>
        <v/>
      </c>
      <c r="F1976" s="16" t="n"/>
      <c r="G1976" s="16" t="n"/>
      <c r="H1976" s="1">
        <f>IF(OR(F1976=0,G1976=0),"",(G1976-F1976)*24)</f>
        <v/>
      </c>
      <c r="I1976" s="10" t="n"/>
      <c r="J1976" s="1">
        <f>IF(OR(tblDowntime[[#This Row],[Failure Type]]="Sawshop",tblDowntime[[#This Row],[Failure Type]]="Electrical",tblDowntime[[#This Row],[Failure Type]]="Mechanical"),tblDowntime[[#This Row],[Downtime Hours]],"")</f>
        <v/>
      </c>
      <c r="K1976" s="10" t="n"/>
      <c r="L1976" s="10" t="n"/>
      <c r="M1976">
        <f>IF(tblDowntime[[#This Row],[Maintenance Downtime Hours]]="","",tblDowntime[[#This Row],[Equipment ID]])</f>
        <v/>
      </c>
      <c r="N1976" s="1">
        <f>IF(tblDowntime[[#This Row],[Failure Type]]="Production",tblDowntime[[#This Row],[Downtime Hours]],"")</f>
        <v/>
      </c>
      <c r="O1976">
        <f>IF(tblDowntime[[#This Row],[Production Downtime Hours]]="","",tblDowntime[[#This Row],[Equipment ID]])</f>
        <v/>
      </c>
      <c r="P1976" s="10" t="n"/>
    </row>
    <row r="1977">
      <c r="B1977">
        <f t="array" ref="B1977">_xlfn.XLOOKUP(C1977,INDIRECT("tblEquipment[Equipment ID]"),INDIRECT("tblEquipment[Production Department]"),"")</f>
        <v/>
      </c>
      <c r="D1977">
        <f t="array" ref="D1977">_xlfn.XLOOKUP(C1977,INDIRECT("tblEquipment[Equipment ID]"),INDIRECT("tblEquipment[Equipment Name]"),"")</f>
        <v/>
      </c>
      <c r="F1977" s="16" t="n"/>
      <c r="G1977" s="16" t="n"/>
      <c r="H1977" s="1">
        <f>IF(OR(F1977=0,G1977=0),"",(G1977-F1977)*24)</f>
        <v/>
      </c>
      <c r="I1977" s="10" t="n"/>
      <c r="J1977" s="1">
        <f>IF(OR(tblDowntime[[#This Row],[Failure Type]]="Sawshop",tblDowntime[[#This Row],[Failure Type]]="Electrical",tblDowntime[[#This Row],[Failure Type]]="Mechanical"),tblDowntime[[#This Row],[Downtime Hours]],"")</f>
        <v/>
      </c>
      <c r="K1977" s="10" t="n"/>
      <c r="L1977" s="10" t="n"/>
      <c r="M1977">
        <f>IF(tblDowntime[[#This Row],[Maintenance Downtime Hours]]="","",tblDowntime[[#This Row],[Equipment ID]])</f>
        <v/>
      </c>
      <c r="N1977" s="1">
        <f>IF(tblDowntime[[#This Row],[Failure Type]]="Production",tblDowntime[[#This Row],[Downtime Hours]],"")</f>
        <v/>
      </c>
      <c r="O1977">
        <f>IF(tblDowntime[[#This Row],[Production Downtime Hours]]="","",tblDowntime[[#This Row],[Equipment ID]])</f>
        <v/>
      </c>
      <c r="P1977" s="10" t="n"/>
    </row>
    <row r="1978">
      <c r="B1978">
        <f t="array" ref="B1978">_xlfn.XLOOKUP(C1978,INDIRECT("tblEquipment[Equipment ID]"),INDIRECT("tblEquipment[Production Department]"),"")</f>
        <v/>
      </c>
      <c r="D1978">
        <f t="array" ref="D1978">_xlfn.XLOOKUP(C1978,INDIRECT("tblEquipment[Equipment ID]"),INDIRECT("tblEquipment[Equipment Name]"),"")</f>
        <v/>
      </c>
      <c r="F1978" s="16" t="n"/>
      <c r="G1978" s="16" t="n"/>
      <c r="H1978" s="1">
        <f>IF(OR(F1978=0,G1978=0),"",(G1978-F1978)*24)</f>
        <v/>
      </c>
      <c r="I1978" s="10" t="n"/>
      <c r="J1978" s="1">
        <f>IF(OR(tblDowntime[[#This Row],[Failure Type]]="Sawshop",tblDowntime[[#This Row],[Failure Type]]="Electrical",tblDowntime[[#This Row],[Failure Type]]="Mechanical"),tblDowntime[[#This Row],[Downtime Hours]],"")</f>
        <v/>
      </c>
      <c r="K1978" s="10" t="n"/>
      <c r="L1978" s="10" t="n"/>
      <c r="M1978">
        <f>IF(tblDowntime[[#This Row],[Maintenance Downtime Hours]]="","",tblDowntime[[#This Row],[Equipment ID]])</f>
        <v/>
      </c>
      <c r="N1978" s="1">
        <f>IF(tblDowntime[[#This Row],[Failure Type]]="Production",tblDowntime[[#This Row],[Downtime Hours]],"")</f>
        <v/>
      </c>
      <c r="O1978">
        <f>IF(tblDowntime[[#This Row],[Production Downtime Hours]]="","",tblDowntime[[#This Row],[Equipment ID]])</f>
        <v/>
      </c>
      <c r="P1978" s="10" t="n"/>
    </row>
    <row r="1979">
      <c r="B1979">
        <f t="array" ref="B1979">_xlfn.XLOOKUP(C1979,INDIRECT("tblEquipment[Equipment ID]"),INDIRECT("tblEquipment[Production Department]"),"")</f>
        <v/>
      </c>
      <c r="D1979">
        <f t="array" ref="D1979">_xlfn.XLOOKUP(C1979,INDIRECT("tblEquipment[Equipment ID]"),INDIRECT("tblEquipment[Equipment Name]"),"")</f>
        <v/>
      </c>
      <c r="F1979" s="16" t="n"/>
      <c r="G1979" s="16" t="n"/>
      <c r="H1979" s="1">
        <f>IF(OR(F1979=0,G1979=0),"",(G1979-F1979)*24)</f>
        <v/>
      </c>
      <c r="I1979" s="10" t="n"/>
      <c r="J1979" s="1">
        <f>IF(OR(tblDowntime[[#This Row],[Failure Type]]="Sawshop",tblDowntime[[#This Row],[Failure Type]]="Electrical",tblDowntime[[#This Row],[Failure Type]]="Mechanical"),tblDowntime[[#This Row],[Downtime Hours]],"")</f>
        <v/>
      </c>
      <c r="K1979" s="10" t="n"/>
      <c r="L1979" s="10" t="n"/>
      <c r="M1979">
        <f>IF(tblDowntime[[#This Row],[Maintenance Downtime Hours]]="","",tblDowntime[[#This Row],[Equipment ID]])</f>
        <v/>
      </c>
      <c r="N1979" s="1">
        <f>IF(tblDowntime[[#This Row],[Failure Type]]="Production",tblDowntime[[#This Row],[Downtime Hours]],"")</f>
        <v/>
      </c>
      <c r="O1979">
        <f>IF(tblDowntime[[#This Row],[Production Downtime Hours]]="","",tblDowntime[[#This Row],[Equipment ID]])</f>
        <v/>
      </c>
      <c r="P1979" s="10" t="n"/>
    </row>
    <row r="1980">
      <c r="B1980">
        <f t="array" ref="B1980">_xlfn.XLOOKUP(C1980,INDIRECT("tblEquipment[Equipment ID]"),INDIRECT("tblEquipment[Production Department]"),"")</f>
        <v/>
      </c>
      <c r="D1980">
        <f t="array" ref="D1980">_xlfn.XLOOKUP(C1980,INDIRECT("tblEquipment[Equipment ID]"),INDIRECT("tblEquipment[Equipment Name]"),"")</f>
        <v/>
      </c>
      <c r="F1980" s="16" t="n"/>
      <c r="G1980" s="16" t="n"/>
      <c r="H1980" s="1">
        <f>IF(OR(F1980=0,G1980=0),"",(G1980-F1980)*24)</f>
        <v/>
      </c>
      <c r="I1980" s="10" t="n"/>
      <c r="J1980" s="1">
        <f>IF(OR(tblDowntime[[#This Row],[Failure Type]]="Sawshop",tblDowntime[[#This Row],[Failure Type]]="Electrical",tblDowntime[[#This Row],[Failure Type]]="Mechanical"),tblDowntime[[#This Row],[Downtime Hours]],"")</f>
        <v/>
      </c>
      <c r="K1980" s="10" t="n"/>
      <c r="L1980" s="10" t="n"/>
      <c r="M1980">
        <f>IF(tblDowntime[[#This Row],[Maintenance Downtime Hours]]="","",tblDowntime[[#This Row],[Equipment ID]])</f>
        <v/>
      </c>
      <c r="N1980" s="1">
        <f>IF(tblDowntime[[#This Row],[Failure Type]]="Production",tblDowntime[[#This Row],[Downtime Hours]],"")</f>
        <v/>
      </c>
      <c r="O1980">
        <f>IF(tblDowntime[[#This Row],[Production Downtime Hours]]="","",tblDowntime[[#This Row],[Equipment ID]])</f>
        <v/>
      </c>
      <c r="P1980" s="10" t="n"/>
    </row>
    <row r="1981">
      <c r="B1981">
        <f t="array" ref="B1981">_xlfn.XLOOKUP(C1981,INDIRECT("tblEquipment[Equipment ID]"),INDIRECT("tblEquipment[Production Department]"),"")</f>
        <v/>
      </c>
      <c r="D1981">
        <f t="array" ref="D1981">_xlfn.XLOOKUP(C1981,INDIRECT("tblEquipment[Equipment ID]"),INDIRECT("tblEquipment[Equipment Name]"),"")</f>
        <v/>
      </c>
      <c r="F1981" s="16" t="n"/>
      <c r="G1981" s="16" t="n"/>
      <c r="H1981" s="1">
        <f>IF(OR(F1981=0,G1981=0),"",(G1981-F1981)*24)</f>
        <v/>
      </c>
      <c r="I1981" s="10" t="n"/>
      <c r="J1981" s="1">
        <f>IF(OR(tblDowntime[[#This Row],[Failure Type]]="Sawshop",tblDowntime[[#This Row],[Failure Type]]="Electrical",tblDowntime[[#This Row],[Failure Type]]="Mechanical"),tblDowntime[[#This Row],[Downtime Hours]],"")</f>
        <v/>
      </c>
      <c r="K1981" s="10" t="n"/>
      <c r="L1981" s="10" t="n"/>
      <c r="M1981">
        <f>IF(tblDowntime[[#This Row],[Maintenance Downtime Hours]]="","",tblDowntime[[#This Row],[Equipment ID]])</f>
        <v/>
      </c>
      <c r="N1981" s="1">
        <f>IF(tblDowntime[[#This Row],[Failure Type]]="Production",tblDowntime[[#This Row],[Downtime Hours]],"")</f>
        <v/>
      </c>
      <c r="O1981">
        <f>IF(tblDowntime[[#This Row],[Production Downtime Hours]]="","",tblDowntime[[#This Row],[Equipment ID]])</f>
        <v/>
      </c>
      <c r="P1981" s="10" t="n"/>
    </row>
    <row r="1982">
      <c r="B1982">
        <f t="array" ref="B1982">_xlfn.XLOOKUP(C1982,INDIRECT("tblEquipment[Equipment ID]"),INDIRECT("tblEquipment[Production Department]"),"")</f>
        <v/>
      </c>
      <c r="D1982">
        <f t="array" ref="D1982">_xlfn.XLOOKUP(C1982,INDIRECT("tblEquipment[Equipment ID]"),INDIRECT("tblEquipment[Equipment Name]"),"")</f>
        <v/>
      </c>
      <c r="F1982" s="16" t="n"/>
      <c r="G1982" s="16" t="n"/>
      <c r="H1982" s="1">
        <f>IF(OR(F1982=0,G1982=0),"",(G1982-F1982)*24)</f>
        <v/>
      </c>
      <c r="I1982" s="10" t="n"/>
      <c r="J1982" s="1">
        <f>IF(OR(tblDowntime[[#This Row],[Failure Type]]="Sawshop",tblDowntime[[#This Row],[Failure Type]]="Electrical",tblDowntime[[#This Row],[Failure Type]]="Mechanical"),tblDowntime[[#This Row],[Downtime Hours]],"")</f>
        <v/>
      </c>
      <c r="K1982" s="10" t="n"/>
      <c r="L1982" s="10" t="n"/>
      <c r="M1982">
        <f>IF(tblDowntime[[#This Row],[Maintenance Downtime Hours]]="","",tblDowntime[[#This Row],[Equipment ID]])</f>
        <v/>
      </c>
      <c r="N1982" s="1">
        <f>IF(tblDowntime[[#This Row],[Failure Type]]="Production",tblDowntime[[#This Row],[Downtime Hours]],"")</f>
        <v/>
      </c>
      <c r="O1982">
        <f>IF(tblDowntime[[#This Row],[Production Downtime Hours]]="","",tblDowntime[[#This Row],[Equipment ID]])</f>
        <v/>
      </c>
      <c r="P1982" s="10" t="n"/>
    </row>
    <row r="1983">
      <c r="B1983">
        <f t="array" ref="B1983">_xlfn.XLOOKUP(C1983,INDIRECT("tblEquipment[Equipment ID]"),INDIRECT("tblEquipment[Production Department]"),"")</f>
        <v/>
      </c>
      <c r="D1983">
        <f t="array" ref="D1983">_xlfn.XLOOKUP(C1983,INDIRECT("tblEquipment[Equipment ID]"),INDIRECT("tblEquipment[Equipment Name]"),"")</f>
        <v/>
      </c>
      <c r="F1983" s="16" t="n"/>
      <c r="G1983" s="16" t="n"/>
      <c r="H1983" s="1">
        <f>IF(OR(F1983=0,G1983=0),"",(G1983-F1983)*24)</f>
        <v/>
      </c>
      <c r="I1983" s="10" t="n"/>
      <c r="J1983" s="1">
        <f>IF(OR(tblDowntime[[#This Row],[Failure Type]]="Sawshop",tblDowntime[[#This Row],[Failure Type]]="Electrical",tblDowntime[[#This Row],[Failure Type]]="Mechanical"),tblDowntime[[#This Row],[Downtime Hours]],"")</f>
        <v/>
      </c>
      <c r="K1983" s="10" t="n"/>
      <c r="L1983" s="10" t="n"/>
      <c r="M1983">
        <f>IF(tblDowntime[[#This Row],[Maintenance Downtime Hours]]="","",tblDowntime[[#This Row],[Equipment ID]])</f>
        <v/>
      </c>
      <c r="N1983" s="1">
        <f>IF(tblDowntime[[#This Row],[Failure Type]]="Production",tblDowntime[[#This Row],[Downtime Hours]],"")</f>
        <v/>
      </c>
      <c r="O1983">
        <f>IF(tblDowntime[[#This Row],[Production Downtime Hours]]="","",tblDowntime[[#This Row],[Equipment ID]])</f>
        <v/>
      </c>
      <c r="P1983" s="10" t="n"/>
    </row>
    <row r="1984">
      <c r="B1984">
        <f t="array" ref="B1984">_xlfn.XLOOKUP(C1984,INDIRECT("tblEquipment[Equipment ID]"),INDIRECT("tblEquipment[Production Department]"),"")</f>
        <v/>
      </c>
      <c r="D1984">
        <f t="array" ref="D1984">_xlfn.XLOOKUP(C1984,INDIRECT("tblEquipment[Equipment ID]"),INDIRECT("tblEquipment[Equipment Name]"),"")</f>
        <v/>
      </c>
      <c r="F1984" s="16" t="n"/>
      <c r="G1984" s="16" t="n"/>
      <c r="H1984" s="1">
        <f>IF(OR(F1984=0,G1984=0),"",(G1984-F1984)*24)</f>
        <v/>
      </c>
      <c r="I1984" s="10" t="n"/>
      <c r="J1984" s="1">
        <f>IF(OR(tblDowntime[[#This Row],[Failure Type]]="Sawshop",tblDowntime[[#This Row],[Failure Type]]="Electrical",tblDowntime[[#This Row],[Failure Type]]="Mechanical"),tblDowntime[[#This Row],[Downtime Hours]],"")</f>
        <v/>
      </c>
      <c r="K1984" s="10" t="n"/>
      <c r="L1984" s="10" t="n"/>
      <c r="M1984">
        <f>IF(tblDowntime[[#This Row],[Maintenance Downtime Hours]]="","",tblDowntime[[#This Row],[Equipment ID]])</f>
        <v/>
      </c>
      <c r="N1984" s="1">
        <f>IF(tblDowntime[[#This Row],[Failure Type]]="Production",tblDowntime[[#This Row],[Downtime Hours]],"")</f>
        <v/>
      </c>
      <c r="O1984">
        <f>IF(tblDowntime[[#This Row],[Production Downtime Hours]]="","",tblDowntime[[#This Row],[Equipment ID]])</f>
        <v/>
      </c>
      <c r="P1984" s="10" t="n"/>
    </row>
    <row r="1985">
      <c r="B1985">
        <f t="array" ref="B1985">_xlfn.XLOOKUP(C1985,INDIRECT("tblEquipment[Equipment ID]"),INDIRECT("tblEquipment[Production Department]"),"")</f>
        <v/>
      </c>
      <c r="D1985">
        <f t="array" ref="D1985">_xlfn.XLOOKUP(C1985,INDIRECT("tblEquipment[Equipment ID]"),INDIRECT("tblEquipment[Equipment Name]"),"")</f>
        <v/>
      </c>
      <c r="F1985" s="16" t="n"/>
      <c r="G1985" s="16" t="n"/>
      <c r="H1985" s="1">
        <f>IF(OR(F1985=0,G1985=0),"",(G1985-F1985)*24)</f>
        <v/>
      </c>
      <c r="I1985" s="10" t="n"/>
      <c r="J1985" s="1">
        <f>IF(OR(tblDowntime[[#This Row],[Failure Type]]="Sawshop",tblDowntime[[#This Row],[Failure Type]]="Electrical",tblDowntime[[#This Row],[Failure Type]]="Mechanical"),tblDowntime[[#This Row],[Downtime Hours]],"")</f>
        <v/>
      </c>
      <c r="K1985" s="10" t="n"/>
      <c r="L1985" s="10" t="n"/>
      <c r="M1985">
        <f>IF(tblDowntime[[#This Row],[Maintenance Downtime Hours]]="","",tblDowntime[[#This Row],[Equipment ID]])</f>
        <v/>
      </c>
      <c r="N1985" s="1">
        <f>IF(tblDowntime[[#This Row],[Failure Type]]="Production",tblDowntime[[#This Row],[Downtime Hours]],"")</f>
        <v/>
      </c>
      <c r="O1985">
        <f>IF(tblDowntime[[#This Row],[Production Downtime Hours]]="","",tblDowntime[[#This Row],[Equipment ID]])</f>
        <v/>
      </c>
      <c r="P1985" s="10" t="n"/>
    </row>
    <row r="1986">
      <c r="B1986">
        <f t="array" ref="B1986">_xlfn.XLOOKUP(C1986,INDIRECT("tblEquipment[Equipment ID]"),INDIRECT("tblEquipment[Production Department]"),"")</f>
        <v/>
      </c>
      <c r="D1986">
        <f t="array" ref="D1986">_xlfn.XLOOKUP(C1986,INDIRECT("tblEquipment[Equipment ID]"),INDIRECT("tblEquipment[Equipment Name]"),"")</f>
        <v/>
      </c>
      <c r="F1986" s="16" t="n"/>
      <c r="G1986" s="16" t="n"/>
      <c r="H1986" s="1">
        <f>IF(OR(F1986=0,G1986=0),"",(G1986-F1986)*24)</f>
        <v/>
      </c>
      <c r="I1986" s="10" t="n"/>
      <c r="J1986" s="1">
        <f>IF(OR(tblDowntime[[#This Row],[Failure Type]]="Sawshop",tblDowntime[[#This Row],[Failure Type]]="Electrical",tblDowntime[[#This Row],[Failure Type]]="Mechanical"),tblDowntime[[#This Row],[Downtime Hours]],"")</f>
        <v/>
      </c>
      <c r="K1986" s="10" t="n"/>
      <c r="L1986" s="10" t="n"/>
      <c r="M1986">
        <f>IF(tblDowntime[[#This Row],[Maintenance Downtime Hours]]="","",tblDowntime[[#This Row],[Equipment ID]])</f>
        <v/>
      </c>
      <c r="N1986" s="1">
        <f>IF(tblDowntime[[#This Row],[Failure Type]]="Production",tblDowntime[[#This Row],[Downtime Hours]],"")</f>
        <v/>
      </c>
      <c r="O1986">
        <f>IF(tblDowntime[[#This Row],[Production Downtime Hours]]="","",tblDowntime[[#This Row],[Equipment ID]])</f>
        <v/>
      </c>
      <c r="P1986" s="10" t="n"/>
    </row>
    <row r="1987">
      <c r="B1987">
        <f t="array" ref="B1987">_xlfn.XLOOKUP(C1987,INDIRECT("tblEquipment[Equipment ID]"),INDIRECT("tblEquipment[Production Department]"),"")</f>
        <v/>
      </c>
      <c r="D1987">
        <f t="array" ref="D1987">_xlfn.XLOOKUP(C1987,INDIRECT("tblEquipment[Equipment ID]"),INDIRECT("tblEquipment[Equipment Name]"),"")</f>
        <v/>
      </c>
      <c r="F1987" s="16" t="n"/>
      <c r="G1987" s="16" t="n"/>
      <c r="H1987" s="1">
        <f>IF(OR(F1987=0,G1987=0),"",(G1987-F1987)*24)</f>
        <v/>
      </c>
      <c r="I1987" s="10" t="n"/>
      <c r="J1987" s="1">
        <f>IF(OR(tblDowntime[[#This Row],[Failure Type]]="Sawshop",tblDowntime[[#This Row],[Failure Type]]="Electrical",tblDowntime[[#This Row],[Failure Type]]="Mechanical"),tblDowntime[[#This Row],[Downtime Hours]],"")</f>
        <v/>
      </c>
      <c r="K1987" s="10" t="n"/>
      <c r="L1987" s="10" t="n"/>
      <c r="M1987">
        <f>IF(tblDowntime[[#This Row],[Maintenance Downtime Hours]]="","",tblDowntime[[#This Row],[Equipment ID]])</f>
        <v/>
      </c>
      <c r="N1987" s="1">
        <f>IF(tblDowntime[[#This Row],[Failure Type]]="Production",tblDowntime[[#This Row],[Downtime Hours]],"")</f>
        <v/>
      </c>
      <c r="O1987">
        <f>IF(tblDowntime[[#This Row],[Production Downtime Hours]]="","",tblDowntime[[#This Row],[Equipment ID]])</f>
        <v/>
      </c>
      <c r="P1987" s="10" t="n"/>
    </row>
    <row r="1988">
      <c r="B1988">
        <f t="array" ref="B1988">_xlfn.XLOOKUP(C1988,INDIRECT("tblEquipment[Equipment ID]"),INDIRECT("tblEquipment[Production Department]"),"")</f>
        <v/>
      </c>
      <c r="D1988">
        <f t="array" ref="D1988">_xlfn.XLOOKUP(C1988,INDIRECT("tblEquipment[Equipment ID]"),INDIRECT("tblEquipment[Equipment Name]"),"")</f>
        <v/>
      </c>
      <c r="F1988" s="16" t="n"/>
      <c r="G1988" s="16" t="n"/>
      <c r="H1988" s="1">
        <f>IF(OR(F1988=0,G1988=0),"",(G1988-F1988)*24)</f>
        <v/>
      </c>
      <c r="I1988" s="10" t="n"/>
      <c r="J1988" s="1">
        <f>IF(OR(tblDowntime[[#This Row],[Failure Type]]="Sawshop",tblDowntime[[#This Row],[Failure Type]]="Electrical",tblDowntime[[#This Row],[Failure Type]]="Mechanical"),tblDowntime[[#This Row],[Downtime Hours]],"")</f>
        <v/>
      </c>
      <c r="K1988" s="10" t="n"/>
      <c r="L1988" s="10" t="n"/>
      <c r="M1988">
        <f>IF(tblDowntime[[#This Row],[Maintenance Downtime Hours]]="","",tblDowntime[[#This Row],[Equipment ID]])</f>
        <v/>
      </c>
      <c r="N1988" s="1">
        <f>IF(tblDowntime[[#This Row],[Failure Type]]="Production",tblDowntime[[#This Row],[Downtime Hours]],"")</f>
        <v/>
      </c>
      <c r="O1988">
        <f>IF(tblDowntime[[#This Row],[Production Downtime Hours]]="","",tblDowntime[[#This Row],[Equipment ID]])</f>
        <v/>
      </c>
      <c r="P1988" s="10" t="n"/>
    </row>
    <row r="1989">
      <c r="B1989">
        <f t="array" ref="B1989">_xlfn.XLOOKUP(C1989,INDIRECT("tblEquipment[Equipment ID]"),INDIRECT("tblEquipment[Production Department]"),"")</f>
        <v/>
      </c>
      <c r="D1989">
        <f t="array" ref="D1989">_xlfn.XLOOKUP(C1989,INDIRECT("tblEquipment[Equipment ID]"),INDIRECT("tblEquipment[Equipment Name]"),"")</f>
        <v/>
      </c>
      <c r="F1989" s="16" t="n"/>
      <c r="G1989" s="16" t="n"/>
      <c r="H1989" s="1">
        <f>IF(OR(F1989=0,G1989=0),"",(G1989-F1989)*24)</f>
        <v/>
      </c>
      <c r="I1989" s="10" t="n"/>
      <c r="J1989" s="1">
        <f>IF(OR(tblDowntime[[#This Row],[Failure Type]]="Sawshop",tblDowntime[[#This Row],[Failure Type]]="Electrical",tblDowntime[[#This Row],[Failure Type]]="Mechanical"),tblDowntime[[#This Row],[Downtime Hours]],"")</f>
        <v/>
      </c>
      <c r="K1989" s="10" t="n"/>
      <c r="L1989" s="10" t="n"/>
      <c r="M1989">
        <f>IF(tblDowntime[[#This Row],[Maintenance Downtime Hours]]="","",tblDowntime[[#This Row],[Equipment ID]])</f>
        <v/>
      </c>
      <c r="N1989" s="1">
        <f>IF(tblDowntime[[#This Row],[Failure Type]]="Production",tblDowntime[[#This Row],[Downtime Hours]],"")</f>
        <v/>
      </c>
      <c r="O1989">
        <f>IF(tblDowntime[[#This Row],[Production Downtime Hours]]="","",tblDowntime[[#This Row],[Equipment ID]])</f>
        <v/>
      </c>
      <c r="P1989" s="10" t="n"/>
    </row>
    <row r="1990">
      <c r="B1990">
        <f t="array" ref="B1990">_xlfn.XLOOKUP(C1990,INDIRECT("tblEquipment[Equipment ID]"),INDIRECT("tblEquipment[Production Department]"),"")</f>
        <v/>
      </c>
      <c r="D1990">
        <f t="array" ref="D1990">_xlfn.XLOOKUP(C1990,INDIRECT("tblEquipment[Equipment ID]"),INDIRECT("tblEquipment[Equipment Name]"),"")</f>
        <v/>
      </c>
      <c r="F1990" s="16" t="n"/>
      <c r="G1990" s="16" t="n"/>
      <c r="H1990" s="1">
        <f>IF(OR(F1990=0,G1990=0),"",(G1990-F1990)*24)</f>
        <v/>
      </c>
      <c r="I1990" s="10" t="n"/>
      <c r="J1990" s="1">
        <f>IF(OR(tblDowntime[[#This Row],[Failure Type]]="Sawshop",tblDowntime[[#This Row],[Failure Type]]="Electrical",tblDowntime[[#This Row],[Failure Type]]="Mechanical"),tblDowntime[[#This Row],[Downtime Hours]],"")</f>
        <v/>
      </c>
      <c r="K1990" s="10" t="n"/>
      <c r="L1990" s="10" t="n"/>
      <c r="M1990">
        <f>IF(tblDowntime[[#This Row],[Maintenance Downtime Hours]]="","",tblDowntime[[#This Row],[Equipment ID]])</f>
        <v/>
      </c>
      <c r="N1990" s="1">
        <f>IF(tblDowntime[[#This Row],[Failure Type]]="Production",tblDowntime[[#This Row],[Downtime Hours]],"")</f>
        <v/>
      </c>
      <c r="O1990">
        <f>IF(tblDowntime[[#This Row],[Production Downtime Hours]]="","",tblDowntime[[#This Row],[Equipment ID]])</f>
        <v/>
      </c>
      <c r="P1990" s="10" t="n"/>
    </row>
    <row r="1991">
      <c r="B1991">
        <f t="array" ref="B1991">_xlfn.XLOOKUP(C1991,INDIRECT("tblEquipment[Equipment ID]"),INDIRECT("tblEquipment[Production Department]"),"")</f>
        <v/>
      </c>
      <c r="D1991">
        <f t="array" ref="D1991">_xlfn.XLOOKUP(C1991,INDIRECT("tblEquipment[Equipment ID]"),INDIRECT("tblEquipment[Equipment Name]"),"")</f>
        <v/>
      </c>
      <c r="F1991" s="16" t="n"/>
      <c r="G1991" s="16" t="n"/>
      <c r="H1991" s="1">
        <f>IF(OR(F1991=0,G1991=0),"",(G1991-F1991)*24)</f>
        <v/>
      </c>
      <c r="I1991" s="10" t="n"/>
      <c r="J1991" s="1">
        <f>IF(OR(tblDowntime[[#This Row],[Failure Type]]="Sawshop",tblDowntime[[#This Row],[Failure Type]]="Electrical",tblDowntime[[#This Row],[Failure Type]]="Mechanical"),tblDowntime[[#This Row],[Downtime Hours]],"")</f>
        <v/>
      </c>
      <c r="K1991" s="10" t="n"/>
      <c r="L1991" s="10" t="n"/>
      <c r="M1991">
        <f>IF(tblDowntime[[#This Row],[Maintenance Downtime Hours]]="","",tblDowntime[[#This Row],[Equipment ID]])</f>
        <v/>
      </c>
      <c r="N1991" s="1">
        <f>IF(tblDowntime[[#This Row],[Failure Type]]="Production",tblDowntime[[#This Row],[Downtime Hours]],"")</f>
        <v/>
      </c>
      <c r="O1991">
        <f>IF(tblDowntime[[#This Row],[Production Downtime Hours]]="","",tblDowntime[[#This Row],[Equipment ID]])</f>
        <v/>
      </c>
      <c r="P1991" s="10" t="n"/>
    </row>
    <row r="1992">
      <c r="B1992">
        <f t="array" ref="B1992">_xlfn.XLOOKUP(C1992,INDIRECT("tblEquipment[Equipment ID]"),INDIRECT("tblEquipment[Production Department]"),"")</f>
        <v/>
      </c>
      <c r="D1992">
        <f t="array" ref="D1992">_xlfn.XLOOKUP(C1992,INDIRECT("tblEquipment[Equipment ID]"),INDIRECT("tblEquipment[Equipment Name]"),"")</f>
        <v/>
      </c>
      <c r="F1992" s="16" t="n"/>
      <c r="G1992" s="16" t="n"/>
      <c r="H1992" s="1">
        <f>IF(OR(F1992=0,G1992=0),"",(G1992-F1992)*24)</f>
        <v/>
      </c>
      <c r="I1992" s="10" t="n"/>
      <c r="J1992" s="1">
        <f>IF(OR(tblDowntime[[#This Row],[Failure Type]]="Sawshop",tblDowntime[[#This Row],[Failure Type]]="Electrical",tblDowntime[[#This Row],[Failure Type]]="Mechanical"),tblDowntime[[#This Row],[Downtime Hours]],"")</f>
        <v/>
      </c>
      <c r="K1992" s="10" t="n"/>
      <c r="L1992" s="10" t="n"/>
      <c r="M1992">
        <f>IF(tblDowntime[[#This Row],[Maintenance Downtime Hours]]="","",tblDowntime[[#This Row],[Equipment ID]])</f>
        <v/>
      </c>
      <c r="N1992" s="1">
        <f>IF(tblDowntime[[#This Row],[Failure Type]]="Production",tblDowntime[[#This Row],[Downtime Hours]],"")</f>
        <v/>
      </c>
      <c r="O1992">
        <f>IF(tblDowntime[[#This Row],[Production Downtime Hours]]="","",tblDowntime[[#This Row],[Equipment ID]])</f>
        <v/>
      </c>
      <c r="P1992" s="10" t="n"/>
    </row>
    <row r="1993">
      <c r="B1993">
        <f t="array" ref="B1993">_xlfn.XLOOKUP(C1993,INDIRECT("tblEquipment[Equipment ID]"),INDIRECT("tblEquipment[Production Department]"),"")</f>
        <v/>
      </c>
      <c r="D1993">
        <f t="array" ref="D1993">_xlfn.XLOOKUP(C1993,INDIRECT("tblEquipment[Equipment ID]"),INDIRECT("tblEquipment[Equipment Name]"),"")</f>
        <v/>
      </c>
      <c r="F1993" s="16" t="n"/>
      <c r="G1993" s="16" t="n"/>
      <c r="H1993" s="1">
        <f>IF(OR(F1993=0,G1993=0),"",(G1993-F1993)*24)</f>
        <v/>
      </c>
      <c r="I1993" s="10" t="n"/>
      <c r="J1993" s="1">
        <f>IF(OR(tblDowntime[[#This Row],[Failure Type]]="Sawshop",tblDowntime[[#This Row],[Failure Type]]="Electrical",tblDowntime[[#This Row],[Failure Type]]="Mechanical"),tblDowntime[[#This Row],[Downtime Hours]],"")</f>
        <v/>
      </c>
      <c r="K1993" s="10" t="n"/>
      <c r="L1993" s="10" t="n"/>
      <c r="M1993">
        <f>IF(tblDowntime[[#This Row],[Maintenance Downtime Hours]]="","",tblDowntime[[#This Row],[Equipment ID]])</f>
        <v/>
      </c>
      <c r="N1993" s="1">
        <f>IF(tblDowntime[[#This Row],[Failure Type]]="Production",tblDowntime[[#This Row],[Downtime Hours]],"")</f>
        <v/>
      </c>
      <c r="O1993">
        <f>IF(tblDowntime[[#This Row],[Production Downtime Hours]]="","",tblDowntime[[#This Row],[Equipment ID]])</f>
        <v/>
      </c>
      <c r="P1993" s="10" t="n"/>
    </row>
    <row r="1994">
      <c r="B1994">
        <f t="array" ref="B1994">_xlfn.XLOOKUP(C1994,INDIRECT("tblEquipment[Equipment ID]"),INDIRECT("tblEquipment[Production Department]"),"")</f>
        <v/>
      </c>
      <c r="D1994">
        <f t="array" ref="D1994">_xlfn.XLOOKUP(C1994,INDIRECT("tblEquipment[Equipment ID]"),INDIRECT("tblEquipment[Equipment Name]"),"")</f>
        <v/>
      </c>
      <c r="F1994" s="16" t="n"/>
      <c r="G1994" s="16" t="n"/>
      <c r="H1994" s="1">
        <f>IF(OR(F1994=0,G1994=0),"",(G1994-F1994)*24)</f>
        <v/>
      </c>
      <c r="I1994" s="10" t="n"/>
      <c r="J1994" s="1">
        <f>IF(OR(tblDowntime[[#This Row],[Failure Type]]="Sawshop",tblDowntime[[#This Row],[Failure Type]]="Electrical",tblDowntime[[#This Row],[Failure Type]]="Mechanical"),tblDowntime[[#This Row],[Downtime Hours]],"")</f>
        <v/>
      </c>
      <c r="K1994" s="10" t="n"/>
      <c r="L1994" s="10" t="n"/>
      <c r="M1994">
        <f>IF(tblDowntime[[#This Row],[Maintenance Downtime Hours]]="","",tblDowntime[[#This Row],[Equipment ID]])</f>
        <v/>
      </c>
      <c r="N1994" s="1">
        <f>IF(tblDowntime[[#This Row],[Failure Type]]="Production",tblDowntime[[#This Row],[Downtime Hours]],"")</f>
        <v/>
      </c>
      <c r="O1994">
        <f>IF(tblDowntime[[#This Row],[Production Downtime Hours]]="","",tblDowntime[[#This Row],[Equipment ID]])</f>
        <v/>
      </c>
      <c r="P1994" s="10" t="n"/>
    </row>
    <row r="1995">
      <c r="B1995">
        <f t="array" ref="B1995">_xlfn.XLOOKUP(C1995,INDIRECT("tblEquipment[Equipment ID]"),INDIRECT("tblEquipment[Production Department]"),"")</f>
        <v/>
      </c>
      <c r="D1995">
        <f t="array" ref="D1995">_xlfn.XLOOKUP(C1995,INDIRECT("tblEquipment[Equipment ID]"),INDIRECT("tblEquipment[Equipment Name]"),"")</f>
        <v/>
      </c>
      <c r="F1995" s="16" t="n"/>
      <c r="G1995" s="16" t="n"/>
      <c r="H1995" s="1">
        <f>IF(OR(F1995=0,G1995=0),"",(G1995-F1995)*24)</f>
        <v/>
      </c>
      <c r="I1995" s="10" t="n"/>
      <c r="J1995" s="1">
        <f>IF(OR(tblDowntime[[#This Row],[Failure Type]]="Sawshop",tblDowntime[[#This Row],[Failure Type]]="Electrical",tblDowntime[[#This Row],[Failure Type]]="Mechanical"),tblDowntime[[#This Row],[Downtime Hours]],"")</f>
        <v/>
      </c>
      <c r="K1995" s="10" t="n"/>
      <c r="L1995" s="10" t="n"/>
      <c r="M1995">
        <f>IF(tblDowntime[[#This Row],[Maintenance Downtime Hours]]="","",tblDowntime[[#This Row],[Equipment ID]])</f>
        <v/>
      </c>
      <c r="N1995" s="1">
        <f>IF(tblDowntime[[#This Row],[Failure Type]]="Production",tblDowntime[[#This Row],[Downtime Hours]],"")</f>
        <v/>
      </c>
      <c r="O1995">
        <f>IF(tblDowntime[[#This Row],[Production Downtime Hours]]="","",tblDowntime[[#This Row],[Equipment ID]])</f>
        <v/>
      </c>
      <c r="P1995" s="10" t="n"/>
    </row>
    <row r="1996">
      <c r="B1996">
        <f t="array" ref="B1996">_xlfn.XLOOKUP(C1996,INDIRECT("tblEquipment[Equipment ID]"),INDIRECT("tblEquipment[Production Department]"),"")</f>
        <v/>
      </c>
      <c r="D1996">
        <f t="array" ref="D1996">_xlfn.XLOOKUP(C1996,INDIRECT("tblEquipment[Equipment ID]"),INDIRECT("tblEquipment[Equipment Name]"),"")</f>
        <v/>
      </c>
      <c r="F1996" s="16" t="n"/>
      <c r="G1996" s="16" t="n"/>
      <c r="H1996" s="1">
        <f>IF(OR(F1996=0,G1996=0),"",(G1996-F1996)*24)</f>
        <v/>
      </c>
      <c r="I1996" s="10" t="n"/>
      <c r="J1996" s="1">
        <f>IF(OR(tblDowntime[[#This Row],[Failure Type]]="Sawshop",tblDowntime[[#This Row],[Failure Type]]="Electrical",tblDowntime[[#This Row],[Failure Type]]="Mechanical"),tblDowntime[[#This Row],[Downtime Hours]],"")</f>
        <v/>
      </c>
      <c r="K1996" s="10" t="n"/>
      <c r="L1996" s="10" t="n"/>
      <c r="M1996">
        <f>IF(tblDowntime[[#This Row],[Maintenance Downtime Hours]]="","",tblDowntime[[#This Row],[Equipment ID]])</f>
        <v/>
      </c>
      <c r="N1996" s="1">
        <f>IF(tblDowntime[[#This Row],[Failure Type]]="Production",tblDowntime[[#This Row],[Downtime Hours]],"")</f>
        <v/>
      </c>
      <c r="O1996">
        <f>IF(tblDowntime[[#This Row],[Production Downtime Hours]]="","",tblDowntime[[#This Row],[Equipment ID]])</f>
        <v/>
      </c>
      <c r="P1996" s="10" t="n"/>
    </row>
    <row r="1997">
      <c r="B1997">
        <f t="array" ref="B1997">_xlfn.XLOOKUP(C1997,INDIRECT("tblEquipment[Equipment ID]"),INDIRECT("tblEquipment[Production Department]"),"")</f>
        <v/>
      </c>
      <c r="D1997">
        <f t="array" ref="D1997">_xlfn.XLOOKUP(C1997,INDIRECT("tblEquipment[Equipment ID]"),INDIRECT("tblEquipment[Equipment Name]"),"")</f>
        <v/>
      </c>
      <c r="F1997" s="16" t="n"/>
      <c r="G1997" s="16" t="n"/>
      <c r="H1997" s="1">
        <f>IF(OR(F1997=0,G1997=0),"",(G1997-F1997)*24)</f>
        <v/>
      </c>
      <c r="I1997" s="10" t="n"/>
      <c r="J1997" s="1">
        <f>IF(OR(tblDowntime[[#This Row],[Failure Type]]="Sawshop",tblDowntime[[#This Row],[Failure Type]]="Electrical",tblDowntime[[#This Row],[Failure Type]]="Mechanical"),tblDowntime[[#This Row],[Downtime Hours]],"")</f>
        <v/>
      </c>
      <c r="K1997" s="10" t="n"/>
      <c r="L1997" s="10" t="n"/>
      <c r="M1997">
        <f>IF(tblDowntime[[#This Row],[Maintenance Downtime Hours]]="","",tblDowntime[[#This Row],[Equipment ID]])</f>
        <v/>
      </c>
      <c r="N1997" s="1">
        <f>IF(tblDowntime[[#This Row],[Failure Type]]="Production",tblDowntime[[#This Row],[Downtime Hours]],"")</f>
        <v/>
      </c>
      <c r="O1997">
        <f>IF(tblDowntime[[#This Row],[Production Downtime Hours]]="","",tblDowntime[[#This Row],[Equipment ID]])</f>
        <v/>
      </c>
      <c r="P1997" s="10" t="n"/>
    </row>
    <row r="1998">
      <c r="B1998">
        <f t="array" ref="B1998">_xlfn.XLOOKUP(C1998,INDIRECT("tblEquipment[Equipment ID]"),INDIRECT("tblEquipment[Production Department]"),"")</f>
        <v/>
      </c>
      <c r="D1998">
        <f t="array" ref="D1998">_xlfn.XLOOKUP(C1998,INDIRECT("tblEquipment[Equipment ID]"),INDIRECT("tblEquipment[Equipment Name]"),"")</f>
        <v/>
      </c>
      <c r="F1998" s="16" t="n"/>
      <c r="G1998" s="16" t="n"/>
      <c r="H1998" s="1">
        <f>IF(OR(F1998=0,G1998=0),"",(G1998-F1998)*24)</f>
        <v/>
      </c>
      <c r="I1998" s="10" t="n"/>
      <c r="J1998" s="1">
        <f>IF(OR(tblDowntime[[#This Row],[Failure Type]]="Sawshop",tblDowntime[[#This Row],[Failure Type]]="Electrical",tblDowntime[[#This Row],[Failure Type]]="Mechanical"),tblDowntime[[#This Row],[Downtime Hours]],"")</f>
        <v/>
      </c>
      <c r="K1998" s="10" t="n"/>
      <c r="L1998" s="10" t="n"/>
      <c r="M1998">
        <f>IF(tblDowntime[[#This Row],[Maintenance Downtime Hours]]="","",tblDowntime[[#This Row],[Equipment ID]])</f>
        <v/>
      </c>
      <c r="N1998" s="1">
        <f>IF(tblDowntime[[#This Row],[Failure Type]]="Production",tblDowntime[[#This Row],[Downtime Hours]],"")</f>
        <v/>
      </c>
      <c r="O1998">
        <f>IF(tblDowntime[[#This Row],[Production Downtime Hours]]="","",tblDowntime[[#This Row],[Equipment ID]])</f>
        <v/>
      </c>
      <c r="P1998" s="10" t="n"/>
    </row>
    <row r="1999">
      <c r="B1999">
        <f t="array" ref="B1999">_xlfn.XLOOKUP(C1999,INDIRECT("tblEquipment[Equipment ID]"),INDIRECT("tblEquipment[Production Department]"),"")</f>
        <v/>
      </c>
      <c r="D1999">
        <f t="array" ref="D1999">_xlfn.XLOOKUP(C1999,INDIRECT("tblEquipment[Equipment ID]"),INDIRECT("tblEquipment[Equipment Name]"),"")</f>
        <v/>
      </c>
      <c r="F1999" s="16" t="n"/>
      <c r="G1999" s="16" t="n"/>
      <c r="H1999" s="1">
        <f>IF(OR(F1999=0,G1999=0),"",(G1999-F1999)*24)</f>
        <v/>
      </c>
      <c r="I1999" s="10" t="n"/>
      <c r="J1999" s="1">
        <f>IF(OR(tblDowntime[[#This Row],[Failure Type]]="Sawshop",tblDowntime[[#This Row],[Failure Type]]="Electrical",tblDowntime[[#This Row],[Failure Type]]="Mechanical"),tblDowntime[[#This Row],[Downtime Hours]],"")</f>
        <v/>
      </c>
      <c r="K1999" s="10" t="n"/>
      <c r="L1999" s="10" t="n"/>
      <c r="M1999">
        <f>IF(tblDowntime[[#This Row],[Maintenance Downtime Hours]]="","",tblDowntime[[#This Row],[Equipment ID]])</f>
        <v/>
      </c>
      <c r="N1999" s="1">
        <f>IF(tblDowntime[[#This Row],[Failure Type]]="Production",tblDowntime[[#This Row],[Downtime Hours]],"")</f>
        <v/>
      </c>
      <c r="O1999">
        <f>IF(tblDowntime[[#This Row],[Production Downtime Hours]]="","",tblDowntime[[#This Row],[Equipment ID]])</f>
        <v/>
      </c>
      <c r="P1999" s="10" t="n"/>
    </row>
    <row r="2000">
      <c r="B2000">
        <f t="array" ref="B2000">_xlfn.XLOOKUP(C2000,INDIRECT("tblEquipment[Equipment ID]"),INDIRECT("tblEquipment[Production Department]"),"")</f>
        <v/>
      </c>
      <c r="D2000">
        <f t="array" ref="D2000">_xlfn.XLOOKUP(C2000,INDIRECT("tblEquipment[Equipment ID]"),INDIRECT("tblEquipment[Equipment Name]"),"")</f>
        <v/>
      </c>
      <c r="F2000" s="16" t="n"/>
      <c r="G2000" s="16" t="n"/>
      <c r="H2000" s="1">
        <f>IF(OR(F2000=0,G2000=0),"",(G2000-F2000)*24)</f>
        <v/>
      </c>
      <c r="I2000" s="10" t="n"/>
      <c r="J2000" s="1">
        <f>IF(OR(tblDowntime[[#This Row],[Failure Type]]="Sawshop",tblDowntime[[#This Row],[Failure Type]]="Electrical",tblDowntime[[#This Row],[Failure Type]]="Mechanical"),tblDowntime[[#This Row],[Downtime Hours]],"")</f>
        <v/>
      </c>
      <c r="K2000" s="10" t="n"/>
      <c r="L2000" s="10" t="n"/>
      <c r="M2000">
        <f>IF(tblDowntime[[#This Row],[Maintenance Downtime Hours]]="","",tblDowntime[[#This Row],[Equipment ID]])</f>
        <v/>
      </c>
      <c r="N2000" s="1">
        <f>IF(tblDowntime[[#This Row],[Failure Type]]="Production",tblDowntime[[#This Row],[Downtime Hours]],"")</f>
        <v/>
      </c>
      <c r="O2000">
        <f>IF(tblDowntime[[#This Row],[Production Downtime Hours]]="","",tblDowntime[[#This Row],[Equipment ID]])</f>
        <v/>
      </c>
      <c r="P2000" s="10" t="n"/>
    </row>
  </sheetData>
  <dataValidations count="2">
    <dataValidation sqref="C1:C2000" showDropDown="0" showInputMessage="1" showErrorMessage="1" allowBlank="1" type="list">
      <formula1>INDIRECT("tblEquipment[Equipment ID]")</formula1>
    </dataValidation>
    <dataValidation sqref="I2:I2000" showDropDown="0" showInputMessage="1" showErrorMessage="1" allowBlank="1" type="list">
      <formula1>$T$2:$T$5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1"/>
  <sheetViews>
    <sheetView zoomScaleNormal="100" workbookViewId="0">
      <selection activeCell="A4" sqref="A4"/>
    </sheetView>
  </sheetViews>
  <sheetFormatPr baseColWidth="8" defaultRowHeight="12"/>
  <cols>
    <col width="9.7109375" customWidth="1" min="1" max="14"/>
    <col width="2.7109375" customWidth="1" min="15" max="15"/>
    <col width="9.7109375" customWidth="1" min="16" max="28"/>
    <col width="19.7109375" customWidth="1" min="29" max="30"/>
  </cols>
  <sheetData>
    <row r="1">
      <c r="A1" s="108" t="inlineStr">
        <is>
          <t>Boiler Statistics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  <c r="L1" s="109" t="n"/>
      <c r="M1" s="109" t="n"/>
      <c r="N1" s="109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  <c r="AB1" s="18" t="n"/>
      <c r="AC1" s="20" t="n"/>
      <c r="AD1" s="21" t="n"/>
    </row>
    <row r="2">
      <c r="A2" s="110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19" t="n"/>
      <c r="AB2" s="18" t="n"/>
      <c r="AC2" s="20" t="n"/>
      <c r="AD2" s="21" t="n"/>
    </row>
    <row r="3">
      <c r="A3" s="111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19" t="n"/>
      <c r="AB3" s="18" t="n"/>
      <c r="AC3" s="20" t="n"/>
      <c r="AD3" s="21" t="n"/>
    </row>
    <row r="4" ht="51" customHeight="1">
      <c r="A4" s="23" t="n"/>
      <c r="B4" s="25" t="inlineStr">
        <is>
          <t>Boiler #1 - TDS Readings</t>
        </is>
      </c>
      <c r="C4" s="113" t="n"/>
      <c r="D4" s="88" t="inlineStr">
        <is>
          <t>Boiler #1 - Highest</t>
        </is>
      </c>
      <c r="E4" s="25" t="inlineStr">
        <is>
          <t>Boiler #1 - Blowdowns</t>
        </is>
      </c>
      <c r="F4" s="25" t="inlineStr">
        <is>
          <t>Boiler #2 - TDS Readings</t>
        </is>
      </c>
      <c r="G4" s="113" t="n"/>
      <c r="H4" s="88" t="inlineStr">
        <is>
          <t>Boiler #2 - Highest</t>
        </is>
      </c>
      <c r="I4" s="25" t="inlineStr">
        <is>
          <t>Boiler #2 - Blowdowns</t>
        </is>
      </c>
      <c r="J4" s="25" t="inlineStr">
        <is>
          <t>Boiler #3 - TDS Readings</t>
        </is>
      </c>
      <c r="K4" s="113" t="n"/>
      <c r="L4" s="88" t="inlineStr">
        <is>
          <t>Boiler #3 - Highest</t>
        </is>
      </c>
      <c r="M4" s="25" t="inlineStr">
        <is>
          <t>Boiler #3 - Blowdowns</t>
        </is>
      </c>
      <c r="N4" s="25" t="inlineStr">
        <is>
          <t>TDS Setpoint</t>
        </is>
      </c>
      <c r="O4" s="22" t="n"/>
      <c r="P4" s="25" t="inlineStr">
        <is>
          <t>Condensate Meter Reading [Top]</t>
        </is>
      </c>
      <c r="Q4" s="25" t="inlineStr">
        <is>
          <t>Condensate Return</t>
        </is>
      </c>
      <c r="R4" s="25" t="inlineStr">
        <is>
          <t>Water Makeup Meter Reading [Bottom]</t>
        </is>
      </c>
      <c r="S4" s="25" t="inlineStr">
        <is>
          <t>Actual Makeup</t>
        </is>
      </c>
      <c r="T4" s="26" t="inlineStr">
        <is>
          <t>Daily %</t>
        </is>
      </c>
      <c r="U4" s="25" t="inlineStr">
        <is>
          <t>7 Day Rolling Average</t>
        </is>
      </c>
      <c r="V4" s="26" t="inlineStr">
        <is>
          <t>Month %</t>
        </is>
      </c>
      <c r="W4" s="26" t="inlineStr">
        <is>
          <t>Minimum</t>
        </is>
      </c>
      <c r="X4" s="22" t="n"/>
      <c r="Y4" s="25" t="inlineStr">
        <is>
          <t>Softener [Day]</t>
        </is>
      </c>
      <c r="Z4" s="25" t="inlineStr">
        <is>
          <t>Softener [Night]</t>
        </is>
      </c>
      <c r="AA4" s="27" t="inlineStr">
        <is>
          <t>Salt Bags [50Kg]</t>
        </is>
      </c>
      <c r="AB4" s="27" t="inlineStr">
        <is>
          <t>Lost Time Mins</t>
        </is>
      </c>
      <c r="AC4" s="28" t="inlineStr">
        <is>
          <t>Downtime</t>
        </is>
      </c>
      <c r="AD4" s="28" t="inlineStr">
        <is>
          <t>Operator Comments</t>
        </is>
      </c>
    </row>
    <row r="5" ht="20.4" customHeight="1">
      <c r="A5" s="29" t="inlineStr">
        <is>
          <t>Date</t>
        </is>
      </c>
      <c r="B5" s="30" t="inlineStr">
        <is>
          <t>Morning</t>
        </is>
      </c>
      <c r="C5" s="29" t="inlineStr">
        <is>
          <t>Night</t>
        </is>
      </c>
      <c r="D5" s="30" t="inlineStr">
        <is>
          <t>Boiler 1</t>
        </is>
      </c>
      <c r="E5" s="31" t="inlineStr">
        <is>
          <t>Total per Boiler</t>
        </is>
      </c>
      <c r="F5" s="30" t="inlineStr">
        <is>
          <t>Morning</t>
        </is>
      </c>
      <c r="G5" s="29" t="inlineStr">
        <is>
          <t>Night</t>
        </is>
      </c>
      <c r="H5" s="30" t="inlineStr">
        <is>
          <t>Boiler 2</t>
        </is>
      </c>
      <c r="I5" s="31" t="inlineStr">
        <is>
          <t>Total per Boiler</t>
        </is>
      </c>
      <c r="J5" s="30" t="inlineStr">
        <is>
          <t>Morning</t>
        </is>
      </c>
      <c r="K5" s="29" t="inlineStr">
        <is>
          <t>Night</t>
        </is>
      </c>
      <c r="L5" s="30" t="inlineStr">
        <is>
          <t>Boiler 3</t>
        </is>
      </c>
      <c r="M5" s="32" t="inlineStr">
        <is>
          <t>Total per Boiler</t>
        </is>
      </c>
      <c r="N5" s="29" t="n">
        <v>3300</v>
      </c>
      <c r="O5" s="33" t="n"/>
      <c r="P5" s="29" t="inlineStr">
        <is>
          <t>Reading</t>
        </is>
      </c>
      <c r="Q5" s="29" t="inlineStr">
        <is>
          <t>Daily</t>
        </is>
      </c>
      <c r="R5" s="29" t="inlineStr">
        <is>
          <t>Reading</t>
        </is>
      </c>
      <c r="S5" s="29" t="inlineStr">
        <is>
          <t>Daily</t>
        </is>
      </c>
      <c r="T5" s="29" t="inlineStr">
        <is>
          <t>%</t>
        </is>
      </c>
      <c r="U5" s="29" t="inlineStr">
        <is>
          <t>%</t>
        </is>
      </c>
      <c r="V5" s="29" t="inlineStr">
        <is>
          <t>%</t>
        </is>
      </c>
      <c r="W5" s="29" t="inlineStr">
        <is>
          <t>%</t>
        </is>
      </c>
      <c r="X5" s="34" t="n"/>
      <c r="Y5" s="29" t="inlineStr">
        <is>
          <t>Blue</t>
        </is>
      </c>
      <c r="Z5" s="29" t="inlineStr">
        <is>
          <t>Blue</t>
        </is>
      </c>
      <c r="AA5" s="29" t="inlineStr">
        <is>
          <t>Amount</t>
        </is>
      </c>
      <c r="AB5" s="29" t="inlineStr">
        <is>
          <t>Minutes</t>
        </is>
      </c>
      <c r="AC5" s="29" t="inlineStr">
        <is>
          <t>Incident &amp; Remedy</t>
        </is>
      </c>
      <c r="AD5" s="29" t="inlineStr">
        <is>
          <t>Items for Action</t>
        </is>
      </c>
    </row>
    <row r="6">
      <c r="A6" s="35" t="n"/>
      <c r="B6" s="36" t="n"/>
      <c r="C6" s="37" t="n"/>
      <c r="D6" s="36">
        <f>IF(OR(B6&gt;1,C6&gt;1),MAX(B6:C6),"")</f>
        <v/>
      </c>
      <c r="E6" s="38" t="n"/>
      <c r="F6" s="36" t="n"/>
      <c r="G6" s="37" t="n"/>
      <c r="H6" s="36">
        <f>IF(OR(F6&gt;1,G6&gt;1),MAX(F6:G6),"")</f>
        <v/>
      </c>
      <c r="I6" s="38" t="n"/>
      <c r="J6" s="36" t="n"/>
      <c r="K6" s="37" t="n"/>
      <c r="L6" s="36">
        <f>IF(OR(J6&gt;1,K6&gt;1),MAX(J6:K6),"")</f>
        <v/>
      </c>
      <c r="M6" s="39" t="n"/>
      <c r="N6" s="37">
        <f>$N$5</f>
        <v/>
      </c>
      <c r="O6" s="33" t="n"/>
      <c r="P6" s="37" t="n"/>
      <c r="Q6" s="52" t="n"/>
      <c r="R6" s="37" t="n"/>
      <c r="S6" s="52" t="n"/>
      <c r="T6" s="53" t="n"/>
      <c r="U6" s="53" t="n"/>
      <c r="V6" s="52" t="n"/>
      <c r="W6" s="54" t="n"/>
      <c r="X6" s="34" t="n"/>
      <c r="Y6" s="29" t="n"/>
      <c r="Z6" s="29" t="n"/>
      <c r="AA6" s="29" t="n"/>
      <c r="AB6" s="29" t="n"/>
      <c r="AC6" s="29" t="n"/>
      <c r="AD6" s="29" t="n"/>
    </row>
    <row r="7">
      <c r="A7" s="35" t="n"/>
      <c r="B7" s="36" t="n"/>
      <c r="C7" s="37" t="n"/>
      <c r="D7" s="36">
        <f>IF(OR(B7&gt;1,C7&gt;1),MAX(B7:C7),"")</f>
        <v/>
      </c>
      <c r="E7" s="38" t="n"/>
      <c r="F7" s="36" t="n"/>
      <c r="G7" s="37" t="n"/>
      <c r="H7" s="36">
        <f>IF(OR(F7&gt;1,G7&gt;1),MAX(F7:G7),"")</f>
        <v/>
      </c>
      <c r="I7" s="38" t="n"/>
      <c r="J7" s="36" t="n"/>
      <c r="K7" s="37" t="n"/>
      <c r="L7" s="36">
        <f>IF(OR(J7&gt;1,K7&gt;1),MAX(J7:K7),"")</f>
        <v/>
      </c>
      <c r="M7" s="39" t="n"/>
      <c r="N7" s="37">
        <f>$N$5</f>
        <v/>
      </c>
      <c r="O7" s="19" t="n"/>
      <c r="P7" s="37" t="n"/>
      <c r="Q7" s="38">
        <f>IF(P7&gt;1,SUM(P7-P6),"")</f>
        <v/>
      </c>
      <c r="R7" s="37" t="n"/>
      <c r="S7" s="38">
        <f>IF(R7&gt;1,SUM(R7-R6),"")</f>
        <v/>
      </c>
      <c r="T7" s="40">
        <f>IFERROR((Q7/(Q7+S7)),"")</f>
        <v/>
      </c>
      <c r="U7" s="40">
        <f>IF(P7&gt;1,T7,"")</f>
        <v/>
      </c>
      <c r="V7" s="55">
        <f>IF(P7&gt;1,AVERAGE($T$7:T7),"")</f>
        <v/>
      </c>
      <c r="W7" s="41" t="n">
        <v>0.8</v>
      </c>
      <c r="X7" s="19" t="n"/>
      <c r="Y7" s="38" t="n"/>
      <c r="Z7" s="38" t="n"/>
      <c r="AA7" s="38" t="n"/>
      <c r="AB7" s="38" t="n"/>
      <c r="AC7" s="42" t="n"/>
      <c r="AD7" s="42" t="n"/>
    </row>
    <row r="8">
      <c r="A8" s="35" t="n"/>
      <c r="B8" s="36" t="n"/>
      <c r="C8" s="37" t="n"/>
      <c r="D8" s="36">
        <f>IF(OR(B8&gt;1,C8&gt;1),MAX(B8:C8),"")</f>
        <v/>
      </c>
      <c r="E8" s="38" t="n"/>
      <c r="F8" s="36" t="n"/>
      <c r="G8" s="37" t="n"/>
      <c r="H8" s="36">
        <f>IF(OR(F8&gt;1,G8&gt;1),MAX(F8:G8),"")</f>
        <v/>
      </c>
      <c r="I8" s="38" t="n"/>
      <c r="J8" s="36" t="n"/>
      <c r="K8" s="37" t="n"/>
      <c r="L8" s="36">
        <f>IF(OR(J8&gt;1,K8&gt;1),MAX(J8:K8),"")</f>
        <v/>
      </c>
      <c r="M8" s="39" t="n"/>
      <c r="N8" s="37">
        <f>$N$5</f>
        <v/>
      </c>
      <c r="O8" s="19" t="n"/>
      <c r="P8" s="37" t="n"/>
      <c r="Q8" s="38">
        <f>IF(P8&gt;1,SUM(P8-P7),"")</f>
        <v/>
      </c>
      <c r="R8" s="37" t="n"/>
      <c r="S8" s="38">
        <f>IF(R8&gt;1,SUM(R8-R7),"")</f>
        <v/>
      </c>
      <c r="T8" s="40">
        <f>IFERROR((Q8/(Q8+S8)),"")</f>
        <v/>
      </c>
      <c r="U8" s="40">
        <f>IF(P8&gt;1,AVERAGE($T$7:T8),"")</f>
        <v/>
      </c>
      <c r="V8" s="55">
        <f>IF(P8&gt;1,AVERAGE($T$7:T8),"")</f>
        <v/>
      </c>
      <c r="W8" s="41" t="n">
        <v>0.8</v>
      </c>
      <c r="X8" s="19" t="n"/>
      <c r="Y8" s="38" t="n"/>
      <c r="Z8" s="38" t="n"/>
      <c r="AA8" s="38" t="n"/>
      <c r="AB8" s="38" t="n"/>
      <c r="AC8" s="42" t="n"/>
      <c r="AD8" s="42" t="n"/>
    </row>
    <row r="9">
      <c r="A9" s="35" t="n"/>
      <c r="B9" s="36" t="n"/>
      <c r="C9" s="37" t="n"/>
      <c r="D9" s="36">
        <f>IF(OR(B9&gt;1,C9&gt;1),MAX(B9:C9),"")</f>
        <v/>
      </c>
      <c r="E9" s="38" t="n"/>
      <c r="F9" s="39" t="n"/>
      <c r="G9" s="38" t="n"/>
      <c r="H9" s="36">
        <f>IF(OR(F9&gt;1,G9&gt;1),MAX(F9:G9),"")</f>
        <v/>
      </c>
      <c r="I9" s="38" t="n"/>
      <c r="J9" s="36" t="n"/>
      <c r="K9" s="37" t="n"/>
      <c r="L9" s="36">
        <f>IF(OR(J9&gt;1,K9&gt;1),MAX(J9:K9),"")</f>
        <v/>
      </c>
      <c r="M9" s="39" t="n"/>
      <c r="N9" s="37">
        <f>$N$5</f>
        <v/>
      </c>
      <c r="O9" s="19" t="n"/>
      <c r="P9" s="37" t="n"/>
      <c r="Q9" s="38">
        <f>IF(P9&gt;1,SUM(P9-P8),"")</f>
        <v/>
      </c>
      <c r="R9" s="37" t="n"/>
      <c r="S9" s="38">
        <f>IF(R9&gt;1,SUM(R9-R8),"")</f>
        <v/>
      </c>
      <c r="T9" s="40">
        <f>IFERROR((Q9/(Q9+S9)),"")</f>
        <v/>
      </c>
      <c r="U9" s="40">
        <f>IF(P9&gt;1,AVERAGE($T$7:T9),"")</f>
        <v/>
      </c>
      <c r="V9" s="55">
        <f>IF(P9&gt;1,AVERAGE($T$7:T9),"")</f>
        <v/>
      </c>
      <c r="W9" s="41" t="n">
        <v>0.8</v>
      </c>
      <c r="X9" s="19" t="n"/>
      <c r="Y9" s="38" t="n"/>
      <c r="Z9" s="38" t="n"/>
      <c r="AA9" s="38" t="n"/>
      <c r="AB9" s="38" t="n"/>
      <c r="AC9" s="43" t="n"/>
      <c r="AD9" s="43" t="n"/>
    </row>
    <row r="10">
      <c r="A10" s="35" t="n"/>
      <c r="B10" s="39" t="n"/>
      <c r="C10" s="38" t="n"/>
      <c r="D10" s="36">
        <f>IF(OR(B10&gt;1,C10&gt;1),MAX(B10:C10),"")</f>
        <v/>
      </c>
      <c r="E10" s="38" t="n"/>
      <c r="F10" s="39" t="n"/>
      <c r="G10" s="38" t="n"/>
      <c r="H10" s="36">
        <f>IF(OR(F10&gt;1,G10&gt;1),MAX(F10:G10),"")</f>
        <v/>
      </c>
      <c r="I10" s="38" t="n"/>
      <c r="J10" s="36" t="n"/>
      <c r="K10" s="37" t="n"/>
      <c r="L10" s="36">
        <f>IF(OR(J10&gt;1,K10&gt;1),MAX(J10:K10),"")</f>
        <v/>
      </c>
      <c r="M10" s="39" t="n"/>
      <c r="N10" s="37">
        <f>$N$5</f>
        <v/>
      </c>
      <c r="O10" s="19" t="n"/>
      <c r="P10" s="37" t="n"/>
      <c r="Q10" s="38">
        <f>IF(P10&gt;1,SUM(P10-P9),"")</f>
        <v/>
      </c>
      <c r="R10" s="37" t="n"/>
      <c r="S10" s="38">
        <f>IF(R10&gt;1,SUM(R10-R9),"")</f>
        <v/>
      </c>
      <c r="T10" s="40">
        <f>IFERROR((Q10/(Q10+S10)),"")</f>
        <v/>
      </c>
      <c r="U10" s="40">
        <f>IF(P10&gt;1,AVERAGE($T$7:T10),"")</f>
        <v/>
      </c>
      <c r="V10" s="55">
        <f>IF(P10&gt;1,AVERAGE($T$7:T10),"")</f>
        <v/>
      </c>
      <c r="W10" s="41" t="n">
        <v>0.8</v>
      </c>
      <c r="X10" s="19" t="n"/>
      <c r="Y10" s="38" t="n"/>
      <c r="Z10" s="38" t="n"/>
      <c r="AA10" s="38" t="n"/>
      <c r="AB10" s="38" t="n"/>
      <c r="AC10" s="43" t="n"/>
      <c r="AD10" s="42" t="n"/>
    </row>
    <row r="11">
      <c r="A11" s="35" t="n"/>
      <c r="B11" s="39" t="n"/>
      <c r="C11" s="38" t="n"/>
      <c r="D11" s="36">
        <f>IF(OR(B11&gt;1,C11&gt;1),MAX(B11:C11),"")</f>
        <v/>
      </c>
      <c r="E11" s="38" t="n"/>
      <c r="F11" s="36" t="n"/>
      <c r="G11" s="37" t="n"/>
      <c r="H11" s="36">
        <f>IF(OR(F11&gt;1,G11&gt;1),MAX(F11:G11),"")</f>
        <v/>
      </c>
      <c r="I11" s="38" t="n"/>
      <c r="J11" s="36" t="n"/>
      <c r="K11" s="37" t="n"/>
      <c r="L11" s="36">
        <f>IF(OR(J11&gt;1,K11&gt;1),MAX(J11:K11),"")</f>
        <v/>
      </c>
      <c r="M11" s="39" t="n"/>
      <c r="N11" s="37">
        <f>$N$5</f>
        <v/>
      </c>
      <c r="O11" s="19" t="n"/>
      <c r="P11" s="37" t="n"/>
      <c r="Q11" s="38">
        <f>IF(P11&gt;1,SUM(P11-P10),"")</f>
        <v/>
      </c>
      <c r="R11" s="37" t="n"/>
      <c r="S11" s="38">
        <f>IF(R11&gt;1,SUM(R11-R10),"")</f>
        <v/>
      </c>
      <c r="T11" s="40">
        <f>IFERROR((Q11/(Q11+S11)),"")</f>
        <v/>
      </c>
      <c r="U11" s="40">
        <f>IF(P11&gt;1,AVERAGE($T$7:T11),"")</f>
        <v/>
      </c>
      <c r="V11" s="55">
        <f>IF(P11&gt;1,AVERAGE($T$7:T11),"")</f>
        <v/>
      </c>
      <c r="W11" s="41" t="n">
        <v>0.8</v>
      </c>
      <c r="X11" s="19" t="n"/>
      <c r="Y11" s="38" t="n"/>
      <c r="Z11" s="38" t="n"/>
      <c r="AA11" s="38" t="n"/>
      <c r="AB11" s="38" t="n"/>
      <c r="AC11" s="42" t="n"/>
      <c r="AD11" s="42" t="n"/>
    </row>
    <row r="12">
      <c r="A12" s="35" t="n"/>
      <c r="B12" s="39" t="n"/>
      <c r="C12" s="38" t="n"/>
      <c r="D12" s="36">
        <f>IF(OR(B12&gt;1,C12&gt;1),MAX(B12:C12),"")</f>
        <v/>
      </c>
      <c r="E12" s="38" t="n"/>
      <c r="F12" s="36" t="n"/>
      <c r="G12" s="37" t="n"/>
      <c r="H12" s="36">
        <f>IF(OR(F12&gt;1,G12&gt;1),MAX(F12:G12),"")</f>
        <v/>
      </c>
      <c r="I12" s="38" t="n"/>
      <c r="J12" s="36" t="n"/>
      <c r="K12" s="37" t="n"/>
      <c r="L12" s="36">
        <f>IF(OR(J12&gt;1,K12&gt;1),MAX(J12:K12),"")</f>
        <v/>
      </c>
      <c r="M12" s="39" t="n"/>
      <c r="N12" s="37">
        <f>$N$5</f>
        <v/>
      </c>
      <c r="O12" s="19" t="n"/>
      <c r="P12" s="37" t="n"/>
      <c r="Q12" s="38">
        <f>IF(P12&gt;1,SUM(P12-P11),"")</f>
        <v/>
      </c>
      <c r="R12" s="37" t="n"/>
      <c r="S12" s="38">
        <f>IF(R12&gt;1,SUM(R12-R11),"")</f>
        <v/>
      </c>
      <c r="T12" s="40">
        <f>IFERROR((Q12/(Q12+S12)),"")</f>
        <v/>
      </c>
      <c r="U12" s="40">
        <f>IF(P12&gt;1,AVERAGE($T$7:T12),"")</f>
        <v/>
      </c>
      <c r="V12" s="55">
        <f>IF(P12&gt;1,AVERAGE($T$7:T12),"")</f>
        <v/>
      </c>
      <c r="W12" s="41" t="n">
        <v>0.8</v>
      </c>
      <c r="X12" s="19" t="n"/>
      <c r="Y12" s="38" t="n"/>
      <c r="Z12" s="38" t="n"/>
      <c r="AA12" s="38" t="n"/>
      <c r="AB12" s="42" t="n"/>
      <c r="AC12" s="42" t="n"/>
      <c r="AD12" s="42" t="n"/>
    </row>
    <row r="13">
      <c r="A13" s="35" t="n"/>
      <c r="B13" s="36" t="n"/>
      <c r="C13" s="37" t="n"/>
      <c r="D13" s="36">
        <f>IF(OR(B13&gt;1,C13&gt;1),MAX(B13:C13),"")</f>
        <v/>
      </c>
      <c r="E13" s="38" t="n"/>
      <c r="F13" s="36" t="n"/>
      <c r="G13" s="37" t="n"/>
      <c r="H13" s="36">
        <f>IF(OR(F13&gt;1,G13&gt;1),MAX(F13:G13),"")</f>
        <v/>
      </c>
      <c r="I13" s="38" t="n"/>
      <c r="J13" s="36" t="n"/>
      <c r="K13" s="37" t="n"/>
      <c r="L13" s="36">
        <f>IF(OR(J13&gt;1,K13&gt;1),MAX(J13:K13),"")</f>
        <v/>
      </c>
      <c r="M13" s="39" t="n"/>
      <c r="N13" s="37">
        <f>$N$5</f>
        <v/>
      </c>
      <c r="O13" s="19" t="n"/>
      <c r="P13" s="37" t="n"/>
      <c r="Q13" s="38">
        <f>IF(P13&gt;1,SUM(P13-P12),"")</f>
        <v/>
      </c>
      <c r="R13" s="37" t="n"/>
      <c r="S13" s="38">
        <f>IF(R13&gt;1,SUM(R13-R12),"")</f>
        <v/>
      </c>
      <c r="T13" s="40">
        <f>IFERROR((Q13/(Q13+S13)),"")</f>
        <v/>
      </c>
      <c r="U13" s="40">
        <f>IF(P13&gt;1,AVERAGE($T$7:T13),"")</f>
        <v/>
      </c>
      <c r="V13" s="55">
        <f>IF(P13&gt;1,AVERAGE($T$7:T13),"")</f>
        <v/>
      </c>
      <c r="W13" s="41" t="n">
        <v>0.8</v>
      </c>
      <c r="X13" s="19" t="n"/>
      <c r="Y13" s="38" t="n"/>
      <c r="Z13" s="38" t="n"/>
      <c r="AA13" s="38" t="n"/>
      <c r="AB13" s="38" t="n"/>
      <c r="AC13" s="42" t="n"/>
      <c r="AD13" s="42" t="n"/>
    </row>
    <row r="14">
      <c r="A14" s="35" t="n"/>
      <c r="B14" s="36" t="n"/>
      <c r="C14" s="37" t="n"/>
      <c r="D14" s="36">
        <f>IF(OR(B14&gt;1,C14&gt;1),MAX(B14:C14),"")</f>
        <v/>
      </c>
      <c r="E14" s="38" t="n"/>
      <c r="F14" s="36" t="n"/>
      <c r="G14" s="37" t="n"/>
      <c r="H14" s="36">
        <f>IF(OR(F14&gt;1,G14&gt;1),MAX(F14:G14),"")</f>
        <v/>
      </c>
      <c r="I14" s="38" t="n"/>
      <c r="J14" s="36" t="n"/>
      <c r="K14" s="37" t="n"/>
      <c r="L14" s="36">
        <f>IF(OR(J14&gt;1,K14&gt;1),MAX(J14:K14),"")</f>
        <v/>
      </c>
      <c r="M14" s="39" t="n"/>
      <c r="N14" s="37">
        <f>$N$5</f>
        <v/>
      </c>
      <c r="O14" s="19" t="n"/>
      <c r="P14" s="37" t="n"/>
      <c r="Q14" s="38">
        <f>IF(P14&gt;1,SUM(P14-P13),"")</f>
        <v/>
      </c>
      <c r="R14" s="37" t="n"/>
      <c r="S14" s="38">
        <f>IF(R14&gt;1,SUM(R14-R13),"")</f>
        <v/>
      </c>
      <c r="T14" s="40">
        <f>IFERROR((Q14/(Q14+S14)),"")</f>
        <v/>
      </c>
      <c r="U14" s="40">
        <f>IF(P14&gt;1,AVERAGE(T8:T14),"")</f>
        <v/>
      </c>
      <c r="V14" s="55">
        <f>IF(P14&gt;1,AVERAGE($T$7:T14),"")</f>
        <v/>
      </c>
      <c r="W14" s="41" t="n">
        <v>0.8</v>
      </c>
      <c r="X14" s="19" t="n"/>
      <c r="Y14" s="38" t="n"/>
      <c r="Z14" s="38" t="n"/>
      <c r="AA14" s="38" t="n"/>
      <c r="AB14" s="38" t="n"/>
      <c r="AC14" s="42" t="n"/>
      <c r="AD14" s="42" t="n"/>
    </row>
    <row r="15">
      <c r="A15" s="35" t="n"/>
      <c r="B15" s="36" t="n"/>
      <c r="C15" s="37" t="n"/>
      <c r="D15" s="36">
        <f>IF(OR(B15&gt;1,C15&gt;1),MAX(B15:C15),"")</f>
        <v/>
      </c>
      <c r="E15" s="38" t="n"/>
      <c r="F15" s="36" t="n"/>
      <c r="G15" s="37" t="n"/>
      <c r="H15" s="36">
        <f>IF(OR(F15&gt;1,G15&gt;1),MAX(F15:G15),"")</f>
        <v/>
      </c>
      <c r="I15" s="38" t="n"/>
      <c r="J15" s="36" t="n"/>
      <c r="K15" s="37" t="n"/>
      <c r="L15" s="36">
        <f>IF(OR(J15&gt;1,K15&gt;1),MAX(J15:K15),"")</f>
        <v/>
      </c>
      <c r="M15" s="39" t="n"/>
      <c r="N15" s="37">
        <f>$N$5</f>
        <v/>
      </c>
      <c r="O15" s="19" t="n"/>
      <c r="P15" s="37" t="n"/>
      <c r="Q15" s="38">
        <f>IF(P15&gt;1,SUM(P15-P14),"")</f>
        <v/>
      </c>
      <c r="R15" s="37" t="n"/>
      <c r="S15" s="38">
        <f>IF(R15&gt;1,SUM(R15-R14),"")</f>
        <v/>
      </c>
      <c r="T15" s="40">
        <f>IFERROR((Q15/(Q15+S15)),"")</f>
        <v/>
      </c>
      <c r="U15" s="40">
        <f>IF(P15&gt;1,AVERAGE(T9:T15),"")</f>
        <v/>
      </c>
      <c r="V15" s="55">
        <f>IF(P15&gt;1,AVERAGE($T$7:T15),"")</f>
        <v/>
      </c>
      <c r="W15" s="41" t="n">
        <v>0.8</v>
      </c>
      <c r="X15" s="19" t="n"/>
      <c r="Y15" s="38" t="n"/>
      <c r="Z15" s="38" t="n"/>
      <c r="AA15" s="38" t="n"/>
      <c r="AB15" s="38" t="n"/>
      <c r="AC15" s="42" t="n"/>
      <c r="AD15" s="42" t="n"/>
    </row>
    <row r="16">
      <c r="A16" s="35" t="n"/>
      <c r="B16" s="36" t="n"/>
      <c r="C16" s="37" t="n"/>
      <c r="D16" s="36">
        <f>IF(OR(B16&gt;1,C16&gt;1),MAX(B16:C16),"")</f>
        <v/>
      </c>
      <c r="E16" s="38" t="n"/>
      <c r="F16" s="36" t="n"/>
      <c r="G16" s="37" t="n"/>
      <c r="H16" s="36">
        <f>IF(OR(F16&gt;1,G16&gt;1),MAX(F16:G16),"")</f>
        <v/>
      </c>
      <c r="I16" s="38" t="n"/>
      <c r="J16" s="36" t="n"/>
      <c r="K16" s="37" t="n"/>
      <c r="L16" s="36">
        <f>IF(OR(J16&gt;1,K16&gt;1),MAX(J16:K16),"")</f>
        <v/>
      </c>
      <c r="M16" s="39" t="n"/>
      <c r="N16" s="37">
        <f>$N$5</f>
        <v/>
      </c>
      <c r="O16" s="19" t="n"/>
      <c r="P16" s="37" t="n"/>
      <c r="Q16" s="38">
        <f>IF(P16&gt;1,SUM(P16-P15),"")</f>
        <v/>
      </c>
      <c r="R16" s="37" t="n"/>
      <c r="S16" s="38">
        <f>IF(R16&gt;1,SUM(R16-R15),"")</f>
        <v/>
      </c>
      <c r="T16" s="40">
        <f>IFERROR((Q16/(Q16+S16)),"")</f>
        <v/>
      </c>
      <c r="U16" s="40">
        <f>IF(P16&gt;1,AVERAGE(T10:T16),"")</f>
        <v/>
      </c>
      <c r="V16" s="55">
        <f>IF(P16&gt;1,AVERAGE($T$7:T16),"")</f>
        <v/>
      </c>
      <c r="W16" s="41" t="n">
        <v>0.8</v>
      </c>
      <c r="X16" s="19" t="n"/>
      <c r="Y16" s="38" t="n"/>
      <c r="Z16" s="38" t="n"/>
      <c r="AA16" s="38" t="n"/>
      <c r="AB16" s="38" t="n"/>
      <c r="AC16" s="42" t="n"/>
      <c r="AD16" s="42" t="n"/>
    </row>
    <row r="17">
      <c r="A17" s="35" t="n"/>
      <c r="B17" s="36" t="n"/>
      <c r="C17" s="37" t="n"/>
      <c r="D17" s="36">
        <f>IF(OR(B17&gt;1,C17&gt;1),MAX(B17:C17),"")</f>
        <v/>
      </c>
      <c r="E17" s="38" t="n"/>
      <c r="F17" s="36" t="n"/>
      <c r="G17" s="37" t="n"/>
      <c r="H17" s="36">
        <f>IF(OR(F17&gt;1,G17&gt;1),MAX(F17:G17),"")</f>
        <v/>
      </c>
      <c r="I17" s="38" t="n"/>
      <c r="J17" s="36" t="n"/>
      <c r="K17" s="37" t="n"/>
      <c r="L17" s="36">
        <f>IF(OR(J17&gt;1,K17&gt;1),MAX(J17:K17),"")</f>
        <v/>
      </c>
      <c r="M17" s="39" t="n"/>
      <c r="N17" s="37">
        <f>$N$5</f>
        <v/>
      </c>
      <c r="O17" s="19" t="n"/>
      <c r="P17" s="37" t="n"/>
      <c r="Q17" s="38">
        <f>IF(P17&gt;1,SUM(P17-P16),"")</f>
        <v/>
      </c>
      <c r="R17" s="37" t="n"/>
      <c r="S17" s="38">
        <f>IF(R17&gt;1,SUM(R17-R16),"")</f>
        <v/>
      </c>
      <c r="T17" s="40">
        <f>IFERROR((Q17/(Q17+S17)),"")</f>
        <v/>
      </c>
      <c r="U17" s="40">
        <f>IF(P17&gt;1,AVERAGE(T11:T17),"")</f>
        <v/>
      </c>
      <c r="V17" s="55">
        <f>IF(P17&gt;1,AVERAGE($T$7:T17),"")</f>
        <v/>
      </c>
      <c r="W17" s="41" t="n">
        <v>0.8</v>
      </c>
      <c r="X17" s="19" t="n"/>
      <c r="Y17" s="38" t="n"/>
      <c r="Z17" s="38" t="n"/>
      <c r="AA17" s="38" t="n"/>
      <c r="AB17" s="38" t="n"/>
      <c r="AC17" s="42" t="n"/>
      <c r="AD17" s="42" t="n"/>
    </row>
    <row r="18">
      <c r="A18" s="35" t="n"/>
      <c r="B18" s="36" t="n"/>
      <c r="C18" s="37" t="n"/>
      <c r="D18" s="36">
        <f>IF(OR(B18&gt;1,C18&gt;1),MAX(B18:C18),"")</f>
        <v/>
      </c>
      <c r="E18" s="38" t="n"/>
      <c r="F18" s="36" t="n"/>
      <c r="G18" s="37" t="n"/>
      <c r="H18" s="36">
        <f>IF(OR(F18&gt;1,G18&gt;1),MAX(F18:G18),"")</f>
        <v/>
      </c>
      <c r="I18" s="38" t="n"/>
      <c r="J18" s="36" t="n"/>
      <c r="K18" s="37" t="n"/>
      <c r="L18" s="36">
        <f>IF(OR(J18&gt;1,K18&gt;1),MAX(J18:K18),"")</f>
        <v/>
      </c>
      <c r="M18" s="39" t="n"/>
      <c r="N18" s="37">
        <f>$N$5</f>
        <v/>
      </c>
      <c r="O18" s="19" t="n"/>
      <c r="P18" s="37" t="n"/>
      <c r="Q18" s="38">
        <f>IF(P18&gt;1,SUM(P18-P17),"")</f>
        <v/>
      </c>
      <c r="R18" s="37" t="n"/>
      <c r="S18" s="38">
        <f>IF(R18&gt;1,SUM(R18-R17),"")</f>
        <v/>
      </c>
      <c r="T18" s="40">
        <f>IFERROR((Q18/(Q18+S18)),"")</f>
        <v/>
      </c>
      <c r="U18" s="40">
        <f>IF(P18&gt;1,AVERAGE(T12:T18),"")</f>
        <v/>
      </c>
      <c r="V18" s="55">
        <f>IF(P18&gt;1,AVERAGE($T$7:T18),"")</f>
        <v/>
      </c>
      <c r="W18" s="41" t="n">
        <v>0.8</v>
      </c>
      <c r="X18" s="19" t="n"/>
      <c r="Y18" s="38" t="n"/>
      <c r="Z18" s="38" t="n"/>
      <c r="AA18" s="38" t="n"/>
      <c r="AB18" s="38" t="n"/>
      <c r="AC18" s="42" t="n"/>
      <c r="AD18" s="42" t="n"/>
    </row>
    <row r="19">
      <c r="A19" s="35" t="n"/>
      <c r="B19" s="36" t="n"/>
      <c r="C19" s="37" t="n"/>
      <c r="D19" s="36">
        <f>IF(OR(B19&gt;1,C19&gt;1),MAX(B19:C19),"")</f>
        <v/>
      </c>
      <c r="E19" s="38" t="n"/>
      <c r="F19" s="44" t="n"/>
      <c r="G19" s="37" t="n"/>
      <c r="H19" s="36">
        <f>IF(OR(F19&gt;1,G19&gt;1),MAX(F19:G19),"")</f>
        <v/>
      </c>
      <c r="I19" s="38" t="n"/>
      <c r="J19" s="36" t="n"/>
      <c r="K19" s="37" t="n"/>
      <c r="L19" s="36">
        <f>IF(OR(J19&gt;1,K19&gt;1),MAX(J19:K19),"")</f>
        <v/>
      </c>
      <c r="M19" s="39" t="n"/>
      <c r="N19" s="37">
        <f>$N$5</f>
        <v/>
      </c>
      <c r="O19" s="19" t="n"/>
      <c r="P19" s="37" t="n"/>
      <c r="Q19" s="38">
        <f>IF(P19&gt;1,SUM(P19-P18),"")</f>
        <v/>
      </c>
      <c r="R19" s="37" t="n"/>
      <c r="S19" s="38">
        <f>IF(R19&gt;1,SUM(R19-R18),"")</f>
        <v/>
      </c>
      <c r="T19" s="40">
        <f>IFERROR((Q19/(Q19+S19)),"")</f>
        <v/>
      </c>
      <c r="U19" s="40">
        <f>IF(P19&gt;1,AVERAGE(T13:T19),"")</f>
        <v/>
      </c>
      <c r="V19" s="55">
        <f>IF(P19&gt;1,AVERAGE($T$7:T19),"")</f>
        <v/>
      </c>
      <c r="W19" s="41" t="n">
        <v>0.8</v>
      </c>
      <c r="X19" s="19" t="n"/>
      <c r="Y19" s="38" t="n"/>
      <c r="Z19" s="38" t="n"/>
      <c r="AA19" s="38" t="n"/>
      <c r="AB19" s="38" t="n"/>
      <c r="AC19" s="42" t="n"/>
      <c r="AD19" s="42" t="n"/>
    </row>
    <row r="20">
      <c r="A20" s="35" t="n"/>
      <c r="B20" s="36" t="n"/>
      <c r="C20" s="37" t="n"/>
      <c r="D20" s="36">
        <f>IF(OR(B20&gt;1,C20&gt;1),MAX(B20:C20),"")</f>
        <v/>
      </c>
      <c r="E20" s="38" t="n"/>
      <c r="F20" s="36" t="n"/>
      <c r="G20" s="37" t="n"/>
      <c r="H20" s="36">
        <f>IF(OR(F20&gt;1,G20&gt;1),MAX(F20:G20),"")</f>
        <v/>
      </c>
      <c r="I20" s="38" t="n"/>
      <c r="J20" s="36" t="n"/>
      <c r="K20" s="37" t="n"/>
      <c r="L20" s="36">
        <f>IF(OR(J20&gt;1,K20&gt;1),MAX(J20:K20),"")</f>
        <v/>
      </c>
      <c r="M20" s="39" t="n"/>
      <c r="N20" s="37">
        <f>$N$5</f>
        <v/>
      </c>
      <c r="O20" s="19" t="n"/>
      <c r="P20" s="37" t="n"/>
      <c r="Q20" s="38">
        <f>IF(P20&gt;1,SUM(P20-P19),"")</f>
        <v/>
      </c>
      <c r="R20" s="37" t="n"/>
      <c r="S20" s="38">
        <f>IF(R20&gt;1,SUM(R20-R19),"")</f>
        <v/>
      </c>
      <c r="T20" s="40">
        <f>IFERROR((Q20/(Q20+S20)),"")</f>
        <v/>
      </c>
      <c r="U20" s="40">
        <f>IF(P20&gt;1,AVERAGE(T14:T20),"")</f>
        <v/>
      </c>
      <c r="V20" s="55">
        <f>IF(P20&gt;1,AVERAGE($T$7:T20),"")</f>
        <v/>
      </c>
      <c r="W20" s="41" t="n">
        <v>0.8</v>
      </c>
      <c r="X20" s="19" t="n"/>
      <c r="Y20" s="38" t="n"/>
      <c r="Z20" s="38" t="n"/>
      <c r="AA20" s="38" t="n"/>
      <c r="AB20" s="38" t="n"/>
      <c r="AC20" s="43" t="n"/>
      <c r="AD20" s="42" t="n"/>
    </row>
    <row r="21">
      <c r="A21" s="35" t="n"/>
      <c r="B21" s="36" t="n"/>
      <c r="C21" s="37" t="n"/>
      <c r="D21" s="36">
        <f>IF(OR(B21&gt;1,C21&gt;1),MAX(B21:C21),"")</f>
        <v/>
      </c>
      <c r="E21" s="38" t="n"/>
      <c r="F21" s="36" t="n"/>
      <c r="G21" s="37" t="n"/>
      <c r="H21" s="36">
        <f>IF(OR(F21&gt;1,G21&gt;1),MAX(F21:G21),"")</f>
        <v/>
      </c>
      <c r="I21" s="38" t="n"/>
      <c r="J21" s="36" t="n"/>
      <c r="K21" s="37" t="n"/>
      <c r="L21" s="36">
        <f>IF(OR(J21&gt;1,K21&gt;1),MAX(J21:K21),"")</f>
        <v/>
      </c>
      <c r="M21" s="39" t="n"/>
      <c r="N21" s="37">
        <f>$N$5</f>
        <v/>
      </c>
      <c r="O21" s="19" t="n"/>
      <c r="P21" s="37" t="n"/>
      <c r="Q21" s="38">
        <f>IF(P21&gt;1,SUM(P21-P20),"")</f>
        <v/>
      </c>
      <c r="R21" s="37" t="n"/>
      <c r="S21" s="38">
        <f>IF(R21&gt;1,SUM(R21-R20),"")</f>
        <v/>
      </c>
      <c r="T21" s="40">
        <f>IFERROR((Q21/(Q21+S21)),"")</f>
        <v/>
      </c>
      <c r="U21" s="40">
        <f>IF(P21&gt;1,AVERAGE(T15:T21),"")</f>
        <v/>
      </c>
      <c r="V21" s="55">
        <f>IF(P21&gt;1,AVERAGE($T$7:T21),"")</f>
        <v/>
      </c>
      <c r="W21" s="41" t="n">
        <v>0.8</v>
      </c>
      <c r="X21" s="19" t="n"/>
      <c r="Y21" s="38" t="n"/>
      <c r="Z21" s="38" t="n"/>
      <c r="AA21" s="38" t="n"/>
      <c r="AB21" s="38" t="n"/>
      <c r="AC21" s="42" t="n"/>
      <c r="AD21" s="42" t="n"/>
    </row>
    <row r="22">
      <c r="A22" s="35" t="n"/>
      <c r="B22" s="36" t="n"/>
      <c r="C22" s="37" t="n"/>
      <c r="D22" s="36">
        <f>IF(OR(B22&gt;1,C22&gt;1),MAX(B22:C22),"")</f>
        <v/>
      </c>
      <c r="E22" s="38" t="n"/>
      <c r="F22" s="36" t="n"/>
      <c r="G22" s="37" t="n"/>
      <c r="H22" s="36">
        <f>IF(OR(F22&gt;1,G22&gt;1),MAX(F22:G22),"")</f>
        <v/>
      </c>
      <c r="I22" s="38" t="n"/>
      <c r="J22" s="36" t="n"/>
      <c r="K22" s="37" t="n"/>
      <c r="L22" s="36">
        <f>IF(OR(J22&gt;1,K22&gt;1),MAX(J22:K22),"")</f>
        <v/>
      </c>
      <c r="M22" s="39" t="n"/>
      <c r="N22" s="37">
        <f>$N$5</f>
        <v/>
      </c>
      <c r="O22" s="19" t="n"/>
      <c r="P22" s="37" t="n"/>
      <c r="Q22" s="38">
        <f>IF(P22&gt;1,SUM(P22-P21),"")</f>
        <v/>
      </c>
      <c r="R22" s="37" t="n"/>
      <c r="S22" s="38">
        <f>IF(R22&gt;1,SUM(R22-R21),"")</f>
        <v/>
      </c>
      <c r="T22" s="40">
        <f>IFERROR((Q22/(Q22+S22)),"")</f>
        <v/>
      </c>
      <c r="U22" s="40">
        <f>IF(P22&gt;1,AVERAGE(T16:T22),"")</f>
        <v/>
      </c>
      <c r="V22" s="55">
        <f>IF(P22&gt;1,AVERAGE($T$7:T22),"")</f>
        <v/>
      </c>
      <c r="W22" s="41" t="n">
        <v>0.8</v>
      </c>
      <c r="X22" s="19" t="n"/>
      <c r="Y22" s="38" t="n"/>
      <c r="Z22" s="38" t="n"/>
      <c r="AA22" s="38" t="n"/>
      <c r="AB22" s="38" t="n"/>
      <c r="AC22" s="42" t="n"/>
      <c r="AD22" s="42" t="n"/>
    </row>
    <row r="23">
      <c r="A23" s="35" t="n"/>
      <c r="B23" s="36" t="n"/>
      <c r="C23" s="37" t="n"/>
      <c r="D23" s="36">
        <f>IF(OR(B23&gt;1,C23&gt;1),MAX(B23:C23),"")</f>
        <v/>
      </c>
      <c r="E23" s="38" t="n"/>
      <c r="F23" s="36" t="n"/>
      <c r="G23" s="37" t="n"/>
      <c r="H23" s="36">
        <f>IF(OR(F23&gt;1,G23&gt;1),MAX(F23:G23),"")</f>
        <v/>
      </c>
      <c r="I23" s="38" t="n"/>
      <c r="J23" s="36" t="n"/>
      <c r="K23" s="37" t="n"/>
      <c r="L23" s="36">
        <f>IF(OR(J23&gt;1,K23&gt;1),MAX(J23:K23),"")</f>
        <v/>
      </c>
      <c r="M23" s="39" t="n"/>
      <c r="N23" s="37">
        <f>$N$5</f>
        <v/>
      </c>
      <c r="O23" s="19" t="n"/>
      <c r="P23" s="37" t="n"/>
      <c r="Q23" s="38">
        <f>IF(P23&gt;1,SUM(P23-P22),"")</f>
        <v/>
      </c>
      <c r="R23" s="37" t="n"/>
      <c r="S23" s="38">
        <f>IF(R23&gt;1,SUM(R23-R22),"")</f>
        <v/>
      </c>
      <c r="T23" s="40">
        <f>IFERROR((Q23/(Q23+S23)),"")</f>
        <v/>
      </c>
      <c r="U23" s="40">
        <f>IF(P23&gt;1,AVERAGE(T17:T23),"")</f>
        <v/>
      </c>
      <c r="V23" s="55">
        <f>IF(P23&gt;1,AVERAGE($T$7:T23),"")</f>
        <v/>
      </c>
      <c r="W23" s="41" t="n">
        <v>0.8</v>
      </c>
      <c r="X23" s="19" t="n"/>
      <c r="Y23" s="38" t="n"/>
      <c r="Z23" s="38" t="n"/>
      <c r="AA23" s="38" t="n"/>
      <c r="AB23" s="38" t="n"/>
      <c r="AC23" s="42" t="n"/>
      <c r="AD23" s="42" t="n"/>
    </row>
    <row r="24">
      <c r="A24" s="35" t="n"/>
      <c r="B24" s="36" t="n"/>
      <c r="C24" s="37" t="n"/>
      <c r="D24" s="36">
        <f>IF(OR(B24&gt;1,C24&gt;1),MAX(B24:C24),"")</f>
        <v/>
      </c>
      <c r="E24" s="38" t="n"/>
      <c r="F24" s="36" t="n"/>
      <c r="G24" s="37" t="n"/>
      <c r="H24" s="36">
        <f>IF(OR(F24&gt;1,G24&gt;1),MAX(F24:G24),"")</f>
        <v/>
      </c>
      <c r="I24" s="38" t="n"/>
      <c r="J24" s="36" t="n"/>
      <c r="K24" s="37" t="n"/>
      <c r="L24" s="36">
        <f>IF(OR(J24&gt;1,K24&gt;1),MAX(J24:K24),"")</f>
        <v/>
      </c>
      <c r="M24" s="39" t="n"/>
      <c r="N24" s="37">
        <f>$N$5</f>
        <v/>
      </c>
      <c r="O24" s="19" t="n"/>
      <c r="P24" s="37" t="n"/>
      <c r="Q24" s="38">
        <f>IF(P24&gt;1,SUM(P24-P23),"")</f>
        <v/>
      </c>
      <c r="R24" s="37" t="n"/>
      <c r="S24" s="38">
        <f>IF(R24&gt;1,SUM(R24-R23),"")</f>
        <v/>
      </c>
      <c r="T24" s="40">
        <f>IFERROR((Q24/(Q24+S24)),"")</f>
        <v/>
      </c>
      <c r="U24" s="40">
        <f>IF(P24&gt;1,AVERAGE(T18:T24),"")</f>
        <v/>
      </c>
      <c r="V24" s="55">
        <f>IF(P24&gt;1,AVERAGE($T$7:T24),"")</f>
        <v/>
      </c>
      <c r="W24" s="41" t="n">
        <v>0.8</v>
      </c>
      <c r="X24" s="19" t="n"/>
      <c r="Y24" s="38" t="n"/>
      <c r="Z24" s="38" t="n"/>
      <c r="AA24" s="38" t="n"/>
      <c r="AB24" s="38" t="n"/>
      <c r="AC24" s="42" t="n"/>
      <c r="AD24" s="42" t="n"/>
    </row>
    <row r="25">
      <c r="A25" s="35" t="n"/>
      <c r="B25" s="36" t="n"/>
      <c r="C25" s="37" t="n"/>
      <c r="D25" s="36">
        <f>IF(OR(B25&gt;1,C25&gt;1),MAX(B25:C25),"")</f>
        <v/>
      </c>
      <c r="E25" s="38" t="n"/>
      <c r="F25" s="36" t="n"/>
      <c r="G25" s="37" t="n"/>
      <c r="H25" s="36">
        <f>IF(OR(F25&gt;1,G25&gt;1),MAX(F25:G25),"")</f>
        <v/>
      </c>
      <c r="I25" s="38" t="n"/>
      <c r="J25" s="36" t="n"/>
      <c r="K25" s="37" t="n"/>
      <c r="L25" s="36">
        <f>IF(OR(J25&gt;1,K25&gt;1),MAX(J25:K25),"")</f>
        <v/>
      </c>
      <c r="M25" s="39" t="n"/>
      <c r="N25" s="37">
        <f>$N$5</f>
        <v/>
      </c>
      <c r="O25" s="19" t="n"/>
      <c r="P25" s="37" t="n"/>
      <c r="Q25" s="38">
        <f>IF(P25&gt;1,SUM(P25-P24),"")</f>
        <v/>
      </c>
      <c r="R25" s="37" t="n"/>
      <c r="S25" s="38">
        <f>IF(R25&gt;1,SUM(R25-R24),"")</f>
        <v/>
      </c>
      <c r="T25" s="40">
        <f>IFERROR((Q25/(Q25+S25)),"")</f>
        <v/>
      </c>
      <c r="U25" s="40">
        <f>IF(P25&gt;1,AVERAGE(T19:T25),"")</f>
        <v/>
      </c>
      <c r="V25" s="55">
        <f>IF(P25&gt;1,AVERAGE($T$7:T25),"")</f>
        <v/>
      </c>
      <c r="W25" s="41" t="n">
        <v>0.8</v>
      </c>
      <c r="X25" s="19" t="n"/>
      <c r="Y25" s="38" t="n"/>
      <c r="Z25" s="38" t="n"/>
      <c r="AA25" s="38" t="n"/>
      <c r="AB25" s="38" t="n"/>
      <c r="AC25" s="43" t="n"/>
      <c r="AD25" s="42" t="n"/>
    </row>
    <row r="26">
      <c r="A26" s="35" t="n"/>
      <c r="B26" s="36" t="n"/>
      <c r="C26" s="37" t="n"/>
      <c r="D26" s="36">
        <f>IF(OR(B26&gt;1,C26&gt;1),MAX(B26:C26),"")</f>
        <v/>
      </c>
      <c r="E26" s="38" t="n"/>
      <c r="F26" s="36" t="n"/>
      <c r="G26" s="37" t="n"/>
      <c r="H26" s="36">
        <f>IF(OR(F26&gt;1,G26&gt;1),MAX(F26:G26),"")</f>
        <v/>
      </c>
      <c r="I26" s="38" t="n"/>
      <c r="J26" s="36" t="n"/>
      <c r="K26" s="37" t="n"/>
      <c r="L26" s="36">
        <f>IF(OR(J26&gt;1,K26&gt;1),MAX(J26:K26),"")</f>
        <v/>
      </c>
      <c r="M26" s="39" t="n"/>
      <c r="N26" s="37">
        <f>$N$5</f>
        <v/>
      </c>
      <c r="O26" s="19" t="n"/>
      <c r="P26" s="37" t="n"/>
      <c r="Q26" s="38">
        <f>IF(P26&gt;1,SUM(P26-P25),"")</f>
        <v/>
      </c>
      <c r="R26" s="37" t="n"/>
      <c r="S26" s="38">
        <f>IF(R26&gt;1,SUM(R26-R25),"")</f>
        <v/>
      </c>
      <c r="T26" s="40">
        <f>IFERROR((Q26/(Q26+S26)),"")</f>
        <v/>
      </c>
      <c r="U26" s="40">
        <f>IF(P26&gt;1,AVERAGE(T20:T26),"")</f>
        <v/>
      </c>
      <c r="V26" s="55">
        <f>IF(P26&gt;1,AVERAGE($T$7:T26),"")</f>
        <v/>
      </c>
      <c r="W26" s="41" t="n">
        <v>0.8</v>
      </c>
      <c r="X26" s="19" t="n"/>
      <c r="Y26" s="38" t="n"/>
      <c r="Z26" s="38" t="n"/>
      <c r="AA26" s="38" t="n"/>
      <c r="AB26" s="38" t="n"/>
      <c r="AC26" s="43" t="n"/>
      <c r="AD26" s="42" t="n"/>
    </row>
    <row r="27">
      <c r="A27" s="35" t="n"/>
      <c r="B27" s="36" t="n"/>
      <c r="C27" s="37" t="n"/>
      <c r="D27" s="36">
        <f>IF(OR(B27&gt;1,C27&gt;1),MAX(B27:C27),"")</f>
        <v/>
      </c>
      <c r="E27" s="38" t="n"/>
      <c r="F27" s="36" t="n"/>
      <c r="G27" s="37" t="n"/>
      <c r="H27" s="36">
        <f>IF(OR(F27&gt;1,G27&gt;1),MAX(F27:G27),"")</f>
        <v/>
      </c>
      <c r="I27" s="38" t="n"/>
      <c r="J27" s="36" t="n"/>
      <c r="K27" s="37" t="n"/>
      <c r="L27" s="36">
        <f>IF(OR(J27&gt;1,K27&gt;1),MAX(J27:K27),"")</f>
        <v/>
      </c>
      <c r="M27" s="39" t="n"/>
      <c r="N27" s="37">
        <f>$N$5</f>
        <v/>
      </c>
      <c r="O27" s="19" t="n"/>
      <c r="P27" s="37" t="n"/>
      <c r="Q27" s="38">
        <f>IF(P27&gt;1,SUM(P27-P26),"")</f>
        <v/>
      </c>
      <c r="R27" s="37" t="n"/>
      <c r="S27" s="38">
        <f>IF(R27&gt;1,SUM(R27-R26),"")</f>
        <v/>
      </c>
      <c r="T27" s="40">
        <f>IFERROR((Q27/(Q27+S27)),"")</f>
        <v/>
      </c>
      <c r="U27" s="40">
        <f>IF(P27&gt;1,AVERAGE(T21:T27),"")</f>
        <v/>
      </c>
      <c r="V27" s="55">
        <f>IF(P27&gt;1,AVERAGE($T$7:T27),"")</f>
        <v/>
      </c>
      <c r="W27" s="41" t="n">
        <v>0.8</v>
      </c>
      <c r="X27" s="19" t="n"/>
      <c r="Y27" s="38" t="n"/>
      <c r="Z27" s="38" t="n"/>
      <c r="AA27" s="38" t="n"/>
      <c r="AB27" s="38" t="n"/>
      <c r="AC27" s="43" t="n"/>
      <c r="AD27" s="42" t="n"/>
    </row>
    <row r="28">
      <c r="A28" s="35" t="n"/>
      <c r="B28" s="36" t="n"/>
      <c r="C28" s="37" t="n"/>
      <c r="D28" s="36">
        <f>IF(OR(B28&gt;1,C28&gt;1),MAX(B28:C28),"")</f>
        <v/>
      </c>
      <c r="E28" s="38" t="n"/>
      <c r="F28" s="36" t="n"/>
      <c r="G28" s="37" t="n"/>
      <c r="H28" s="36">
        <f>IF(OR(F28&gt;1,G28&gt;1),MAX(F28:G28),"")</f>
        <v/>
      </c>
      <c r="I28" s="38" t="n"/>
      <c r="J28" s="36" t="n"/>
      <c r="K28" s="37" t="n"/>
      <c r="L28" s="36">
        <f>IF(OR(J28&gt;1,K28&gt;1),MAX(J28:K28),"")</f>
        <v/>
      </c>
      <c r="M28" s="39" t="n"/>
      <c r="N28" s="37">
        <f>$N$5</f>
        <v/>
      </c>
      <c r="O28" s="19" t="n"/>
      <c r="P28" s="37" t="n"/>
      <c r="Q28" s="38">
        <f>IF(P28&gt;1,SUM(P28-P27),"")</f>
        <v/>
      </c>
      <c r="R28" s="37" t="n"/>
      <c r="S28" s="38">
        <f>IF(R28&gt;1,SUM(R28-R27),"")</f>
        <v/>
      </c>
      <c r="T28" s="40">
        <f>IFERROR((Q28/(Q28+S28)),"")</f>
        <v/>
      </c>
      <c r="U28" s="40">
        <f>IF(P28&gt;1,AVERAGE(T22:T28),"")</f>
        <v/>
      </c>
      <c r="V28" s="55">
        <f>IF(P28&gt;1,AVERAGE($T$7:T28),"")</f>
        <v/>
      </c>
      <c r="W28" s="41" t="n">
        <v>0.8</v>
      </c>
      <c r="X28" s="19" t="n"/>
      <c r="Y28" s="38" t="n"/>
      <c r="Z28" s="38" t="n"/>
      <c r="AA28" s="38" t="n"/>
      <c r="AB28" s="38" t="n"/>
      <c r="AC28" s="43" t="n"/>
      <c r="AD28" s="42" t="n"/>
    </row>
    <row r="29">
      <c r="A29" s="35" t="n"/>
      <c r="B29" s="36" t="n"/>
      <c r="C29" s="37" t="n"/>
      <c r="D29" s="36">
        <f>IF(OR(B29&gt;1,C29&gt;1),MAX(B29:C29),"")</f>
        <v/>
      </c>
      <c r="E29" s="38" t="n"/>
      <c r="F29" s="36" t="n"/>
      <c r="G29" s="37" t="n"/>
      <c r="H29" s="36">
        <f>IF(OR(F29&gt;1,G29&gt;1),MAX(F29:G29),"")</f>
        <v/>
      </c>
      <c r="I29" s="38" t="n"/>
      <c r="J29" s="36" t="n"/>
      <c r="K29" s="37" t="n"/>
      <c r="L29" s="36">
        <f>IF(OR(J29&gt;1,K29&gt;1),MAX(J29:K29),"")</f>
        <v/>
      </c>
      <c r="M29" s="39" t="n"/>
      <c r="N29" s="37">
        <f>$N$5</f>
        <v/>
      </c>
      <c r="O29" s="19" t="n"/>
      <c r="P29" s="37" t="n"/>
      <c r="Q29" s="38">
        <f>IF(P29&gt;1,SUM(P29-P28),"")</f>
        <v/>
      </c>
      <c r="R29" s="37" t="n"/>
      <c r="S29" s="38">
        <f>IF(R29&gt;1,SUM(R29-R28),"")</f>
        <v/>
      </c>
      <c r="T29" s="40">
        <f>IFERROR((Q29/(Q29+S29)),"")</f>
        <v/>
      </c>
      <c r="U29" s="40">
        <f>IF(P29&gt;1,AVERAGE(T23:T29),"")</f>
        <v/>
      </c>
      <c r="V29" s="55">
        <f>IF(P29&gt;1,AVERAGE($T$7:T29),"")</f>
        <v/>
      </c>
      <c r="W29" s="41" t="n">
        <v>0.8</v>
      </c>
      <c r="X29" s="19" t="n"/>
      <c r="Y29" s="38" t="n"/>
      <c r="Z29" s="38" t="n"/>
      <c r="AA29" s="38" t="n"/>
      <c r="AB29" s="38" t="n"/>
      <c r="AC29" s="42" t="n"/>
      <c r="AD29" s="42" t="n"/>
    </row>
    <row r="30">
      <c r="A30" s="35" t="n"/>
      <c r="B30" s="36" t="n"/>
      <c r="C30" s="37" t="n"/>
      <c r="D30" s="36">
        <f>IF(OR(B30&gt;1,C30&gt;1),MAX(B30:C30),"")</f>
        <v/>
      </c>
      <c r="E30" s="38" t="n"/>
      <c r="F30" s="36" t="n"/>
      <c r="G30" s="37" t="n"/>
      <c r="H30" s="36">
        <f>IF(OR(F30&gt;1,G30&gt;1),MAX(F30:G30),"")</f>
        <v/>
      </c>
      <c r="I30" s="38" t="n"/>
      <c r="J30" s="36" t="n"/>
      <c r="K30" s="37" t="n"/>
      <c r="L30" s="36">
        <f>IF(OR(J30&gt;1,K30&gt;1),MAX(J30:K30),"")</f>
        <v/>
      </c>
      <c r="M30" s="39" t="n"/>
      <c r="N30" s="37">
        <f>$N$5</f>
        <v/>
      </c>
      <c r="O30" s="19" t="n"/>
      <c r="P30" s="37" t="n"/>
      <c r="Q30" s="38">
        <f>IF(P30&gt;1,SUM(P30-P29),"")</f>
        <v/>
      </c>
      <c r="R30" s="37" t="n"/>
      <c r="S30" s="38">
        <f>IF(R30&gt;1,SUM(R30-R29),"")</f>
        <v/>
      </c>
      <c r="T30" s="40">
        <f>IFERROR((Q30/(Q30+S30)),"")</f>
        <v/>
      </c>
      <c r="U30" s="40">
        <f>IF(P30&gt;1,AVERAGE(T24:T30),"")</f>
        <v/>
      </c>
      <c r="V30" s="55">
        <f>IF(P30&gt;1,AVERAGE($T$7:T30),"")</f>
        <v/>
      </c>
      <c r="W30" s="41" t="n">
        <v>0.8</v>
      </c>
      <c r="X30" s="19" t="n"/>
      <c r="Y30" s="38" t="n"/>
      <c r="Z30" s="38" t="n"/>
      <c r="AA30" s="38" t="n"/>
      <c r="AB30" s="38" t="n"/>
      <c r="AC30" s="43" t="n"/>
      <c r="AD30" s="42" t="n"/>
    </row>
    <row r="31">
      <c r="A31" s="35" t="n"/>
      <c r="B31" s="39" t="n"/>
      <c r="C31" s="38" t="n"/>
      <c r="D31" s="36">
        <f>IF(OR(B31&gt;1,C31&gt;1),MAX(B31:C31),"")</f>
        <v/>
      </c>
      <c r="E31" s="38" t="n"/>
      <c r="F31" s="39" t="n"/>
      <c r="G31" s="38" t="n"/>
      <c r="H31" s="36">
        <f>IF(OR(F31&gt;1,G31&gt;1),MAX(F31:G31),"")</f>
        <v/>
      </c>
      <c r="I31" s="38" t="n"/>
      <c r="J31" s="39" t="n"/>
      <c r="K31" s="38" t="n"/>
      <c r="L31" s="36">
        <f>IF(OR(J31&gt;1,K31&gt;1),MAX(J31:K31),"")</f>
        <v/>
      </c>
      <c r="M31" s="39" t="n"/>
      <c r="N31" s="37">
        <f>$N$5</f>
        <v/>
      </c>
      <c r="O31" s="19" t="n"/>
      <c r="P31" s="38" t="n"/>
      <c r="Q31" s="38">
        <f>IF(P31&gt;1,SUM(P31-P30),"")</f>
        <v/>
      </c>
      <c r="R31" s="38" t="n"/>
      <c r="S31" s="38">
        <f>IF(R31&gt;1,SUM(R31-R30),"")</f>
        <v/>
      </c>
      <c r="T31" s="40">
        <f>IFERROR((Q31/(Q31+S31)),"")</f>
        <v/>
      </c>
      <c r="U31" s="40">
        <f>IF(P31&gt;1,AVERAGE(T25:T31),"")</f>
        <v/>
      </c>
      <c r="V31" s="55">
        <f>IF(P31&gt;1,AVERAGE($T$7:T31),"")</f>
        <v/>
      </c>
      <c r="W31" s="41" t="n">
        <v>0.8</v>
      </c>
      <c r="X31" s="19" t="n"/>
      <c r="Y31" s="38" t="n"/>
      <c r="Z31" s="38" t="n"/>
      <c r="AA31" s="38" t="n"/>
      <c r="AB31" s="38" t="n"/>
      <c r="AC31" s="42" t="n"/>
      <c r="AD31" s="42" t="n"/>
    </row>
    <row r="32">
      <c r="A32" s="35" t="n"/>
      <c r="B32" s="39" t="n"/>
      <c r="C32" s="38" t="n"/>
      <c r="D32" s="36">
        <f>IF(OR(B32&gt;1,C32&gt;1),MAX(B32:C32),"")</f>
        <v/>
      </c>
      <c r="E32" s="38" t="n"/>
      <c r="F32" s="39" t="n"/>
      <c r="G32" s="38" t="n"/>
      <c r="H32" s="36">
        <f>IF(OR(F32&gt;1,G32&gt;1),MAX(F32:G32),"")</f>
        <v/>
      </c>
      <c r="I32" s="38" t="n"/>
      <c r="J32" s="39" t="n"/>
      <c r="K32" s="38" t="n"/>
      <c r="L32" s="36">
        <f>IF(OR(J32&gt;1,K32&gt;1),MAX(J32:K32),"")</f>
        <v/>
      </c>
      <c r="M32" s="39" t="n"/>
      <c r="N32" s="37">
        <f>$N$5</f>
        <v/>
      </c>
      <c r="O32" s="19" t="n"/>
      <c r="P32" s="38" t="n"/>
      <c r="Q32" s="38">
        <f>IF(P32&gt;1,SUM(P32-P31),"")</f>
        <v/>
      </c>
      <c r="R32" s="38" t="n"/>
      <c r="S32" s="38">
        <f>IF(R32&gt;1,SUM(R32-R31),"")</f>
        <v/>
      </c>
      <c r="T32" s="40">
        <f>IFERROR((Q32/(Q32+S32)),"")</f>
        <v/>
      </c>
      <c r="U32" s="40">
        <f>IF(P32&gt;1,AVERAGE(T26:T32),"")</f>
        <v/>
      </c>
      <c r="V32" s="55">
        <f>IF(P32&gt;1,AVERAGE($T$7:T32),"")</f>
        <v/>
      </c>
      <c r="W32" s="41" t="n">
        <v>0.8</v>
      </c>
      <c r="X32" s="19" t="n"/>
      <c r="Y32" s="38" t="n"/>
      <c r="Z32" s="38" t="n"/>
      <c r="AA32" s="38" t="n"/>
      <c r="AB32" s="38" t="n"/>
      <c r="AC32" s="43" t="n"/>
      <c r="AD32" s="42" t="n"/>
    </row>
    <row r="33">
      <c r="A33" s="35" t="n"/>
      <c r="B33" s="39" t="n"/>
      <c r="C33" s="38" t="n"/>
      <c r="D33" s="36">
        <f>IF(OR(B33&gt;1,C33&gt;1),MAX(B33:C33),"")</f>
        <v/>
      </c>
      <c r="E33" s="38" t="n"/>
      <c r="F33" s="39" t="n"/>
      <c r="G33" s="38" t="n"/>
      <c r="H33" s="36">
        <f>IF(OR(F33&gt;1,G33&gt;1),MAX(F33:G33),"")</f>
        <v/>
      </c>
      <c r="I33" s="38" t="n"/>
      <c r="J33" s="39" t="n"/>
      <c r="K33" s="38" t="n"/>
      <c r="L33" s="36">
        <f>IF(OR(J33&gt;1,K33&gt;1),MAX(J33:K33),"")</f>
        <v/>
      </c>
      <c r="M33" s="39" t="n"/>
      <c r="N33" s="37">
        <f>$N$5</f>
        <v/>
      </c>
      <c r="O33" s="19" t="n"/>
      <c r="P33" s="38" t="n"/>
      <c r="Q33" s="38">
        <f>IF(P33&gt;1,SUM(P33-P32),"")</f>
        <v/>
      </c>
      <c r="R33" s="38" t="n"/>
      <c r="S33" s="38">
        <f>IF(R33&gt;1,SUM(R33-R32),"")</f>
        <v/>
      </c>
      <c r="T33" s="40">
        <f>IFERROR((Q33/(Q33+S33)),"")</f>
        <v/>
      </c>
      <c r="U33" s="40">
        <f>IF(P33&gt;1,AVERAGE(T27:T33),"")</f>
        <v/>
      </c>
      <c r="V33" s="55">
        <f>IF(P33&gt;1,AVERAGE($T$7:T33),"")</f>
        <v/>
      </c>
      <c r="W33" s="41" t="n">
        <v>0.8</v>
      </c>
      <c r="X33" s="19" t="n"/>
      <c r="Y33" s="38" t="n"/>
      <c r="Z33" s="38" t="n"/>
      <c r="AA33" s="38" t="n"/>
      <c r="AB33" s="38" t="n"/>
      <c r="AC33" s="43" t="n"/>
      <c r="AD33" s="42" t="n"/>
    </row>
    <row r="34">
      <c r="A34" s="35" t="n"/>
      <c r="B34" s="39" t="n"/>
      <c r="C34" s="38" t="n"/>
      <c r="D34" s="36">
        <f>IF(OR(B34&gt;1,C34&gt;1),MAX(B34:C34),"")</f>
        <v/>
      </c>
      <c r="E34" s="38" t="n"/>
      <c r="F34" s="39" t="n"/>
      <c r="G34" s="38" t="n"/>
      <c r="H34" s="36">
        <f>IF(OR(F34&gt;1,G34&gt;1),MAX(F34:G34),"")</f>
        <v/>
      </c>
      <c r="I34" s="38" t="n"/>
      <c r="J34" s="39" t="n"/>
      <c r="K34" s="38" t="n"/>
      <c r="L34" s="36">
        <f>IF(OR(J34&gt;1,K34&gt;1),MAX(J34:K34),"")</f>
        <v/>
      </c>
      <c r="M34" s="39" t="n"/>
      <c r="N34" s="37">
        <f>$N$5</f>
        <v/>
      </c>
      <c r="O34" s="19" t="n"/>
      <c r="P34" s="38" t="n"/>
      <c r="Q34" s="38">
        <f>IF(P34&gt;1,SUM(P34-P33),"")</f>
        <v/>
      </c>
      <c r="R34" s="38" t="n"/>
      <c r="S34" s="38">
        <f>IF(R34&gt;1,SUM(R34-R33),"")</f>
        <v/>
      </c>
      <c r="T34" s="40">
        <f>IFERROR((Q34/(Q34+S34)),"")</f>
        <v/>
      </c>
      <c r="U34" s="40">
        <f>IF(P34&gt;1,AVERAGE(T28:T34),"")</f>
        <v/>
      </c>
      <c r="V34" s="55">
        <f>IF(P34&gt;1,AVERAGE($T$7:T34),"")</f>
        <v/>
      </c>
      <c r="W34" s="41" t="n">
        <v>0.8</v>
      </c>
      <c r="X34" s="19" t="n"/>
      <c r="Y34" s="38" t="n"/>
      <c r="Z34" s="38" t="n"/>
      <c r="AA34" s="38" t="n"/>
      <c r="AB34" s="38" t="n"/>
      <c r="AC34" s="42" t="n"/>
      <c r="AD34" s="42" t="n"/>
    </row>
    <row r="35">
      <c r="A35" s="35" t="n"/>
      <c r="B35" s="39" t="n"/>
      <c r="C35" s="38" t="n"/>
      <c r="D35" s="36">
        <f>IF(OR(B35&gt;1,C35&gt;1),MAX(B35:C35),"")</f>
        <v/>
      </c>
      <c r="E35" s="38" t="n"/>
      <c r="F35" s="39" t="n"/>
      <c r="G35" s="38" t="n"/>
      <c r="H35" s="36">
        <f>IF(OR(F35&gt;1,G35&gt;1),MAX(F35:G35),"")</f>
        <v/>
      </c>
      <c r="I35" s="38" t="n"/>
      <c r="J35" s="39" t="n"/>
      <c r="K35" s="38" t="n"/>
      <c r="L35" s="36">
        <f>IF(OR(J35&gt;1,K35&gt;1),MAX(J35:K35),"")</f>
        <v/>
      </c>
      <c r="M35" s="39" t="n"/>
      <c r="N35" s="37">
        <f>$N$5</f>
        <v/>
      </c>
      <c r="O35" s="19" t="n"/>
      <c r="P35" s="38" t="n"/>
      <c r="Q35" s="38">
        <f>IF(P35&gt;1,SUM(P35-P34),"")</f>
        <v/>
      </c>
      <c r="R35" s="38" t="n"/>
      <c r="S35" s="38">
        <f>IF(R35&gt;1,SUM(R35-R34),"")</f>
        <v/>
      </c>
      <c r="T35" s="40">
        <f>IFERROR((Q35/(Q35+S35)),"")</f>
        <v/>
      </c>
      <c r="U35" s="40">
        <f>IF(P35&gt;1,AVERAGE(T29:T35),"")</f>
        <v/>
      </c>
      <c r="V35" s="55">
        <f>IF(P35&gt;1,AVERAGE($T$7:T35),"")</f>
        <v/>
      </c>
      <c r="W35" s="41" t="n">
        <v>0.8</v>
      </c>
      <c r="X35" s="19" t="n"/>
      <c r="Y35" s="38" t="n"/>
      <c r="Z35" s="38" t="n"/>
      <c r="AA35" s="38" t="n"/>
      <c r="AB35" s="38" t="n"/>
      <c r="AC35" s="42" t="n"/>
      <c r="AD35" s="42" t="n"/>
    </row>
    <row r="36">
      <c r="A36" s="35" t="n"/>
      <c r="B36" s="39" t="n"/>
      <c r="C36" s="38" t="n"/>
      <c r="D36" s="36">
        <f>IF(OR(B36&gt;1,C36&gt;1),MAX(B36:C36),"")</f>
        <v/>
      </c>
      <c r="E36" s="38" t="n"/>
      <c r="F36" s="39" t="n"/>
      <c r="G36" s="38" t="n"/>
      <c r="H36" s="36">
        <f>IF(OR(F36&gt;1,G36&gt;1),MAX(F36:G36),"")</f>
        <v/>
      </c>
      <c r="I36" s="38" t="n"/>
      <c r="J36" s="39" t="n"/>
      <c r="K36" s="38" t="n"/>
      <c r="L36" s="36">
        <f>IF(OR(J36&gt;1,K36&gt;1),MAX(J36:K36),"")</f>
        <v/>
      </c>
      <c r="M36" s="39" t="n"/>
      <c r="N36" s="37">
        <f>$N$5</f>
        <v/>
      </c>
      <c r="O36" s="19" t="n"/>
      <c r="P36" s="38" t="n"/>
      <c r="Q36" s="38">
        <f>IF(P36&gt;1,SUM(P36-P35),"")</f>
        <v/>
      </c>
      <c r="R36" s="38" t="n"/>
      <c r="S36" s="38">
        <f>IF(R36&gt;1,SUM(R36-R35),"")</f>
        <v/>
      </c>
      <c r="T36" s="40">
        <f>IFERROR((Q36/(Q36+S36)),"")</f>
        <v/>
      </c>
      <c r="U36" s="40">
        <f>IF(P36&gt;1,AVERAGE(T30:T36),"")</f>
        <v/>
      </c>
      <c r="V36" s="55">
        <f>IF(P36&gt;1,AVERAGE($T$7:T36),"")</f>
        <v/>
      </c>
      <c r="W36" s="41" t="n">
        <v>0.8</v>
      </c>
      <c r="X36" s="19" t="n"/>
      <c r="Y36" s="38" t="n"/>
      <c r="Z36" s="38" t="n"/>
      <c r="AA36" s="38" t="n"/>
      <c r="AB36" s="38" t="n"/>
      <c r="AC36" s="42" t="n"/>
      <c r="AD36" s="43" t="n"/>
    </row>
    <row r="37">
      <c r="A37" s="35" t="n"/>
      <c r="B37" s="39" t="n"/>
      <c r="C37" s="38" t="n"/>
      <c r="D37" s="36">
        <f>IF(OR(B37&gt;1,C37&gt;1),MAX(B37:C37),"")</f>
        <v/>
      </c>
      <c r="E37" s="38" t="n"/>
      <c r="F37" s="39" t="n"/>
      <c r="G37" s="38" t="n"/>
      <c r="H37" s="36">
        <f>IF(OR(F37&gt;1,G37&gt;1),MAX(F37:G37),"")</f>
        <v/>
      </c>
      <c r="I37" s="38" t="n"/>
      <c r="J37" s="39" t="n"/>
      <c r="K37" s="38" t="n"/>
      <c r="L37" s="36">
        <f>IF(OR(J37&gt;1,K37&gt;1),MAX(J37:K37),"")</f>
        <v/>
      </c>
      <c r="M37" s="39" t="n"/>
      <c r="N37" s="37">
        <f>$N$5</f>
        <v/>
      </c>
      <c r="O37" s="19" t="n"/>
      <c r="P37" s="38" t="n"/>
      <c r="Q37" s="38">
        <f>IF(P37&gt;1,SUM(P37-P36),"")</f>
        <v/>
      </c>
      <c r="R37" s="38" t="n"/>
      <c r="S37" s="38">
        <f>IF(R37&gt;1,SUM(R37-R36),"")</f>
        <v/>
      </c>
      <c r="T37" s="40">
        <f>IFERROR((Q37/(Q37+S37)),"")</f>
        <v/>
      </c>
      <c r="U37" s="40">
        <f>IF(P37&gt;1,AVERAGE(T31:T37),"")</f>
        <v/>
      </c>
      <c r="V37" s="55">
        <f>IF(P37&gt;1,AVERAGE($T$7:T37),"")</f>
        <v/>
      </c>
      <c r="W37" s="41" t="n">
        <v>0.8</v>
      </c>
      <c r="X37" s="19" t="n"/>
      <c r="Y37" s="38" t="n"/>
      <c r="Z37" s="38" t="n"/>
      <c r="AA37" s="38" t="n"/>
      <c r="AB37" s="38" t="n"/>
      <c r="AC37" s="42" t="n"/>
      <c r="AD37" s="42" t="n"/>
    </row>
    <row r="38">
      <c r="A38" s="35" t="n"/>
      <c r="B38" s="39" t="n"/>
      <c r="C38" s="38" t="n"/>
      <c r="D38" s="36">
        <f>IF(OR(B38&gt;1,C38&gt;1),MAX(B38:C38),"")</f>
        <v/>
      </c>
      <c r="E38" s="38" t="n"/>
      <c r="F38" s="39" t="n"/>
      <c r="G38" s="38" t="n"/>
      <c r="H38" s="36">
        <f>IF(OR(F38&gt;1,G38&gt;1),MAX(F38:G38),"")</f>
        <v/>
      </c>
      <c r="I38" s="38" t="n"/>
      <c r="J38" s="39" t="n"/>
      <c r="K38" s="38" t="n"/>
      <c r="L38" s="36">
        <f>IF(OR(J38&gt;1,K38&gt;1),MAX(J38:K38),"")</f>
        <v/>
      </c>
      <c r="M38" s="39" t="n"/>
      <c r="N38" s="37" t="n"/>
      <c r="O38" s="19" t="n"/>
      <c r="P38" s="38" t="n"/>
      <c r="Q38" s="38">
        <f>IF(P38&gt;1,SUM(P38-P37),"")</f>
        <v/>
      </c>
      <c r="R38" s="38" t="n"/>
      <c r="S38" s="38">
        <f>IF(R38&gt;1,SUM(R38-R37),"")</f>
        <v/>
      </c>
      <c r="T38" s="40">
        <f>IFERROR((Q38/(Q38+S38)),"")</f>
        <v/>
      </c>
      <c r="U38" s="40">
        <f>IF(P38&gt;1,AVERAGE(T32:T38),"")</f>
        <v/>
      </c>
      <c r="V38" s="55">
        <f>IF(P38&gt;1,AVERAGE($T$7:T38),"")</f>
        <v/>
      </c>
      <c r="W38" s="41" t="n"/>
      <c r="X38" s="19" t="n"/>
      <c r="Y38" s="38" t="n"/>
      <c r="Z38" s="38" t="n"/>
      <c r="AA38" s="38" t="n"/>
      <c r="AB38" s="38" t="n"/>
      <c r="AC38" s="42" t="n"/>
      <c r="AD38" s="42" t="n"/>
    </row>
    <row r="39" ht="14.4" customHeight="1">
      <c r="A39" s="46" t="n"/>
      <c r="B39" s="47" t="n"/>
      <c r="C39" s="38" t="n"/>
      <c r="D39" s="36">
        <f>IF(OR(B39&gt;1,C39&gt;1),MAX(B39:C39),"")</f>
        <v/>
      </c>
      <c r="E39" s="38" t="n"/>
      <c r="F39" s="39" t="n"/>
      <c r="G39" s="38" t="n"/>
      <c r="H39" s="36">
        <f>IF(OR(F39&gt;1,G39&gt;1),MAX(F39:G39),"")</f>
        <v/>
      </c>
      <c r="I39" s="38" t="n"/>
      <c r="J39" s="39" t="n"/>
      <c r="K39" s="38" t="n"/>
      <c r="L39" s="36">
        <f>IF(OR(J39&gt;1,K39&gt;1),MAX(J39:K39),"")</f>
        <v/>
      </c>
      <c r="M39" s="39" t="n"/>
      <c r="N39" s="37" t="n"/>
      <c r="O39" s="19" t="n"/>
      <c r="P39" s="38" t="n"/>
      <c r="Q39" s="38">
        <f>IF(P39&gt;1,SUM(P39-P38),"")</f>
        <v/>
      </c>
      <c r="R39" s="38" t="n"/>
      <c r="S39" s="38">
        <f>IF(R39&gt;1,SUM(R39-R38),"")</f>
        <v/>
      </c>
      <c r="T39" s="40">
        <f>IFERROR((Q39/(Q39+S39)),"")</f>
        <v/>
      </c>
      <c r="U39" s="40">
        <f>IF(P39&gt;1,AVERAGE(T33:T39),"")</f>
        <v/>
      </c>
      <c r="V39" s="55">
        <f>IF(P39&gt;1,AVERAGE($T$7:T39),"")</f>
        <v/>
      </c>
      <c r="W39" s="41" t="n"/>
      <c r="X39" s="19" t="n"/>
      <c r="Y39" s="38" t="n"/>
      <c r="Z39" s="38" t="n"/>
      <c r="AA39" s="38" t="n"/>
      <c r="AB39" s="38" t="n"/>
      <c r="AC39" s="42" t="n"/>
      <c r="AD39" s="42" t="n"/>
    </row>
    <row r="40" ht="14.4" customHeight="1">
      <c r="A40" s="46" t="n"/>
      <c r="B40" s="48" t="n"/>
      <c r="C40" s="38" t="n"/>
      <c r="D40" s="36">
        <f>IF(OR(B40&gt;1,C40&gt;1),MAX(B40:C40),"")</f>
        <v/>
      </c>
      <c r="E40" s="38" t="n"/>
      <c r="F40" s="39" t="n"/>
      <c r="G40" s="38" t="n"/>
      <c r="H40" s="36">
        <f>IF(OR(F40&gt;1,G40&gt;1),MAX(F40:G40),"")</f>
        <v/>
      </c>
      <c r="I40" s="38" t="n"/>
      <c r="J40" s="39" t="n"/>
      <c r="K40" s="38" t="n"/>
      <c r="L40" s="36">
        <f>IF(OR(J40&gt;1,K40&gt;1),MAX(J40:K40),"")</f>
        <v/>
      </c>
      <c r="M40" s="39" t="n"/>
      <c r="N40" s="38" t="n"/>
      <c r="O40" s="19" t="n"/>
      <c r="P40" s="38" t="n"/>
      <c r="Q40" s="38" t="n"/>
      <c r="R40" s="38" t="n"/>
      <c r="S40" s="38" t="n"/>
      <c r="T40" s="38" t="n"/>
      <c r="U40" s="38" t="n"/>
      <c r="V40" s="49">
        <f>IF(V7="","",AVERAGE(V7:V37))</f>
        <v/>
      </c>
      <c r="W40" s="38" t="n"/>
      <c r="X40" s="19" t="n"/>
      <c r="Y40" s="38" t="n"/>
      <c r="Z40" s="38" t="n"/>
      <c r="AA40" s="38" t="n"/>
      <c r="AB40" s="38" t="n"/>
      <c r="AC40" s="42" t="n"/>
      <c r="AD40" s="42" t="n"/>
    </row>
    <row r="41">
      <c r="A41" s="18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18" t="n"/>
      <c r="O41" s="18" t="n"/>
      <c r="P41" s="18" t="n"/>
      <c r="Q41" s="50" t="n"/>
      <c r="R41" s="18" t="n"/>
      <c r="S41" s="18" t="n"/>
      <c r="T41" s="51" t="n"/>
      <c r="U41" s="18" t="n"/>
      <c r="V41" s="18" t="n"/>
      <c r="W41" s="18" t="n"/>
      <c r="X41" s="18" t="n"/>
      <c r="Y41" s="18" t="n"/>
      <c r="Z41" s="18" t="n"/>
      <c r="AA41" s="18" t="n">
        <v>4</v>
      </c>
      <c r="AB41" s="19" t="n">
        <v>0</v>
      </c>
      <c r="AC41" s="20" t="n"/>
      <c r="AD41" s="21" t="n"/>
    </row>
  </sheetData>
  <mergeCells count="4">
    <mergeCell ref="F4:G4"/>
    <mergeCell ref="J4:K4"/>
    <mergeCell ref="B4:C4"/>
    <mergeCell ref="A1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2" sqref="A12"/>
    </sheetView>
  </sheetViews>
  <sheetFormatPr baseColWidth="8" defaultRowHeight="12"/>
  <cols>
    <col width="19.140625" bestFit="1" customWidth="1" min="1" max="1"/>
    <col width="16.85546875" customWidth="1" min="2" max="5"/>
    <col width="3.7109375" customWidth="1" min="6" max="6"/>
    <col width="19.140625" bestFit="1" customWidth="1" min="7" max="7"/>
    <col width="16.85546875" customWidth="1" min="8" max="9"/>
    <col width="19.140625" bestFit="1" customWidth="1" min="10" max="10"/>
    <col width="16.85546875" customWidth="1" min="11" max="14"/>
    <col width="3.7109375" customWidth="1" min="15" max="15"/>
    <col width="16.85546875" customWidth="1" min="16" max="20"/>
    <col width="3.7109375" customWidth="1" min="21" max="21"/>
    <col width="16.85546875" customWidth="1" min="22" max="22"/>
  </cols>
  <sheetData>
    <row r="1" ht="14.4" customHeight="1">
      <c r="A1" s="56" t="inlineStr">
        <is>
          <t>Wetmill - Perkins 2MVA Generator</t>
        </is>
      </c>
      <c r="B1" s="109" t="n"/>
      <c r="C1" s="114" t="n"/>
      <c r="D1" s="56" t="n">
        <v>523</v>
      </c>
      <c r="E1" s="27" t="inlineStr">
        <is>
          <t>Usage - Liters per Hour</t>
        </is>
      </c>
      <c r="F1" s="20" t="n"/>
      <c r="G1" s="56" t="inlineStr">
        <is>
          <t>Drymill - Cummins 1MVA - 18</t>
        </is>
      </c>
      <c r="H1" s="109" t="n"/>
      <c r="I1" s="114" t="n"/>
      <c r="J1" s="56" t="inlineStr">
        <is>
          <t>Boilers &amp; Kilns - Perkins 800 Kva - 148</t>
        </is>
      </c>
      <c r="K1" s="109" t="n"/>
      <c r="L1" s="114" t="n"/>
      <c r="M1" s="56" t="inlineStr">
        <is>
          <t>148 &amp; 18</t>
        </is>
      </c>
      <c r="N1" s="27" t="inlineStr">
        <is>
          <t>Usage - Liters per Hour</t>
        </is>
      </c>
      <c r="O1" s="58" t="n"/>
      <c r="P1" s="56" t="inlineStr">
        <is>
          <t>Admin - Goscor 40 kVA</t>
        </is>
      </c>
      <c r="Q1" s="109" t="n"/>
      <c r="R1" s="114" t="n"/>
      <c r="S1" s="56" t="n">
        <v>548</v>
      </c>
      <c r="T1" s="27" t="inlineStr">
        <is>
          <t>Usage - Liters per Hour</t>
        </is>
      </c>
      <c r="U1" s="57" t="n"/>
      <c r="V1" s="66" t="inlineStr">
        <is>
          <t>Combined Ave Daily Run Time (Hours)</t>
        </is>
      </c>
    </row>
    <row r="2" ht="14.4" customHeight="1">
      <c r="A2" s="111" t="n"/>
      <c r="B2" s="112" t="n"/>
      <c r="C2" s="115" t="n"/>
      <c r="D2" s="27" t="inlineStr">
        <is>
          <t>Total Diesel Issue</t>
        </is>
      </c>
      <c r="E2" s="116" t="n"/>
      <c r="F2" s="20" t="n"/>
      <c r="G2" s="111" t="n"/>
      <c r="H2" s="112" t="n"/>
      <c r="I2" s="115" t="n"/>
      <c r="J2" s="111" t="n"/>
      <c r="K2" s="112" t="n"/>
      <c r="L2" s="115" t="n"/>
      <c r="M2" s="27" t="inlineStr">
        <is>
          <t>Total Diesel Issue</t>
        </is>
      </c>
      <c r="N2" s="116" t="n"/>
      <c r="O2" s="58" t="n"/>
      <c r="P2" s="111" t="n"/>
      <c r="Q2" s="112" t="n"/>
      <c r="R2" s="115" t="n"/>
      <c r="S2" s="27" t="inlineStr">
        <is>
          <t>Total Diesel Issue</t>
        </is>
      </c>
      <c r="T2" s="116" t="n"/>
      <c r="U2" s="57" t="n"/>
      <c r="V2" s="116" t="n"/>
    </row>
    <row r="3" ht="20.4" customHeight="1">
      <c r="A3" s="28" t="inlineStr">
        <is>
          <t>Date</t>
        </is>
      </c>
      <c r="B3" s="25" t="inlineStr">
        <is>
          <t>Hour Meter Reading</t>
        </is>
      </c>
      <c r="C3" s="27" t="inlineStr">
        <is>
          <t>WM Running Time</t>
        </is>
      </c>
      <c r="D3" s="117" t="n"/>
      <c r="E3" s="117" t="n"/>
      <c r="F3" s="20" t="n"/>
      <c r="G3" s="28" t="inlineStr">
        <is>
          <t>Date</t>
        </is>
      </c>
      <c r="H3" s="27" t="inlineStr">
        <is>
          <t>Hour Meter Reading</t>
        </is>
      </c>
      <c r="I3" s="27" t="inlineStr">
        <is>
          <t>DM Running Time</t>
        </is>
      </c>
      <c r="J3" s="28" t="inlineStr">
        <is>
          <t>Date</t>
        </is>
      </c>
      <c r="K3" s="25" t="inlineStr">
        <is>
          <t>Hour Meter Reading</t>
        </is>
      </c>
      <c r="L3" s="27" t="inlineStr">
        <is>
          <t>BH Running Time</t>
        </is>
      </c>
      <c r="M3" s="117" t="n"/>
      <c r="N3" s="117" t="n"/>
      <c r="O3" s="58" t="n"/>
      <c r="P3" s="28" t="inlineStr">
        <is>
          <t>Date</t>
        </is>
      </c>
      <c r="Q3" s="27" t="inlineStr">
        <is>
          <t>Hour Meter Reading</t>
        </is>
      </c>
      <c r="R3" s="27" t="inlineStr">
        <is>
          <t>ADM Running Time</t>
        </is>
      </c>
      <c r="S3" s="117" t="n"/>
      <c r="T3" s="117" t="n"/>
      <c r="U3" s="57" t="n"/>
      <c r="V3" s="117" t="n"/>
    </row>
    <row r="4" ht="14.4" customHeight="1">
      <c r="A4" s="61" t="n"/>
      <c r="B4" s="62" t="n"/>
      <c r="C4" s="52" t="n"/>
      <c r="D4" s="52" t="n"/>
      <c r="E4" s="76" t="n"/>
      <c r="F4" s="63" t="n"/>
      <c r="G4" s="61" t="n"/>
      <c r="H4" s="64" t="n"/>
      <c r="I4" s="52" t="n"/>
      <c r="J4" s="61" t="n"/>
      <c r="K4" s="38" t="n"/>
      <c r="L4" s="52" t="n"/>
      <c r="M4" s="52" t="n"/>
      <c r="N4" s="76" t="n"/>
      <c r="O4" s="65" t="n"/>
      <c r="P4" s="61" t="n"/>
      <c r="Q4" s="64" t="n"/>
      <c r="R4" s="52" t="n"/>
      <c r="S4" s="52" t="n"/>
      <c r="T4" s="76" t="n"/>
      <c r="U4" s="60" t="n"/>
      <c r="V4" s="71" t="n"/>
    </row>
    <row r="5" ht="14.4" customHeight="1">
      <c r="A5" s="61" t="n"/>
      <c r="B5" s="62" t="n"/>
      <c r="C5" s="64">
        <f>IF(B5&gt;1,SUM(B5-B4),"")</f>
        <v/>
      </c>
      <c r="D5" s="38" t="n"/>
      <c r="E5" s="28" t="n"/>
      <c r="F5" s="63" t="n"/>
      <c r="G5" s="61" t="n"/>
      <c r="H5" s="64" t="n"/>
      <c r="I5" s="38">
        <f>IF(H5&gt;1,SUM(H5-H4),"")</f>
        <v/>
      </c>
      <c r="J5" s="61" t="n"/>
      <c r="K5" s="38" t="n"/>
      <c r="L5" s="38">
        <f>IF(K5&gt;1,SUM(K5-K4),"")</f>
        <v/>
      </c>
      <c r="M5" s="38" t="n"/>
      <c r="N5" s="28" t="n"/>
      <c r="O5" s="65" t="n"/>
      <c r="P5" s="61" t="n"/>
      <c r="Q5" s="64" t="n"/>
      <c r="R5" s="38">
        <f>IF(Q5&gt;1,SUM(Q5-Q4),"")</f>
        <v/>
      </c>
      <c r="S5" s="38" t="n"/>
      <c r="T5" s="28" t="n"/>
      <c r="U5" s="60" t="n"/>
      <c r="V5" s="62">
        <f>IFERROR(AVERAGE(C5,I5,L5,R5),"")</f>
        <v/>
      </c>
    </row>
    <row r="6" ht="14.4" customHeight="1">
      <c r="A6" s="61" t="n"/>
      <c r="B6" s="62" t="n"/>
      <c r="C6" s="64">
        <f>IF(B6&gt;1,SUM(B6-B5),"")</f>
        <v/>
      </c>
      <c r="D6" s="38" t="n"/>
      <c r="E6" s="66" t="n"/>
      <c r="F6" s="63" t="n"/>
      <c r="G6" s="61" t="n"/>
      <c r="H6" s="64" t="n"/>
      <c r="I6" s="38">
        <f>IF(H6&gt;1,SUM(H6-H5),"")</f>
        <v/>
      </c>
      <c r="J6" s="61" t="n"/>
      <c r="K6" s="38" t="n"/>
      <c r="L6" s="38">
        <f>IF(K6&gt;1,SUM(K6-K5),"")</f>
        <v/>
      </c>
      <c r="M6" s="38" t="n"/>
      <c r="N6" s="66" t="n"/>
      <c r="O6" s="65" t="n"/>
      <c r="P6" s="61" t="n"/>
      <c r="Q6" s="64" t="n"/>
      <c r="R6" s="38">
        <f>IF(Q6&gt;1,SUM(Q6-Q5),"")</f>
        <v/>
      </c>
      <c r="S6" s="38" t="n"/>
      <c r="T6" s="66" t="n"/>
      <c r="U6" s="59" t="n"/>
      <c r="V6" s="62">
        <f>IFERROR(AVERAGE(C6,I6,L6,R6),"")</f>
        <v/>
      </c>
    </row>
    <row r="7" ht="14.4" customHeight="1">
      <c r="A7" s="61" t="n"/>
      <c r="B7" s="62" t="n"/>
      <c r="C7" s="64">
        <f>IF(B7&gt;1,SUM(B7-B6),"")</f>
        <v/>
      </c>
      <c r="D7" s="38" t="n"/>
      <c r="E7" s="28" t="n"/>
      <c r="F7" s="63" t="n"/>
      <c r="G7" s="61" t="n"/>
      <c r="H7" s="64" t="n"/>
      <c r="I7" s="38">
        <f>IF(H7&gt;1,SUM(H7-H6),"")</f>
        <v/>
      </c>
      <c r="J7" s="61" t="n"/>
      <c r="K7" s="38" t="n"/>
      <c r="L7" s="38">
        <f>IF(K7&gt;1,SUM(K7-K6),"")</f>
        <v/>
      </c>
      <c r="M7" s="38" t="n"/>
      <c r="N7" s="28" t="n"/>
      <c r="O7" s="65" t="n"/>
      <c r="P7" s="61" t="n"/>
      <c r="Q7" s="64" t="n"/>
      <c r="R7" s="38">
        <f>IF(Q7&gt;1,SUM(Q7-Q6),"")</f>
        <v/>
      </c>
      <c r="S7" s="38" t="n"/>
      <c r="T7" s="28" t="n"/>
      <c r="U7" s="60" t="n"/>
      <c r="V7" s="62">
        <f>IFERROR(AVERAGE(C7,I7,L7,R7),"")</f>
        <v/>
      </c>
    </row>
    <row r="8" ht="14.4" customHeight="1">
      <c r="A8" s="61" t="n"/>
      <c r="B8" s="62" t="n"/>
      <c r="C8" s="64">
        <f>IF(B8&gt;1,SUM(B8-B7),"")</f>
        <v/>
      </c>
      <c r="D8" s="38" t="n"/>
      <c r="E8" s="28" t="n"/>
      <c r="F8" s="63" t="n"/>
      <c r="G8" s="61" t="n"/>
      <c r="H8" s="64" t="n"/>
      <c r="I8" s="38">
        <f>IF(H8&gt;1,SUM(H8-H7),"")</f>
        <v/>
      </c>
      <c r="J8" s="61" t="n"/>
      <c r="K8" s="38" t="n"/>
      <c r="L8" s="38">
        <f>IF(K8&gt;1,SUM(K8-K7),"")</f>
        <v/>
      </c>
      <c r="M8" s="38" t="n"/>
      <c r="N8" s="28" t="n"/>
      <c r="O8" s="65" t="n"/>
      <c r="P8" s="61" t="n"/>
      <c r="Q8" s="64" t="n"/>
      <c r="R8" s="38">
        <f>IF(Q8&gt;1,SUM(Q8-Q7),"")</f>
        <v/>
      </c>
      <c r="S8" s="38" t="n"/>
      <c r="T8" s="28" t="n"/>
      <c r="U8" s="60" t="n"/>
      <c r="V8" s="62">
        <f>IFERROR(AVERAGE(C8,I8,L8,R8),"")</f>
        <v/>
      </c>
    </row>
    <row r="9" ht="14.4" customHeight="1">
      <c r="A9" s="61">
        <f>IF(A10&gt;0,A8+1,"")</f>
        <v/>
      </c>
      <c r="B9" s="62" t="n"/>
      <c r="C9" s="64">
        <f>IF(B9&gt;1,SUM(B9-B8),"")</f>
        <v/>
      </c>
      <c r="D9" s="38" t="n"/>
      <c r="E9" s="28" t="n"/>
      <c r="F9" s="63" t="n"/>
      <c r="G9" s="61" t="n"/>
      <c r="H9" s="64" t="n"/>
      <c r="I9" s="38">
        <f>IF(H9&gt;1,SUM(H9-H8),"")</f>
        <v/>
      </c>
      <c r="J9" s="61" t="n"/>
      <c r="K9" s="38" t="n"/>
      <c r="L9" s="38">
        <f>IF(K9&gt;1,SUM(K9-K8),"")</f>
        <v/>
      </c>
      <c r="M9" s="38" t="n"/>
      <c r="N9" s="28" t="n"/>
      <c r="O9" s="65" t="n"/>
      <c r="P9" s="61" t="n"/>
      <c r="Q9" s="64" t="n"/>
      <c r="R9" s="38">
        <f>IF(Q9&gt;1,SUM(Q9-Q8),"")</f>
        <v/>
      </c>
      <c r="S9" s="38" t="n"/>
      <c r="T9" s="28" t="n"/>
      <c r="U9" s="60" t="n"/>
      <c r="V9" s="62">
        <f>IFERROR(AVERAGE(C9,I9,L9,R9),"")</f>
        <v/>
      </c>
    </row>
    <row r="10" ht="14.4" customHeight="1">
      <c r="A10" s="61">
        <f>IF(A11&gt;0,A9+1,"")</f>
        <v/>
      </c>
      <c r="B10" s="62" t="n"/>
      <c r="C10" s="64">
        <f>IF(B10&gt;1,SUM(B10-B9),"")</f>
        <v/>
      </c>
      <c r="D10" s="38" t="n"/>
      <c r="E10" s="28" t="n"/>
      <c r="F10" s="63" t="n"/>
      <c r="G10" s="61" t="n"/>
      <c r="H10" s="64" t="n"/>
      <c r="I10" s="38">
        <f>IF(H10&gt;1,SUM(H10-H9),"")</f>
        <v/>
      </c>
      <c r="J10" s="61" t="n"/>
      <c r="K10" s="38" t="n"/>
      <c r="L10" s="38">
        <f>IF(K10&gt;1,SUM(K10-K9),"")</f>
        <v/>
      </c>
      <c r="M10" s="38" t="n"/>
      <c r="N10" s="28" t="n"/>
      <c r="O10" s="65" t="n"/>
      <c r="P10" s="61" t="n"/>
      <c r="Q10" s="64" t="n"/>
      <c r="R10" s="38">
        <f>IF(Q10&gt;1,SUM(Q10-Q9),"")</f>
        <v/>
      </c>
      <c r="S10" s="38" t="n"/>
      <c r="T10" s="28" t="n"/>
      <c r="U10" s="60" t="n"/>
      <c r="V10" s="62">
        <f>IFERROR(AVERAGE(C10,I10,L10,R10),"")</f>
        <v/>
      </c>
    </row>
    <row r="11" ht="14.4" customHeight="1">
      <c r="A11" s="61">
        <f>IF(A12&gt;0,A10+1,"")</f>
        <v/>
      </c>
      <c r="B11" s="62" t="n"/>
      <c r="C11" s="64">
        <f>IF(B11&gt;1,SUM(B11-B10),"")</f>
        <v/>
      </c>
      <c r="D11" s="38" t="n"/>
      <c r="E11" s="28" t="n"/>
      <c r="F11" s="63" t="n"/>
      <c r="G11" s="61" t="n"/>
      <c r="H11" s="64" t="n"/>
      <c r="I11" s="38">
        <f>IF(H11&gt;1,SUM(H11-H10),"")</f>
        <v/>
      </c>
      <c r="J11" s="61" t="n"/>
      <c r="K11" s="38" t="n"/>
      <c r="L11" s="38">
        <f>IF(K11&gt;1,SUM(K11-K10),"")</f>
        <v/>
      </c>
      <c r="M11" s="38" t="n"/>
      <c r="N11" s="28" t="n"/>
      <c r="O11" s="65" t="n"/>
      <c r="P11" s="61" t="n"/>
      <c r="Q11" s="64" t="n"/>
      <c r="R11" s="38">
        <f>IF(Q11&gt;1,SUM(Q11-Q10),"")</f>
        <v/>
      </c>
      <c r="S11" s="38" t="n"/>
      <c r="T11" s="28" t="n"/>
      <c r="U11" s="60" t="n"/>
      <c r="V11" s="62">
        <f>IFERROR(AVERAGE(C11,I11,L11,R11),"")</f>
        <v/>
      </c>
    </row>
    <row r="12" ht="14.4" customHeight="1">
      <c r="A12" s="61">
        <f>IF(A13&gt;0,A11+1,"")</f>
        <v/>
      </c>
      <c r="B12" s="62" t="n"/>
      <c r="C12" s="64">
        <f>IF(B12&gt;1,SUM(B12-B11),"")</f>
        <v/>
      </c>
      <c r="D12" s="38" t="n"/>
      <c r="E12" s="28" t="n"/>
      <c r="F12" s="63" t="n"/>
      <c r="G12" s="61" t="n"/>
      <c r="H12" s="64" t="n"/>
      <c r="I12" s="38">
        <f>IF(H12&gt;1,SUM(H12-H11),"")</f>
        <v/>
      </c>
      <c r="J12" s="61" t="n"/>
      <c r="K12" s="38" t="n"/>
      <c r="L12" s="38">
        <f>IF(K12&gt;1,SUM(K12-K11),"")</f>
        <v/>
      </c>
      <c r="M12" s="38" t="n"/>
      <c r="N12" s="28" t="n"/>
      <c r="O12" s="65" t="n"/>
      <c r="P12" s="61" t="n"/>
      <c r="Q12" s="64" t="n"/>
      <c r="R12" s="38">
        <f>IF(Q12&gt;1,SUM(Q12-Q11),"")</f>
        <v/>
      </c>
      <c r="S12" s="38" t="n"/>
      <c r="T12" s="28" t="n"/>
      <c r="U12" s="60" t="n"/>
      <c r="V12" s="62">
        <f>IFERROR(AVERAGE(C12,I12,L12,R12),"")</f>
        <v/>
      </c>
    </row>
    <row r="13" ht="14.4" customHeight="1">
      <c r="A13" s="61">
        <f>IF(A14&gt;0,A12+1,"")</f>
        <v/>
      </c>
      <c r="B13" s="62" t="n"/>
      <c r="C13" s="64">
        <f>IF(B13&gt;1,SUM(B13-B12),"")</f>
        <v/>
      </c>
      <c r="D13" s="38" t="n"/>
      <c r="E13" s="28" t="n"/>
      <c r="F13" s="63" t="n"/>
      <c r="G13" s="61" t="n"/>
      <c r="H13" s="64" t="n"/>
      <c r="I13" s="38">
        <f>IF(H13&gt;1,SUM(H13-H12),"")</f>
        <v/>
      </c>
      <c r="J13" s="61" t="n"/>
      <c r="K13" s="38" t="n"/>
      <c r="L13" s="38">
        <f>IF(K13&gt;1,SUM(K13-K12),"")</f>
        <v/>
      </c>
      <c r="M13" s="38" t="n"/>
      <c r="N13" s="28" t="n"/>
      <c r="O13" s="65" t="n"/>
      <c r="P13" s="61" t="n"/>
      <c r="Q13" s="64" t="n"/>
      <c r="R13" s="38">
        <f>IF(Q13&gt;1,SUM(Q13-Q12),"")</f>
        <v/>
      </c>
      <c r="S13" s="38" t="n"/>
      <c r="T13" s="28" t="n"/>
      <c r="U13" s="60" t="n"/>
      <c r="V13" s="62">
        <f>IFERROR(AVERAGE(C13,I13,L13,R13),"")</f>
        <v/>
      </c>
    </row>
    <row r="14" ht="14.4" customHeight="1">
      <c r="A14" s="61">
        <f>IF(A15&gt;0,A13+1,"")</f>
        <v/>
      </c>
      <c r="B14" s="62" t="n"/>
      <c r="C14" s="64">
        <f>IF(B14&gt;1,SUM(B14-B13),"")</f>
        <v/>
      </c>
      <c r="D14" s="38" t="n"/>
      <c r="E14" s="28" t="n"/>
      <c r="F14" s="63" t="n"/>
      <c r="G14" s="61" t="n"/>
      <c r="H14" s="64" t="n"/>
      <c r="I14" s="38">
        <f>IF(H14&gt;1,SUM(H14-H13),"")</f>
        <v/>
      </c>
      <c r="J14" s="61" t="n"/>
      <c r="K14" s="38" t="n"/>
      <c r="L14" s="38">
        <f>IF(K14&gt;1,SUM(K14-K13),"")</f>
        <v/>
      </c>
      <c r="M14" s="38" t="n"/>
      <c r="N14" s="28" t="n"/>
      <c r="O14" s="65" t="n"/>
      <c r="P14" s="61" t="n"/>
      <c r="Q14" s="64" t="n"/>
      <c r="R14" s="38">
        <f>IF(Q14&gt;1,SUM(Q14-Q13),"")</f>
        <v/>
      </c>
      <c r="S14" s="38" t="n"/>
      <c r="T14" s="28" t="n"/>
      <c r="U14" s="60" t="n"/>
      <c r="V14" s="62">
        <f>IFERROR(AVERAGE(C14,I14,L14,R14),"")</f>
        <v/>
      </c>
    </row>
    <row r="15" ht="14.4" customHeight="1">
      <c r="A15" s="61">
        <f>IF(A16&gt;0,A14+1,"")</f>
        <v/>
      </c>
      <c r="B15" s="62" t="n"/>
      <c r="C15" s="64">
        <f>IF(B15&gt;1,SUM(B15-B14),"")</f>
        <v/>
      </c>
      <c r="D15" s="38" t="n"/>
      <c r="E15" s="28" t="n"/>
      <c r="F15" s="63" t="n"/>
      <c r="G15" s="61" t="n"/>
      <c r="H15" s="64" t="n"/>
      <c r="I15" s="38">
        <f>IF(H15&gt;1,SUM(H15-H14),"")</f>
        <v/>
      </c>
      <c r="J15" s="61" t="n"/>
      <c r="K15" s="38" t="n"/>
      <c r="L15" s="38">
        <f>IF(K15&gt;1,SUM(K15-K14),"")</f>
        <v/>
      </c>
      <c r="M15" s="38" t="n"/>
      <c r="N15" s="28" t="n"/>
      <c r="O15" s="65" t="n"/>
      <c r="P15" s="61" t="n"/>
      <c r="Q15" s="64" t="n"/>
      <c r="R15" s="38">
        <f>IF(Q15&gt;1,SUM(Q15-Q14),"")</f>
        <v/>
      </c>
      <c r="S15" s="38" t="n"/>
      <c r="T15" s="28" t="n"/>
      <c r="U15" s="60" t="n"/>
      <c r="V15" s="62">
        <f>IFERROR(AVERAGE(C15,I15,L15,R15),"")</f>
        <v/>
      </c>
    </row>
    <row r="16" ht="14.4" customHeight="1">
      <c r="A16" s="61">
        <f>IF(A17&gt;0,A15+1,"")</f>
        <v/>
      </c>
      <c r="B16" s="62" t="n"/>
      <c r="C16" s="64">
        <f>IF(B16&gt;1,SUM(B16-B15),"")</f>
        <v/>
      </c>
      <c r="D16" s="38" t="n"/>
      <c r="E16" s="28" t="n"/>
      <c r="F16" s="63" t="n"/>
      <c r="G16" s="61" t="n"/>
      <c r="H16" s="64" t="n"/>
      <c r="I16" s="38">
        <f>IF(H16&gt;1,SUM(H16-H15),"")</f>
        <v/>
      </c>
      <c r="J16" s="61" t="n"/>
      <c r="K16" s="38" t="n"/>
      <c r="L16" s="38">
        <f>IF(K16&gt;1,SUM(K16-K15),"")</f>
        <v/>
      </c>
      <c r="M16" s="38" t="n"/>
      <c r="N16" s="28" t="n"/>
      <c r="O16" s="65" t="n"/>
      <c r="P16" s="61" t="n"/>
      <c r="Q16" s="64" t="n"/>
      <c r="R16" s="38">
        <f>IF(Q16&gt;1,SUM(Q16-Q15),"")</f>
        <v/>
      </c>
      <c r="S16" s="38" t="n"/>
      <c r="T16" s="28" t="n"/>
      <c r="U16" s="60" t="n"/>
      <c r="V16" s="62">
        <f>IFERROR(AVERAGE(C16,I16,L16,R16),"")</f>
        <v/>
      </c>
    </row>
    <row r="17" ht="14.4" customHeight="1">
      <c r="A17" s="61">
        <f>IF(A18&gt;0,A16+1,"")</f>
        <v/>
      </c>
      <c r="B17" s="62" t="n"/>
      <c r="C17" s="64">
        <f>IF(B17&gt;1,SUM(B17-B16),"")</f>
        <v/>
      </c>
      <c r="D17" s="38" t="n"/>
      <c r="E17" s="28" t="n"/>
      <c r="F17" s="63" t="n"/>
      <c r="G17" s="61" t="n"/>
      <c r="H17" s="64" t="n"/>
      <c r="I17" s="38">
        <f>IF(H17&gt;1,SUM(H17-H16),"")</f>
        <v/>
      </c>
      <c r="J17" s="61" t="n"/>
      <c r="K17" s="38" t="n"/>
      <c r="L17" s="38">
        <f>IF(K17&gt;1,SUM(K17-K16),"")</f>
        <v/>
      </c>
      <c r="M17" s="38" t="n"/>
      <c r="N17" s="28" t="n"/>
      <c r="O17" s="65" t="n"/>
      <c r="P17" s="61" t="n"/>
      <c r="Q17" s="64" t="n"/>
      <c r="R17" s="38">
        <f>IF(Q17&gt;1,SUM(Q17-Q16),"")</f>
        <v/>
      </c>
      <c r="S17" s="38" t="n"/>
      <c r="T17" s="28" t="n"/>
      <c r="U17" s="60" t="n"/>
      <c r="V17" s="62">
        <f>IFERROR(AVERAGE(C17,I17,L17,R17),"")</f>
        <v/>
      </c>
    </row>
    <row r="18" ht="14.4" customHeight="1">
      <c r="A18" s="61">
        <f>IF(A19&gt;0,A17+1,"")</f>
        <v/>
      </c>
      <c r="B18" s="62" t="n"/>
      <c r="C18" s="64">
        <f>IF(B18&gt;1,SUM(B18-B17),"")</f>
        <v/>
      </c>
      <c r="D18" s="38" t="n"/>
      <c r="E18" s="28" t="n"/>
      <c r="F18" s="63" t="n"/>
      <c r="G18" s="61" t="n"/>
      <c r="H18" s="64" t="n"/>
      <c r="I18" s="38">
        <f>IF(H18&gt;1,SUM(H18-H17),"")</f>
        <v/>
      </c>
      <c r="J18" s="61" t="n"/>
      <c r="K18" s="38" t="n"/>
      <c r="L18" s="38">
        <f>IF(K18&gt;1,SUM(K18-K17),"")</f>
        <v/>
      </c>
      <c r="M18" s="38" t="n"/>
      <c r="N18" s="28" t="n"/>
      <c r="O18" s="65" t="n"/>
      <c r="P18" s="61" t="n"/>
      <c r="Q18" s="64" t="n"/>
      <c r="R18" s="38">
        <f>IF(Q18&gt;1,SUM(Q18-Q17),"")</f>
        <v/>
      </c>
      <c r="S18" s="38" t="n"/>
      <c r="T18" s="28" t="n"/>
      <c r="U18" s="60" t="n"/>
      <c r="V18" s="62">
        <f>IFERROR(AVERAGE(C18,I18,L18,R18),"")</f>
        <v/>
      </c>
    </row>
    <row r="19" ht="14.4" customHeight="1">
      <c r="A19" s="61">
        <f>IF(A20&gt;0,A18+1,"")</f>
        <v/>
      </c>
      <c r="B19" s="62" t="n"/>
      <c r="C19" s="64">
        <f>IF(B19&gt;1,SUM(B19-B18),"")</f>
        <v/>
      </c>
      <c r="D19" s="38" t="n"/>
      <c r="E19" s="28" t="n"/>
      <c r="F19" s="63" t="n"/>
      <c r="G19" s="61" t="n"/>
      <c r="H19" s="64" t="n"/>
      <c r="I19" s="38">
        <f>IF(H19&gt;1,SUM(H19-H18),"")</f>
        <v/>
      </c>
      <c r="J19" s="61" t="n"/>
      <c r="K19" s="38" t="n"/>
      <c r="L19" s="38">
        <f>IF(K19&gt;1,SUM(K19-K18),"")</f>
        <v/>
      </c>
      <c r="M19" s="38" t="n"/>
      <c r="N19" s="28" t="n"/>
      <c r="O19" s="65" t="n"/>
      <c r="P19" s="61" t="n"/>
      <c r="Q19" s="64" t="n"/>
      <c r="R19" s="38">
        <f>IF(Q19&gt;1,SUM(Q19-Q18),"")</f>
        <v/>
      </c>
      <c r="S19" s="38" t="n"/>
      <c r="T19" s="28" t="n"/>
      <c r="U19" s="60" t="n"/>
      <c r="V19" s="62">
        <f>IFERROR(AVERAGE(C19,I19,L19,R19),"")</f>
        <v/>
      </c>
    </row>
    <row r="20" ht="14.4" customHeight="1">
      <c r="A20" s="61">
        <f>IF(A21&gt;0,A19+1,"")</f>
        <v/>
      </c>
      <c r="B20" s="62" t="n"/>
      <c r="C20" s="64">
        <f>IF(B20&gt;1,SUM(B20-B19),"")</f>
        <v/>
      </c>
      <c r="D20" s="38" t="n"/>
      <c r="E20" s="28" t="n"/>
      <c r="F20" s="63" t="n"/>
      <c r="G20" s="61" t="n"/>
      <c r="H20" s="64" t="n"/>
      <c r="I20" s="38">
        <f>IF(H20&gt;1,SUM(H20-H19),"")</f>
        <v/>
      </c>
      <c r="J20" s="61" t="n"/>
      <c r="K20" s="38" t="n"/>
      <c r="L20" s="38">
        <f>IF(K20&gt;1,SUM(K20-K19),"")</f>
        <v/>
      </c>
      <c r="M20" s="38" t="n"/>
      <c r="N20" s="28" t="n"/>
      <c r="O20" s="65" t="n"/>
      <c r="P20" s="61" t="n"/>
      <c r="Q20" s="64" t="n"/>
      <c r="R20" s="38">
        <f>IF(Q20&gt;1,SUM(Q20-Q19),"")</f>
        <v/>
      </c>
      <c r="S20" s="38" t="n"/>
      <c r="T20" s="28" t="n"/>
      <c r="U20" s="60" t="n"/>
      <c r="V20" s="62">
        <f>IFERROR(AVERAGE(C20,I20,L20,R20),"")</f>
        <v/>
      </c>
    </row>
    <row r="21" ht="14.4" customHeight="1">
      <c r="A21" s="61">
        <f>IF(A22&gt;0,A20+1,"")</f>
        <v/>
      </c>
      <c r="B21" s="62" t="n"/>
      <c r="C21" s="64">
        <f>IF(B21&gt;1,SUM(B21-B20),"")</f>
        <v/>
      </c>
      <c r="D21" s="38" t="n"/>
      <c r="E21" s="28" t="n"/>
      <c r="F21" s="63" t="n"/>
      <c r="G21" s="61" t="n"/>
      <c r="H21" s="64" t="n"/>
      <c r="I21" s="38">
        <f>IF(H21&gt;1,SUM(H21-H20),"")</f>
        <v/>
      </c>
      <c r="J21" s="61" t="n"/>
      <c r="K21" s="38" t="n"/>
      <c r="L21" s="38">
        <f>IF(K21&gt;1,SUM(K21-K20),"")</f>
        <v/>
      </c>
      <c r="M21" s="38" t="n"/>
      <c r="N21" s="28" t="n"/>
      <c r="O21" s="65" t="n"/>
      <c r="P21" s="61" t="n"/>
      <c r="Q21" s="64" t="n"/>
      <c r="R21" s="38">
        <f>IF(Q21&gt;1,SUM(Q21-Q20),"")</f>
        <v/>
      </c>
      <c r="S21" s="38" t="n"/>
      <c r="T21" s="28" t="n"/>
      <c r="U21" s="60" t="n"/>
      <c r="V21" s="62">
        <f>IFERROR(AVERAGE(C21,I21,L21,R21),"")</f>
        <v/>
      </c>
    </row>
    <row r="22" ht="14.4" customHeight="1">
      <c r="A22" s="61">
        <f>IF(A23&gt;0,A21+1,"")</f>
        <v/>
      </c>
      <c r="B22" s="62" t="n"/>
      <c r="C22" s="64">
        <f>IF(B22&gt;1,SUM(B22-B21),"")</f>
        <v/>
      </c>
      <c r="D22" s="38" t="n"/>
      <c r="E22" s="28" t="n"/>
      <c r="F22" s="63" t="n"/>
      <c r="G22" s="61" t="n"/>
      <c r="H22" s="64" t="n"/>
      <c r="I22" s="38">
        <f>IF(H22&gt;1,SUM(H22-H21),"")</f>
        <v/>
      </c>
      <c r="J22" s="61" t="n"/>
      <c r="K22" s="38" t="n"/>
      <c r="L22" s="38">
        <f>IF(K22&gt;1,SUM(K22-K21),"")</f>
        <v/>
      </c>
      <c r="M22" s="38" t="n"/>
      <c r="N22" s="28" t="n"/>
      <c r="O22" s="65" t="n"/>
      <c r="P22" s="61" t="n"/>
      <c r="Q22" s="64" t="n"/>
      <c r="R22" s="38">
        <f>IF(Q22&gt;1,SUM(Q22-Q21),"")</f>
        <v/>
      </c>
      <c r="S22" s="38" t="n"/>
      <c r="T22" s="28" t="n"/>
      <c r="U22" s="60" t="n"/>
      <c r="V22" s="62">
        <f>IFERROR(AVERAGE(C22,I22,L22,R22),"")</f>
        <v/>
      </c>
    </row>
    <row r="23" ht="14.4" customHeight="1">
      <c r="A23" s="61">
        <f>IF(A24&gt;0,A22+1,"")</f>
        <v/>
      </c>
      <c r="B23" s="62" t="n"/>
      <c r="C23" s="64">
        <f>IF(B23&gt;1,SUM(B23-B22),"")</f>
        <v/>
      </c>
      <c r="D23" s="38" t="n"/>
      <c r="E23" s="28" t="n"/>
      <c r="F23" s="63" t="n"/>
      <c r="G23" s="61" t="n"/>
      <c r="H23" s="64" t="n"/>
      <c r="I23" s="38">
        <f>IF(H23&gt;1,SUM(H23-H22),"")</f>
        <v/>
      </c>
      <c r="J23" s="61" t="n"/>
      <c r="K23" s="38" t="n"/>
      <c r="L23" s="38">
        <f>IF(K23&gt;1,SUM(K23-K22),"")</f>
        <v/>
      </c>
      <c r="M23" s="38" t="n"/>
      <c r="N23" s="28" t="n"/>
      <c r="O23" s="65" t="n"/>
      <c r="P23" s="61" t="n"/>
      <c r="Q23" s="64" t="n"/>
      <c r="R23" s="38">
        <f>IF(Q23&gt;1,SUM(Q23-Q22),"")</f>
        <v/>
      </c>
      <c r="S23" s="38" t="n"/>
      <c r="T23" s="28" t="n"/>
      <c r="U23" s="60" t="n"/>
      <c r="V23" s="62">
        <f>IFERROR(AVERAGE(C23,I23,L23,R23),"")</f>
        <v/>
      </c>
    </row>
    <row r="24" ht="14.4" customHeight="1">
      <c r="A24" s="61">
        <f>IF(A25&gt;0,A23+1,"")</f>
        <v/>
      </c>
      <c r="B24" s="62" t="n"/>
      <c r="C24" s="64">
        <f>IF(B24&gt;1,SUM(B24-B23),"")</f>
        <v/>
      </c>
      <c r="D24" s="38" t="n"/>
      <c r="E24" s="28" t="n"/>
      <c r="F24" s="63" t="n"/>
      <c r="G24" s="61" t="n"/>
      <c r="H24" s="64" t="n"/>
      <c r="I24" s="38">
        <f>IF(H24&gt;1,SUM(H24-H23),"")</f>
        <v/>
      </c>
      <c r="J24" s="61" t="n"/>
      <c r="K24" s="38" t="n"/>
      <c r="L24" s="38">
        <f>IF(K24&gt;1,SUM(K24-K23),"")</f>
        <v/>
      </c>
      <c r="M24" s="38" t="n"/>
      <c r="N24" s="28" t="n"/>
      <c r="O24" s="65" t="n"/>
      <c r="P24" s="61" t="n"/>
      <c r="Q24" s="64" t="n"/>
      <c r="R24" s="38">
        <f>IF(Q24&gt;1,SUM(Q24-Q23),"")</f>
        <v/>
      </c>
      <c r="S24" s="38" t="n"/>
      <c r="T24" s="28" t="n"/>
      <c r="U24" s="60" t="n"/>
      <c r="V24" s="62">
        <f>IFERROR(AVERAGE(C24,I24,L24,R24),"")</f>
        <v/>
      </c>
    </row>
    <row r="25" ht="14.4" customHeight="1">
      <c r="A25" s="61">
        <f>IF(A26&gt;0,A24+1,"")</f>
        <v/>
      </c>
      <c r="B25" s="62" t="n"/>
      <c r="C25" s="64">
        <f>IF(B25&gt;1,SUM(B25-B24),"")</f>
        <v/>
      </c>
      <c r="D25" s="38" t="n"/>
      <c r="E25" s="28" t="n"/>
      <c r="F25" s="63" t="n"/>
      <c r="G25" s="61" t="n"/>
      <c r="H25" s="64" t="n"/>
      <c r="I25" s="38">
        <f>IF(H25&gt;1,SUM(H25-H24),"")</f>
        <v/>
      </c>
      <c r="J25" s="61" t="n"/>
      <c r="K25" s="38" t="n"/>
      <c r="L25" s="38">
        <f>IF(K25&gt;1,SUM(K25-K24),"")</f>
        <v/>
      </c>
      <c r="M25" s="38" t="n"/>
      <c r="N25" s="28" t="n"/>
      <c r="O25" s="65" t="n"/>
      <c r="P25" s="61" t="n"/>
      <c r="Q25" s="64" t="n"/>
      <c r="R25" s="38">
        <f>IF(Q25&gt;1,SUM(Q25-Q24),"")</f>
        <v/>
      </c>
      <c r="S25" s="38" t="n"/>
      <c r="T25" s="28" t="n"/>
      <c r="U25" s="60" t="n"/>
      <c r="V25" s="62">
        <f>IFERROR(AVERAGE(C25,I25,L25,R25),"")</f>
        <v/>
      </c>
    </row>
    <row r="26" ht="14.4" customHeight="1">
      <c r="A26" s="61">
        <f>IF(A27&gt;0,A25+1,"")</f>
        <v/>
      </c>
      <c r="B26" s="62" t="n"/>
      <c r="C26" s="64">
        <f>IF(B26&gt;1,SUM(B26-B25),"")</f>
        <v/>
      </c>
      <c r="D26" s="38" t="n"/>
      <c r="E26" s="28" t="n"/>
      <c r="F26" s="63" t="n"/>
      <c r="G26" s="61" t="n"/>
      <c r="H26" s="64" t="n"/>
      <c r="I26" s="38">
        <f>IF(H26&gt;1,SUM(H26-H25),"")</f>
        <v/>
      </c>
      <c r="J26" s="61" t="n"/>
      <c r="K26" s="38" t="n"/>
      <c r="L26" s="38">
        <f>IF(K26&gt;1,SUM(K26-K25),"")</f>
        <v/>
      </c>
      <c r="M26" s="38" t="n"/>
      <c r="N26" s="28" t="n"/>
      <c r="O26" s="65" t="n"/>
      <c r="P26" s="61" t="n"/>
      <c r="Q26" s="64" t="n"/>
      <c r="R26" s="38">
        <f>IF(Q26&gt;1,SUM(Q26-Q25),"")</f>
        <v/>
      </c>
      <c r="S26" s="38" t="n"/>
      <c r="T26" s="28" t="n"/>
      <c r="U26" s="60" t="n"/>
      <c r="V26" s="62">
        <f>IFERROR(AVERAGE(C26,I26,L26,R26),"")</f>
        <v/>
      </c>
    </row>
    <row r="27" ht="14.4" customHeight="1">
      <c r="A27" s="61">
        <f>IF(A28&gt;0,A26+1,"")</f>
        <v/>
      </c>
      <c r="B27" s="62" t="n"/>
      <c r="C27" s="64">
        <f>IF(B27&gt;1,SUM(B27-B26),"")</f>
        <v/>
      </c>
      <c r="D27" s="38" t="n"/>
      <c r="E27" s="28" t="n"/>
      <c r="F27" s="63" t="n"/>
      <c r="G27" s="61" t="n"/>
      <c r="H27" s="64" t="n"/>
      <c r="I27" s="38">
        <f>IF(H27&gt;1,SUM(H27-H26),"")</f>
        <v/>
      </c>
      <c r="J27" s="61" t="n"/>
      <c r="K27" s="38" t="n"/>
      <c r="L27" s="38">
        <f>IF(K27&gt;1,SUM(K27-K26),"")</f>
        <v/>
      </c>
      <c r="M27" s="38" t="n"/>
      <c r="N27" s="28" t="n"/>
      <c r="O27" s="65" t="n"/>
      <c r="P27" s="61" t="n"/>
      <c r="Q27" s="64" t="n"/>
      <c r="R27" s="38">
        <f>IF(Q27&gt;1,SUM(Q27-Q26),"")</f>
        <v/>
      </c>
      <c r="S27" s="38" t="n"/>
      <c r="T27" s="28" t="n"/>
      <c r="U27" s="60" t="n"/>
      <c r="V27" s="62">
        <f>IFERROR(AVERAGE(C27,I27,L27,R27),"")</f>
        <v/>
      </c>
    </row>
    <row r="28" ht="14.4" customHeight="1">
      <c r="A28" s="61">
        <f>IF(A29&gt;0,A27+1,"")</f>
        <v/>
      </c>
      <c r="B28" s="62" t="n"/>
      <c r="C28" s="64">
        <f>IF(B28&gt;1,SUM(B28-B27),"")</f>
        <v/>
      </c>
      <c r="D28" s="38" t="n"/>
      <c r="E28" s="28" t="n"/>
      <c r="F28" s="63" t="n"/>
      <c r="G28" s="61" t="n"/>
      <c r="H28" s="64" t="n"/>
      <c r="I28" s="38">
        <f>IF(H28&gt;1,SUM(H28-H27),"")</f>
        <v/>
      </c>
      <c r="J28" s="61" t="n"/>
      <c r="K28" s="38" t="n"/>
      <c r="L28" s="38">
        <f>IF(K28&gt;1,SUM(K28-K27),"")</f>
        <v/>
      </c>
      <c r="M28" s="38" t="n"/>
      <c r="N28" s="28" t="n"/>
      <c r="O28" s="65" t="n"/>
      <c r="P28" s="61" t="n"/>
      <c r="Q28" s="64" t="n"/>
      <c r="R28" s="38">
        <f>IF(Q28&gt;1,SUM(Q28-Q27),"")</f>
        <v/>
      </c>
      <c r="S28" s="38" t="n"/>
      <c r="T28" s="28" t="n"/>
      <c r="U28" s="60" t="n"/>
      <c r="V28" s="62">
        <f>IFERROR(AVERAGE(C28,I28,L28,R28),"")</f>
        <v/>
      </c>
    </row>
    <row r="29" ht="14.4" customHeight="1">
      <c r="A29" s="61">
        <f>IF(A30&gt;0,A28+1,"")</f>
        <v/>
      </c>
      <c r="B29" s="62" t="n"/>
      <c r="C29" s="64">
        <f>IF(B29&gt;1,SUM(B29-B28),"")</f>
        <v/>
      </c>
      <c r="D29" s="38" t="n"/>
      <c r="E29" s="28" t="n"/>
      <c r="F29" s="63" t="n"/>
      <c r="G29" s="61" t="n"/>
      <c r="H29" s="64" t="n"/>
      <c r="I29" s="38">
        <f>IF(H29&gt;1,SUM(H29-H28),"")</f>
        <v/>
      </c>
      <c r="J29" s="61" t="n"/>
      <c r="K29" s="38" t="n"/>
      <c r="L29" s="38">
        <f>IF(K29&gt;1,SUM(K29-K28),"")</f>
        <v/>
      </c>
      <c r="M29" s="38" t="n"/>
      <c r="N29" s="28" t="n"/>
      <c r="O29" s="65" t="n"/>
      <c r="P29" s="61" t="n"/>
      <c r="Q29" s="64" t="n"/>
      <c r="R29" s="38">
        <f>IF(Q29&gt;1,SUM(Q29-Q28),"")</f>
        <v/>
      </c>
      <c r="S29" s="38" t="n"/>
      <c r="T29" s="28" t="n"/>
      <c r="U29" s="60" t="n"/>
      <c r="V29" s="62">
        <f>IFERROR(AVERAGE(C29,I29,L29,R29),"")</f>
        <v/>
      </c>
    </row>
    <row r="30" ht="14.4" customHeight="1">
      <c r="A30" s="61">
        <f>IF(A31&gt;0,A29+1,"")</f>
        <v/>
      </c>
      <c r="B30" s="62" t="n"/>
      <c r="C30" s="64">
        <f>IF(B30&gt;1,SUM(B30-B29),"")</f>
        <v/>
      </c>
      <c r="D30" s="38" t="n"/>
      <c r="E30" s="28" t="n"/>
      <c r="F30" s="63" t="n"/>
      <c r="G30" s="61" t="n"/>
      <c r="H30" s="64" t="n"/>
      <c r="I30" s="38">
        <f>IF(H30&gt;1,SUM(H30-H29),"")</f>
        <v/>
      </c>
      <c r="J30" s="61" t="n"/>
      <c r="K30" s="38" t="n"/>
      <c r="L30" s="38">
        <f>IF(K30&gt;1,SUM(K30-K29),"")</f>
        <v/>
      </c>
      <c r="M30" s="38" t="n"/>
      <c r="N30" s="28" t="n"/>
      <c r="O30" s="65" t="n"/>
      <c r="P30" s="61" t="n"/>
      <c r="Q30" s="64" t="n"/>
      <c r="R30" s="38">
        <f>IF(Q30&gt;1,SUM(Q30-Q29),"")</f>
        <v/>
      </c>
      <c r="S30" s="38" t="n"/>
      <c r="T30" s="28" t="n"/>
      <c r="U30" s="60" t="n"/>
      <c r="V30" s="62">
        <f>IFERROR(AVERAGE(C30,I30,L30,R30),"")</f>
        <v/>
      </c>
    </row>
    <row r="31" ht="14.4" customHeight="1">
      <c r="A31" s="61">
        <f>IF(A32&gt;0,A30+1,"")</f>
        <v/>
      </c>
      <c r="B31" s="66" t="n"/>
      <c r="C31" s="64">
        <f>IF(B31&gt;1,SUM(B31-B30),"")</f>
        <v/>
      </c>
      <c r="D31" s="38" t="n"/>
      <c r="E31" s="28" t="n"/>
      <c r="F31" s="63" t="n"/>
      <c r="G31" s="61" t="n"/>
      <c r="H31" s="38" t="n"/>
      <c r="I31" s="38">
        <f>IF(H31&gt;1,SUM(H31-H30),"")</f>
        <v/>
      </c>
      <c r="J31" s="61" t="n"/>
      <c r="K31" s="38" t="n"/>
      <c r="L31" s="38">
        <f>IF(K31&gt;1,SUM(K31-K30),"")</f>
        <v/>
      </c>
      <c r="M31" s="38" t="n"/>
      <c r="N31" s="28" t="n"/>
      <c r="O31" s="65" t="n"/>
      <c r="P31" s="61" t="n"/>
      <c r="Q31" s="38" t="n"/>
      <c r="R31" s="38">
        <f>IF(Q31&gt;1,SUM(Q31-Q30),"")</f>
        <v/>
      </c>
      <c r="S31" s="38" t="n"/>
      <c r="T31" s="28" t="n"/>
      <c r="U31" s="60" t="n"/>
      <c r="V31" s="62">
        <f>IFERROR(AVERAGE(C31,I31,L31,R31),"")</f>
        <v/>
      </c>
    </row>
    <row r="32" ht="14.4" customHeight="1">
      <c r="A32" s="61" t="n"/>
      <c r="B32" s="66" t="n"/>
      <c r="C32" s="64">
        <f>IF(B32&gt;1,SUM(B32-B31),"")</f>
        <v/>
      </c>
      <c r="D32" s="38" t="n"/>
      <c r="E32" s="28" t="n"/>
      <c r="F32" s="63" t="n"/>
      <c r="G32" s="61" t="n"/>
      <c r="H32" s="38" t="n"/>
      <c r="I32" s="38">
        <f>IF(H32&gt;1,SUM(H32-H31),"")</f>
        <v/>
      </c>
      <c r="J32" s="61" t="n"/>
      <c r="K32" s="38" t="n"/>
      <c r="L32" s="38">
        <f>IF(K32&gt;1,SUM(K32-K31),"")</f>
        <v/>
      </c>
      <c r="M32" s="38" t="n"/>
      <c r="N32" s="28" t="n"/>
      <c r="O32" s="65" t="n"/>
      <c r="P32" s="61" t="n"/>
      <c r="Q32" s="38" t="n"/>
      <c r="R32" s="38">
        <f>IF(Q32&gt;1,SUM(Q32-Q31),"")</f>
        <v/>
      </c>
      <c r="S32" s="38" t="n"/>
      <c r="T32" s="28" t="n"/>
      <c r="U32" s="60" t="n"/>
      <c r="V32" s="62">
        <f>IFERROR(AVERAGE(C32,I32,L32,R32),"")</f>
        <v/>
      </c>
    </row>
    <row r="33" ht="14.4" customHeight="1">
      <c r="A33" s="61" t="n"/>
      <c r="B33" s="66" t="n"/>
      <c r="C33" s="64">
        <f>IF(B33&gt;1,SUM(B33-B32),"")</f>
        <v/>
      </c>
      <c r="D33" s="38" t="n"/>
      <c r="E33" s="28" t="n"/>
      <c r="F33" s="63" t="n"/>
      <c r="G33" s="61" t="n"/>
      <c r="H33" s="38" t="n"/>
      <c r="I33" s="38">
        <f>IF(H33&gt;1,SUM(H33-H32),"")</f>
        <v/>
      </c>
      <c r="J33" s="61" t="n"/>
      <c r="K33" s="38" t="n"/>
      <c r="L33" s="38">
        <f>IF(K33&gt;1,SUM(K33-K32),"")</f>
        <v/>
      </c>
      <c r="M33" s="38" t="n"/>
      <c r="N33" s="28" t="n"/>
      <c r="O33" s="65" t="n"/>
      <c r="P33" s="61" t="n"/>
      <c r="Q33" s="38" t="n"/>
      <c r="R33" s="38">
        <f>IF(Q33&gt;1,SUM(Q33-Q32),"")</f>
        <v/>
      </c>
      <c r="S33" s="38" t="n"/>
      <c r="T33" s="28" t="n"/>
      <c r="U33" s="60" t="n"/>
      <c r="V33" s="62">
        <f>IFERROR(AVERAGE(C33,I33,L33,R33),"")</f>
        <v/>
      </c>
    </row>
    <row r="34" ht="14.4" customHeight="1">
      <c r="A34" s="61" t="n"/>
      <c r="B34" s="66" t="n"/>
      <c r="C34" s="64">
        <f>IF(B34&gt;1,SUM(B34-B33),"")</f>
        <v/>
      </c>
      <c r="D34" s="38" t="n"/>
      <c r="E34" s="28" t="n"/>
      <c r="F34" s="63" t="n"/>
      <c r="G34" s="61" t="n"/>
      <c r="H34" s="38" t="n"/>
      <c r="I34" s="38">
        <f>IF(H34&gt;1,SUM(H34-H33),"")</f>
        <v/>
      </c>
      <c r="J34" s="61" t="n"/>
      <c r="K34" s="38" t="n"/>
      <c r="L34" s="38">
        <f>IF(K34&gt;1,SUM(K34-K33),"")</f>
        <v/>
      </c>
      <c r="M34" s="38" t="n"/>
      <c r="N34" s="28" t="n"/>
      <c r="O34" s="65" t="n"/>
      <c r="P34" s="61" t="n"/>
      <c r="Q34" s="38" t="n"/>
      <c r="R34" s="38">
        <f>IF(Q34&gt;1,SUM(Q34-Q33),"")</f>
        <v/>
      </c>
      <c r="S34" s="38" t="n"/>
      <c r="T34" s="28" t="n"/>
      <c r="U34" s="60" t="n"/>
      <c r="V34" s="62">
        <f>IFERROR(AVERAGE(C34,I34,L34,R34),"")</f>
        <v/>
      </c>
    </row>
    <row r="35" ht="14.4" customHeight="1">
      <c r="A35" s="61" t="n"/>
      <c r="B35" s="66" t="n"/>
      <c r="C35" s="64">
        <f>IF(B35&gt;1,SUM(B35-B34),"")</f>
        <v/>
      </c>
      <c r="D35" s="38" t="n"/>
      <c r="E35" s="28" t="n"/>
      <c r="F35" s="63" t="n"/>
      <c r="G35" s="61" t="n"/>
      <c r="H35" s="38" t="n"/>
      <c r="I35" s="38">
        <f>IF(H35&gt;1,SUM(H35-H34),"")</f>
        <v/>
      </c>
      <c r="J35" s="61" t="n"/>
      <c r="K35" s="38" t="n"/>
      <c r="L35" s="38">
        <f>IF(K35&gt;1,SUM(K35-K34),"")</f>
        <v/>
      </c>
      <c r="M35" s="38" t="n"/>
      <c r="N35" s="28" t="n"/>
      <c r="O35" s="65" t="n"/>
      <c r="P35" s="61" t="n"/>
      <c r="Q35" s="38" t="n"/>
      <c r="R35" s="38">
        <f>IF(Q35&gt;1,SUM(Q35-Q34),"")</f>
        <v/>
      </c>
      <c r="S35" s="38" t="n"/>
      <c r="T35" s="28" t="n"/>
      <c r="U35" s="60" t="n"/>
      <c r="V35" s="62">
        <f>IFERROR(AVERAGE(C35,I35,L35,R35),"")</f>
        <v/>
      </c>
    </row>
    <row r="36" ht="14.4" customHeight="1">
      <c r="A36" s="38" t="n"/>
      <c r="B36" s="66" t="n"/>
      <c r="C36" s="38" t="n"/>
      <c r="D36" s="38" t="n"/>
      <c r="E36" s="28" t="n"/>
      <c r="F36" s="63" t="n"/>
      <c r="G36" s="38" t="n"/>
      <c r="H36" s="38" t="n"/>
      <c r="I36" s="38" t="n"/>
      <c r="J36" s="38" t="n"/>
      <c r="K36" s="38" t="n"/>
      <c r="L36" s="38" t="n"/>
      <c r="M36" s="38" t="n"/>
      <c r="N36" s="28" t="n"/>
      <c r="O36" s="65" t="n"/>
      <c r="P36" s="38" t="n"/>
      <c r="Q36" s="38" t="n"/>
      <c r="R36" s="38" t="n"/>
      <c r="S36" s="38" t="n"/>
      <c r="T36" s="28" t="n"/>
      <c r="U36" s="60" t="n"/>
      <c r="V36" s="66" t="n"/>
    </row>
    <row r="37" ht="14.4" customHeight="1">
      <c r="A37" s="38" t="n"/>
      <c r="B37" s="66" t="n"/>
      <c r="C37" s="38" t="n"/>
      <c r="D37" s="38" t="n"/>
      <c r="E37" s="28" t="n"/>
      <c r="F37" s="63" t="n"/>
      <c r="G37" s="38" t="n"/>
      <c r="H37" s="38" t="n"/>
      <c r="I37" s="38" t="n"/>
      <c r="J37" s="38" t="n"/>
      <c r="K37" s="38" t="n"/>
      <c r="L37" s="38" t="n"/>
      <c r="M37" s="38" t="n"/>
      <c r="N37" s="28" t="n"/>
      <c r="O37" s="65" t="n"/>
      <c r="P37" s="38" t="n"/>
      <c r="Q37" s="38" t="n"/>
      <c r="R37" s="38" t="n"/>
      <c r="S37" s="38" t="n"/>
      <c r="T37" s="28" t="n"/>
      <c r="U37" s="60" t="n"/>
      <c r="V37" s="66" t="n"/>
    </row>
    <row r="38" ht="14.4" customHeight="1">
      <c r="A38" s="38" t="n"/>
      <c r="B38" s="66" t="n"/>
      <c r="C38" s="38" t="n"/>
      <c r="D38" s="38" t="n"/>
      <c r="E38" s="28" t="n"/>
      <c r="F38" s="63" t="n"/>
      <c r="G38" s="38" t="n"/>
      <c r="H38" s="38" t="n"/>
      <c r="I38" s="38" t="n"/>
      <c r="J38" s="38" t="n"/>
      <c r="K38" s="38" t="n"/>
      <c r="L38" s="38" t="n"/>
      <c r="M38" s="38" t="n"/>
      <c r="N38" s="28" t="n"/>
      <c r="O38" s="65" t="n"/>
      <c r="P38" s="38" t="n"/>
      <c r="Q38" s="38" t="n"/>
      <c r="R38" s="38" t="n"/>
      <c r="S38" s="38" t="n"/>
      <c r="T38" s="28" t="n"/>
      <c r="U38" s="60" t="n"/>
      <c r="V38" s="66" t="n"/>
    </row>
    <row r="39">
      <c r="A39" s="69" t="inlineStr">
        <is>
          <t>MTD Total</t>
        </is>
      </c>
      <c r="B39" s="26" t="n"/>
      <c r="C39" s="67">
        <f>SUM(C4:C35)</f>
        <v/>
      </c>
      <c r="D39" s="26">
        <f>SUM(D5:D35)</f>
        <v/>
      </c>
      <c r="E39" s="68">
        <f>IFERROR(SUM(D39/C39),"")</f>
        <v/>
      </c>
      <c r="F39" s="22" t="n"/>
      <c r="G39" s="69" t="inlineStr">
        <is>
          <t>MTD Total</t>
        </is>
      </c>
      <c r="H39" s="26" t="n"/>
      <c r="I39" s="67">
        <f>SUM(I4:I35)</f>
        <v/>
      </c>
      <c r="J39" s="69" t="inlineStr">
        <is>
          <t>MTD Total</t>
        </is>
      </c>
      <c r="K39" s="26" t="n"/>
      <c r="L39" s="67">
        <f>SUM(L4:L35)</f>
        <v/>
      </c>
      <c r="M39" s="26">
        <f>SUM(M5:M35)</f>
        <v/>
      </c>
      <c r="N39" s="68">
        <f>IFERROR(SUM(M39/(I39+L39)),"")</f>
        <v/>
      </c>
      <c r="O39" s="73" t="n"/>
      <c r="P39" s="69" t="inlineStr">
        <is>
          <t>MTD Total</t>
        </is>
      </c>
      <c r="Q39" s="26" t="n"/>
      <c r="R39" s="67">
        <f>SUM(R4:R35)</f>
        <v/>
      </c>
      <c r="S39" s="26">
        <f>SUM(S5:S35)</f>
        <v/>
      </c>
      <c r="T39" s="68">
        <f>IFERROR(SUM(S39/R39),"")</f>
        <v/>
      </c>
      <c r="U39" s="70" t="n"/>
      <c r="V39" s="62">
        <f>IFERROR(AVERAGE(C39,I39,L39,R39),"")</f>
        <v/>
      </c>
    </row>
    <row r="40">
      <c r="A40" s="69" t="inlineStr">
        <is>
          <t>MTD Daily Average</t>
        </is>
      </c>
      <c r="B40" s="69" t="n"/>
      <c r="C40" s="67">
        <f>IFERROR(AVERAGE(C5:C35),"")</f>
        <v/>
      </c>
      <c r="D40" s="26">
        <f>IFERROR(AVERAGE(D5:D35),"")</f>
        <v/>
      </c>
      <c r="E40" s="26" t="n"/>
      <c r="F40" s="22" t="n"/>
      <c r="G40" s="69" t="inlineStr">
        <is>
          <t>MTD Daily Average</t>
        </is>
      </c>
      <c r="H40" s="26" t="n"/>
      <c r="I40" s="72">
        <f>IFERROR(AVERAGE(I5:I35),"")</f>
        <v/>
      </c>
      <c r="J40" s="69" t="inlineStr">
        <is>
          <t>MTD Daily Average</t>
        </is>
      </c>
      <c r="K40" s="26" t="n"/>
      <c r="L40" s="72">
        <f>IFERROR(AVERAGE(L5:L35),"")</f>
        <v/>
      </c>
      <c r="M40" s="26">
        <f>IFERROR(AVERAGE(M5:M35),"")</f>
        <v/>
      </c>
      <c r="N40" s="26" t="n"/>
      <c r="O40" s="74" t="n"/>
      <c r="P40" s="69" t="inlineStr">
        <is>
          <t>MTD Daily Average</t>
        </is>
      </c>
      <c r="Q40" s="26" t="n"/>
      <c r="R40" s="72">
        <f>IFERROR(AVERAGE(R5:R35),"")</f>
        <v/>
      </c>
      <c r="S40" s="26">
        <f>IFERROR(AVERAGE(S5:S35),"")</f>
        <v/>
      </c>
      <c r="T40" s="26" t="n"/>
      <c r="U40" s="22" t="n"/>
      <c r="V40" s="75">
        <f>IFERROR(AVERAGE(V6:V36),"")</f>
        <v/>
      </c>
    </row>
  </sheetData>
  <mergeCells count="11">
    <mergeCell ref="G1:I2"/>
    <mergeCell ref="T1:T3"/>
    <mergeCell ref="N1:N3"/>
    <mergeCell ref="J1:L2"/>
    <mergeCell ref="V1:V3"/>
    <mergeCell ref="P1:R2"/>
    <mergeCell ref="A1:C2"/>
    <mergeCell ref="M2:M3"/>
    <mergeCell ref="D2:D3"/>
    <mergeCell ref="E1:E3"/>
    <mergeCell ref="S2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topLeftCell="A15" workbookViewId="0">
      <selection activeCell="J43" sqref="J43"/>
    </sheetView>
  </sheetViews>
  <sheetFormatPr baseColWidth="8" defaultRowHeight="12"/>
  <cols>
    <col width="19.140625" bestFit="1" customWidth="1" min="1" max="1"/>
    <col width="13.7109375" customWidth="1" min="2" max="3"/>
    <col width="3.7109375" customWidth="1" min="4" max="4"/>
    <col width="19.140625" bestFit="1" customWidth="1" min="5" max="5"/>
    <col width="13.7109375" customWidth="1" min="6" max="7"/>
    <col width="3.7109375" customWidth="1" min="8" max="8"/>
    <col width="19.140625" bestFit="1" customWidth="1" min="9" max="9"/>
    <col width="13.7109375" customWidth="1" min="10" max="11"/>
    <col width="3.7109375" customWidth="1" min="12" max="12"/>
    <col width="19.140625" bestFit="1" customWidth="1" min="13" max="13"/>
    <col width="13.7109375" customWidth="1" min="14" max="15"/>
  </cols>
  <sheetData>
    <row r="1">
      <c r="A1" s="56" t="inlineStr">
        <is>
          <t>KX-01 - Kaeser</t>
        </is>
      </c>
      <c r="B1" s="118" t="n"/>
      <c r="C1" s="113" t="n"/>
      <c r="E1" s="56" t="inlineStr">
        <is>
          <t>KX-02 - GA15</t>
        </is>
      </c>
      <c r="F1" s="118" t="n"/>
      <c r="G1" s="113" t="n"/>
      <c r="I1" s="56" t="inlineStr">
        <is>
          <t>KX-03 - RS-90</t>
        </is>
      </c>
      <c r="J1" s="118" t="n"/>
      <c r="K1" s="113" t="n"/>
      <c r="M1" s="56" t="inlineStr">
        <is>
          <t>KX-04 - Cecato</t>
        </is>
      </c>
      <c r="N1" s="118" t="n"/>
      <c r="O1" s="113" t="n"/>
    </row>
    <row r="2">
      <c r="A2" s="28" t="n">
        <v>0</v>
      </c>
      <c r="B2" s="118" t="n"/>
      <c r="C2" s="113" t="n"/>
      <c r="E2" s="28" t="n">
        <v>0</v>
      </c>
      <c r="F2" s="118" t="n"/>
      <c r="G2" s="113" t="n"/>
      <c r="I2" s="28" t="n">
        <v>0</v>
      </c>
      <c r="J2" s="118" t="n"/>
      <c r="K2" s="113" t="n"/>
      <c r="M2" s="28" t="n">
        <v>0</v>
      </c>
      <c r="N2" s="118" t="n"/>
      <c r="O2" s="113" t="n"/>
    </row>
    <row r="3" ht="20.4" customHeight="1">
      <c r="A3" s="28" t="inlineStr">
        <is>
          <t>Date</t>
        </is>
      </c>
      <c r="B3" s="27" t="inlineStr">
        <is>
          <t>Hour Meter Reading</t>
        </is>
      </c>
      <c r="C3" s="27" t="inlineStr">
        <is>
          <t>ADM Running Time</t>
        </is>
      </c>
      <c r="E3" s="28" t="inlineStr">
        <is>
          <t>Date</t>
        </is>
      </c>
      <c r="F3" s="27" t="inlineStr">
        <is>
          <t>Hour Meter Reading</t>
        </is>
      </c>
      <c r="G3" s="27" t="inlineStr">
        <is>
          <t>ADM Running Time</t>
        </is>
      </c>
      <c r="I3" s="28" t="inlineStr">
        <is>
          <t>Date</t>
        </is>
      </c>
      <c r="J3" s="27" t="inlineStr">
        <is>
          <t>Hour Meter Reading</t>
        </is>
      </c>
      <c r="K3" s="27" t="inlineStr">
        <is>
          <t>ADM Running Time</t>
        </is>
      </c>
      <c r="M3" s="28" t="inlineStr">
        <is>
          <t>Date</t>
        </is>
      </c>
      <c r="N3" s="27" t="inlineStr">
        <is>
          <t>Hour Meter Reading</t>
        </is>
      </c>
      <c r="O3" s="27" t="inlineStr">
        <is>
          <t>ADM Running Time</t>
        </is>
      </c>
    </row>
    <row r="4">
      <c r="A4" s="61" t="n"/>
      <c r="B4" s="38" t="n"/>
      <c r="C4" s="52" t="n"/>
      <c r="E4" s="61" t="n"/>
      <c r="F4" s="38" t="n"/>
      <c r="G4" s="52" t="n"/>
      <c r="I4" s="61" t="n"/>
      <c r="J4" s="38" t="n"/>
      <c r="K4" s="52" t="n"/>
      <c r="M4" s="61" t="n"/>
      <c r="N4" s="38" t="n"/>
      <c r="O4" s="52" t="n"/>
    </row>
    <row r="5">
      <c r="A5" s="61" t="n"/>
      <c r="B5" s="38" t="n"/>
      <c r="C5" s="38">
        <f>IF(B5&gt;1,SUM(B5-B4),"")</f>
        <v/>
      </c>
      <c r="E5" s="61" t="n"/>
      <c r="F5" s="38" t="n"/>
      <c r="G5" s="38">
        <f>IF(F5&gt;1,SUM(F5-F4),"")</f>
        <v/>
      </c>
      <c r="I5" s="61" t="n"/>
      <c r="J5" s="38" t="n"/>
      <c r="K5" s="38">
        <f>IF(J5&gt;1,SUM(J5-J4),"")</f>
        <v/>
      </c>
      <c r="M5" s="61" t="n"/>
      <c r="N5" s="38" t="n"/>
      <c r="O5" s="38">
        <f>IF(N5&gt;1,SUM(N5-N4),"")</f>
        <v/>
      </c>
    </row>
    <row r="6">
      <c r="A6" s="61" t="n"/>
      <c r="B6" s="38" t="n"/>
      <c r="C6" s="38">
        <f>IF(B6&gt;1,SUM(B6-B5),"")</f>
        <v/>
      </c>
      <c r="E6" s="61" t="n"/>
      <c r="F6" s="38" t="n"/>
      <c r="G6" s="38">
        <f>IF(F6&gt;1,SUM(F6-F5),"")</f>
        <v/>
      </c>
      <c r="I6" s="61" t="n"/>
      <c r="J6" s="38" t="n"/>
      <c r="K6" s="38">
        <f>IF(J6&gt;1,SUM(J6-J5),"")</f>
        <v/>
      </c>
      <c r="M6" s="61" t="n"/>
      <c r="N6" s="38" t="n"/>
      <c r="O6" s="38">
        <f>IF(N6&gt;1,SUM(N6-N5),"")</f>
        <v/>
      </c>
    </row>
    <row r="7">
      <c r="A7" s="61" t="n"/>
      <c r="B7" s="38" t="n"/>
      <c r="C7" s="38">
        <f>IF(B7&gt;1,SUM(B7-B6),"")</f>
        <v/>
      </c>
      <c r="E7" s="61" t="n"/>
      <c r="F7" s="38" t="n"/>
      <c r="G7" s="38">
        <f>IF(F7&gt;1,SUM(F7-F6),"")</f>
        <v/>
      </c>
      <c r="I7" s="61" t="n"/>
      <c r="J7" s="38" t="n"/>
      <c r="K7" s="38">
        <f>IF(J7&gt;1,SUM(J7-J6),"")</f>
        <v/>
      </c>
      <c r="M7" s="61" t="n"/>
      <c r="N7" s="38" t="n"/>
      <c r="O7" s="38">
        <f>IF(N7&gt;1,SUM(N7-N6),"")</f>
        <v/>
      </c>
    </row>
    <row r="8">
      <c r="A8" s="61" t="n"/>
      <c r="B8" s="38" t="n"/>
      <c r="C8" s="38">
        <f>IF(B8&gt;1,SUM(B8-B7),"")</f>
        <v/>
      </c>
      <c r="E8" s="61" t="n"/>
      <c r="F8" s="38" t="n"/>
      <c r="G8" s="38">
        <f>IF(F8&gt;1,SUM(F8-F7),"")</f>
        <v/>
      </c>
      <c r="I8" s="61" t="n"/>
      <c r="J8" s="38" t="n"/>
      <c r="K8" s="38">
        <f>IF(J8&gt;1,SUM(J8-J7),"")</f>
        <v/>
      </c>
      <c r="M8" s="61" t="n"/>
      <c r="N8" s="38" t="n"/>
      <c r="O8" s="38">
        <f>IF(N8&gt;1,SUM(N8-N7),"")</f>
        <v/>
      </c>
    </row>
    <row r="9">
      <c r="A9" s="61" t="n"/>
      <c r="B9" s="38" t="n"/>
      <c r="C9" s="38">
        <f>IF(B9&gt;1,SUM(B9-B8),"")</f>
        <v/>
      </c>
      <c r="E9" s="61" t="n"/>
      <c r="F9" s="38" t="n"/>
      <c r="G9" s="38">
        <f>IF(F9&gt;1,SUM(F9-F8),"")</f>
        <v/>
      </c>
      <c r="I9" s="61" t="n"/>
      <c r="J9" s="38" t="n"/>
      <c r="K9" s="38">
        <f>IF(J9&gt;1,SUM(J9-J8),"")</f>
        <v/>
      </c>
      <c r="M9" s="61" t="n"/>
      <c r="N9" s="38" t="n"/>
      <c r="O9" s="38">
        <f>IF(N9&gt;1,SUM(N9-N8),"")</f>
        <v/>
      </c>
    </row>
    <row r="10">
      <c r="A10" s="61" t="n"/>
      <c r="B10" s="38" t="n"/>
      <c r="C10" s="38">
        <f>IF(B10&gt;1,SUM(B10-B9),"")</f>
        <v/>
      </c>
      <c r="E10" s="61" t="n"/>
      <c r="F10" s="38" t="n"/>
      <c r="G10" s="38">
        <f>IF(F10&gt;1,SUM(F10-F9),"")</f>
        <v/>
      </c>
      <c r="I10" s="61" t="n"/>
      <c r="J10" s="38" t="n"/>
      <c r="K10" s="38">
        <f>IF(J10&gt;1,SUM(J10-J9),"")</f>
        <v/>
      </c>
      <c r="M10" s="61" t="n"/>
      <c r="N10" s="38" t="n"/>
      <c r="O10" s="38">
        <f>IF(N10&gt;1,SUM(N10-N9),"")</f>
        <v/>
      </c>
    </row>
    <row r="11">
      <c r="A11" s="61" t="n"/>
      <c r="B11" s="38" t="n"/>
      <c r="C11" s="38">
        <f>IF(B11&gt;1,SUM(B11-B10),"")</f>
        <v/>
      </c>
      <c r="E11" s="61" t="n"/>
      <c r="F11" s="38" t="n"/>
      <c r="G11" s="38">
        <f>IF(F11&gt;1,SUM(F11-F10),"")</f>
        <v/>
      </c>
      <c r="I11" s="61" t="n"/>
      <c r="J11" s="38" t="n"/>
      <c r="K11" s="38">
        <f>IF(J11&gt;1,SUM(J11-J10),"")</f>
        <v/>
      </c>
      <c r="M11" s="61" t="n"/>
      <c r="N11" s="38" t="n"/>
      <c r="O11" s="38">
        <f>IF(N11&gt;1,SUM(N11-N10),"")</f>
        <v/>
      </c>
    </row>
    <row r="12">
      <c r="A12" s="61" t="n"/>
      <c r="B12" s="38" t="n"/>
      <c r="C12" s="38">
        <f>IF(B12&gt;1,SUM(B12-B11),"")</f>
        <v/>
      </c>
      <c r="E12" s="61" t="n"/>
      <c r="F12" s="38" t="n"/>
      <c r="G12" s="38">
        <f>IF(F12&gt;1,SUM(F12-F11),"")</f>
        <v/>
      </c>
      <c r="I12" s="61" t="n"/>
      <c r="J12" s="38" t="n"/>
      <c r="K12" s="38">
        <f>IF(J12&gt;1,SUM(J12-J11),"")</f>
        <v/>
      </c>
      <c r="M12" s="61" t="n"/>
      <c r="N12" s="38" t="n"/>
      <c r="O12" s="38">
        <f>IF(N12&gt;1,SUM(N12-N11),"")</f>
        <v/>
      </c>
    </row>
    <row r="13">
      <c r="A13" s="61" t="n"/>
      <c r="B13" s="38" t="n"/>
      <c r="C13" s="38">
        <f>IF(B13&gt;1,SUM(B13-B12),"")</f>
        <v/>
      </c>
      <c r="E13" s="61" t="n"/>
      <c r="F13" s="38" t="n"/>
      <c r="G13" s="38">
        <f>IF(F13&gt;1,SUM(F13-F12),"")</f>
        <v/>
      </c>
      <c r="I13" s="61" t="n"/>
      <c r="J13" s="38" t="n"/>
      <c r="K13" s="38">
        <f>IF(J13&gt;1,SUM(J13-J12),"")</f>
        <v/>
      </c>
      <c r="M13" s="61" t="n"/>
      <c r="N13" s="38" t="n"/>
      <c r="O13" s="38">
        <f>IF(N13&gt;1,SUM(N13-N12),"")</f>
        <v/>
      </c>
    </row>
    <row r="14">
      <c r="A14" s="61" t="n"/>
      <c r="B14" s="38" t="n"/>
      <c r="C14" s="38">
        <f>IF(B14&gt;1,SUM(B14-B13),"")</f>
        <v/>
      </c>
      <c r="E14" s="61" t="n"/>
      <c r="F14" s="38" t="n"/>
      <c r="G14" s="38">
        <f>IF(F14&gt;1,SUM(F14-F13),"")</f>
        <v/>
      </c>
      <c r="I14" s="61" t="n"/>
      <c r="J14" s="38" t="n"/>
      <c r="K14" s="38">
        <f>IF(J14&gt;1,SUM(J14-J13),"")</f>
        <v/>
      </c>
      <c r="M14" s="61" t="n"/>
      <c r="N14" s="38" t="n"/>
      <c r="O14" s="38">
        <f>IF(N14&gt;1,SUM(N14-N13),"")</f>
        <v/>
      </c>
    </row>
    <row r="15">
      <c r="A15" s="61" t="n"/>
      <c r="B15" s="38" t="n"/>
      <c r="C15" s="38">
        <f>IF(B15&gt;1,SUM(B15-B14),"")</f>
        <v/>
      </c>
      <c r="E15" s="61" t="n"/>
      <c r="F15" s="38" t="n"/>
      <c r="G15" s="38">
        <f>IF(F15&gt;1,SUM(F15-F14),"")</f>
        <v/>
      </c>
      <c r="I15" s="61" t="n"/>
      <c r="J15" s="38" t="n"/>
      <c r="K15" s="38">
        <f>IF(J15&gt;1,SUM(J15-J14),"")</f>
        <v/>
      </c>
      <c r="M15" s="61" t="n"/>
      <c r="N15" s="38" t="n"/>
      <c r="O15" s="38">
        <f>IF(N15&gt;1,SUM(N15-N14),"")</f>
        <v/>
      </c>
    </row>
    <row r="16">
      <c r="A16" s="61" t="n"/>
      <c r="B16" s="38" t="n"/>
      <c r="C16" s="38">
        <f>IF(B16&gt;1,SUM(B16-B15),"")</f>
        <v/>
      </c>
      <c r="E16" s="61" t="n"/>
      <c r="F16" s="38" t="n"/>
      <c r="G16" s="38">
        <f>IF(F16&gt;1,SUM(F16-F15),"")</f>
        <v/>
      </c>
      <c r="I16" s="61" t="n"/>
      <c r="J16" s="38" t="n"/>
      <c r="K16" s="38">
        <f>IF(J16&gt;1,SUM(J16-J15),"")</f>
        <v/>
      </c>
      <c r="M16" s="61" t="n"/>
      <c r="N16" s="38" t="n"/>
      <c r="O16" s="38">
        <f>IF(N16&gt;1,SUM(N16-N15),"")</f>
        <v/>
      </c>
    </row>
    <row r="17">
      <c r="A17" s="61" t="n"/>
      <c r="B17" s="38" t="n"/>
      <c r="C17" s="38">
        <f>IF(B17&gt;1,SUM(B17-B16),"")</f>
        <v/>
      </c>
      <c r="E17" s="61" t="n"/>
      <c r="F17" s="38" t="n"/>
      <c r="G17" s="38">
        <f>IF(F17&gt;1,SUM(F17-F16),"")</f>
        <v/>
      </c>
      <c r="I17" s="61" t="n"/>
      <c r="J17" s="38" t="n"/>
      <c r="K17" s="38">
        <f>IF(J17&gt;1,SUM(J17-J16),"")</f>
        <v/>
      </c>
      <c r="M17" s="61" t="n"/>
      <c r="N17" s="38" t="n"/>
      <c r="O17" s="38">
        <f>IF(N17&gt;1,SUM(N17-N16),"")</f>
        <v/>
      </c>
    </row>
    <row r="18">
      <c r="A18" s="61" t="n"/>
      <c r="B18" s="38" t="n"/>
      <c r="C18" s="38">
        <f>IF(B18&gt;1,SUM(B18-B17),"")</f>
        <v/>
      </c>
      <c r="E18" s="61" t="n"/>
      <c r="F18" s="38" t="n"/>
      <c r="G18" s="38">
        <f>IF(F18&gt;1,SUM(F18-F17),"")</f>
        <v/>
      </c>
      <c r="I18" s="61" t="n"/>
      <c r="J18" s="38" t="n"/>
      <c r="K18" s="38">
        <f>IF(J18&gt;1,SUM(J18-J17),"")</f>
        <v/>
      </c>
      <c r="M18" s="61" t="n"/>
      <c r="N18" s="38" t="n"/>
      <c r="O18" s="38">
        <f>IF(N18&gt;1,SUM(N18-N17),"")</f>
        <v/>
      </c>
    </row>
    <row r="19">
      <c r="A19" s="61" t="n"/>
      <c r="B19" s="38" t="n"/>
      <c r="C19" s="38">
        <f>IF(B19&gt;1,SUM(B19-B18),"")</f>
        <v/>
      </c>
      <c r="E19" s="61" t="n"/>
      <c r="F19" s="38" t="n"/>
      <c r="G19" s="38">
        <f>IF(F19&gt;1,SUM(F19-F18),"")</f>
        <v/>
      </c>
      <c r="I19" s="61" t="n"/>
      <c r="J19" s="38" t="n"/>
      <c r="K19" s="38">
        <f>IF(J19&gt;1,SUM(J19-J18),"")</f>
        <v/>
      </c>
      <c r="M19" s="61" t="n"/>
      <c r="N19" s="38" t="n"/>
      <c r="O19" s="38">
        <f>IF(N19&gt;1,SUM(N19-N18),"")</f>
        <v/>
      </c>
    </row>
    <row r="20">
      <c r="A20" s="61" t="n"/>
      <c r="B20" s="38" t="n"/>
      <c r="C20" s="38">
        <f>IF(B20&gt;1,SUM(B20-B19),"")</f>
        <v/>
      </c>
      <c r="E20" s="61" t="n"/>
      <c r="F20" s="38" t="n"/>
      <c r="G20" s="38">
        <f>IF(F20&gt;1,SUM(F20-F19),"")</f>
        <v/>
      </c>
      <c r="I20" s="61" t="n"/>
      <c r="J20" s="38" t="n"/>
      <c r="K20" s="38">
        <f>IF(J20&gt;1,SUM(J20-J19),"")</f>
        <v/>
      </c>
      <c r="M20" s="61" t="n"/>
      <c r="N20" s="38" t="n"/>
      <c r="O20" s="38">
        <f>IF(N20&gt;1,SUM(N20-N19),"")</f>
        <v/>
      </c>
    </row>
    <row r="21">
      <c r="A21" s="61" t="n"/>
      <c r="B21" s="38" t="n"/>
      <c r="C21" s="38">
        <f>IF(B21&gt;1,SUM(B21-B20),"")</f>
        <v/>
      </c>
      <c r="E21" s="61" t="n"/>
      <c r="F21" s="38" t="n"/>
      <c r="G21" s="38">
        <f>IF(F21&gt;1,SUM(F21-F20),"")</f>
        <v/>
      </c>
      <c r="I21" s="61" t="n"/>
      <c r="J21" s="38" t="n"/>
      <c r="K21" s="38">
        <f>IF(J21&gt;1,SUM(J21-J20),"")</f>
        <v/>
      </c>
      <c r="M21" s="61" t="n"/>
      <c r="N21" s="38" t="n"/>
      <c r="O21" s="38">
        <f>IF(N21&gt;1,SUM(N21-N20),"")</f>
        <v/>
      </c>
    </row>
    <row r="22">
      <c r="A22" s="61" t="n"/>
      <c r="B22" s="38" t="n"/>
      <c r="C22" s="38">
        <f>IF(B22&gt;1,SUM(B22-B21),"")</f>
        <v/>
      </c>
      <c r="E22" s="61" t="n"/>
      <c r="F22" s="38" t="n"/>
      <c r="G22" s="38">
        <f>IF(F22&gt;1,SUM(F22-F21),"")</f>
        <v/>
      </c>
      <c r="I22" s="61" t="n"/>
      <c r="J22" s="38" t="n"/>
      <c r="K22" s="38">
        <f>IF(J22&gt;1,SUM(J22-J21),"")</f>
        <v/>
      </c>
      <c r="M22" s="61" t="n"/>
      <c r="N22" s="38" t="n"/>
      <c r="O22" s="38">
        <f>IF(N22&gt;1,SUM(N22-N21),"")</f>
        <v/>
      </c>
    </row>
    <row r="23">
      <c r="A23" s="61" t="n"/>
      <c r="B23" s="38" t="n"/>
      <c r="C23" s="38">
        <f>IF(B23&gt;1,SUM(B23-B22),"")</f>
        <v/>
      </c>
      <c r="E23" s="61" t="n"/>
      <c r="F23" s="38" t="n"/>
      <c r="G23" s="38">
        <f>IF(F23&gt;1,SUM(F23-F22),"")</f>
        <v/>
      </c>
      <c r="I23" s="61" t="n"/>
      <c r="J23" s="38" t="n"/>
      <c r="K23" s="38">
        <f>IF(J23&gt;1,SUM(J23-J22),"")</f>
        <v/>
      </c>
      <c r="M23" s="61" t="n"/>
      <c r="N23" s="38" t="n"/>
      <c r="O23" s="38">
        <f>IF(N23&gt;1,SUM(N23-N22),"")</f>
        <v/>
      </c>
    </row>
    <row r="24">
      <c r="A24" s="61" t="n"/>
      <c r="B24" s="38" t="n"/>
      <c r="C24" s="38">
        <f>IF(B24&gt;1,SUM(B24-B23),"")</f>
        <v/>
      </c>
      <c r="E24" s="61" t="n"/>
      <c r="F24" s="38" t="n"/>
      <c r="G24" s="38">
        <f>IF(F24&gt;1,SUM(F24-F23),"")</f>
        <v/>
      </c>
      <c r="I24" s="61" t="n"/>
      <c r="J24" s="38" t="n"/>
      <c r="K24" s="38">
        <f>IF(J24&gt;1,SUM(J24-J23),"")</f>
        <v/>
      </c>
      <c r="M24" s="61" t="n"/>
      <c r="N24" s="38" t="n"/>
      <c r="O24" s="38">
        <f>IF(N24&gt;1,SUM(N24-N23),"")</f>
        <v/>
      </c>
    </row>
    <row r="25">
      <c r="A25" s="61" t="n"/>
      <c r="B25" s="38" t="n"/>
      <c r="C25" s="38">
        <f>IF(B25&gt;1,SUM(B25-B24),"")</f>
        <v/>
      </c>
      <c r="E25" s="61" t="n"/>
      <c r="F25" s="38" t="n"/>
      <c r="G25" s="38">
        <f>IF(F25&gt;1,SUM(F25-F24),"")</f>
        <v/>
      </c>
      <c r="I25" s="61" t="n"/>
      <c r="J25" s="38" t="n"/>
      <c r="K25" s="38">
        <f>IF(J25&gt;1,SUM(J25-J24),"")</f>
        <v/>
      </c>
      <c r="M25" s="61" t="n"/>
      <c r="N25" s="38" t="n"/>
      <c r="O25" s="38">
        <f>IF(N25&gt;1,SUM(N25-N24),"")</f>
        <v/>
      </c>
    </row>
    <row r="26">
      <c r="A26" s="61" t="n"/>
      <c r="B26" s="38" t="n"/>
      <c r="C26" s="38">
        <f>IF(B26&gt;1,SUM(B26-B25),"")</f>
        <v/>
      </c>
      <c r="E26" s="61" t="n"/>
      <c r="F26" s="38" t="n"/>
      <c r="G26" s="38">
        <f>IF(F26&gt;1,SUM(F26-F25),"")</f>
        <v/>
      </c>
      <c r="I26" s="61" t="n"/>
      <c r="J26" s="38" t="n"/>
      <c r="K26" s="38">
        <f>IF(J26&gt;1,SUM(J26-J25),"")</f>
        <v/>
      </c>
      <c r="M26" s="61" t="n"/>
      <c r="N26" s="38" t="n"/>
      <c r="O26" s="38">
        <f>IF(N26&gt;1,SUM(N26-N25),"")</f>
        <v/>
      </c>
    </row>
    <row r="27">
      <c r="A27" s="61" t="n"/>
      <c r="B27" s="38" t="n"/>
      <c r="C27" s="38">
        <f>IF(B27&gt;1,SUM(B27-B26),"")</f>
        <v/>
      </c>
      <c r="E27" s="61" t="n"/>
      <c r="F27" s="38" t="n"/>
      <c r="G27" s="38">
        <f>IF(F27&gt;1,SUM(F27-F26),"")</f>
        <v/>
      </c>
      <c r="I27" s="61" t="n"/>
      <c r="J27" s="38" t="n"/>
      <c r="K27" s="38">
        <f>IF(J27&gt;1,SUM(J27-J26),"")</f>
        <v/>
      </c>
      <c r="M27" s="61" t="n"/>
      <c r="N27" s="38" t="n"/>
      <c r="O27" s="38">
        <f>IF(N27&gt;1,SUM(N27-N26),"")</f>
        <v/>
      </c>
    </row>
    <row r="28">
      <c r="A28" s="61" t="n"/>
      <c r="B28" s="38" t="n"/>
      <c r="C28" s="38">
        <f>IF(B28&gt;1,SUM(B28-B27),"")</f>
        <v/>
      </c>
      <c r="E28" s="61" t="n"/>
      <c r="F28" s="38" t="n"/>
      <c r="G28" s="38">
        <f>IF(F28&gt;1,SUM(F28-F27),"")</f>
        <v/>
      </c>
      <c r="I28" s="61" t="n"/>
      <c r="J28" s="38" t="n"/>
      <c r="K28" s="38">
        <f>IF(J28&gt;1,SUM(J28-J27),"")</f>
        <v/>
      </c>
      <c r="M28" s="61" t="n"/>
      <c r="N28" s="38" t="n"/>
      <c r="O28" s="38">
        <f>IF(N28&gt;1,SUM(N28-N27),"")</f>
        <v/>
      </c>
    </row>
    <row r="29">
      <c r="A29" s="61" t="n"/>
      <c r="B29" s="38" t="n"/>
      <c r="C29" s="38">
        <f>IF(B29&gt;1,SUM(B29-B28),"")</f>
        <v/>
      </c>
      <c r="E29" s="61" t="n"/>
      <c r="F29" s="38" t="n"/>
      <c r="G29" s="38">
        <f>IF(F29&gt;1,SUM(F29-F28),"")</f>
        <v/>
      </c>
      <c r="I29" s="61" t="n"/>
      <c r="J29" s="38" t="n"/>
      <c r="K29" s="38">
        <f>IF(J29&gt;1,SUM(J29-J28),"")</f>
        <v/>
      </c>
      <c r="M29" s="61" t="n"/>
      <c r="N29" s="38" t="n"/>
      <c r="O29" s="38">
        <f>IF(N29&gt;1,SUM(N29-N28),"")</f>
        <v/>
      </c>
    </row>
    <row r="30">
      <c r="A30" s="61" t="n"/>
      <c r="B30" s="38" t="n"/>
      <c r="C30" s="38">
        <f>IF(B30&gt;1,SUM(B30-B29),"")</f>
        <v/>
      </c>
      <c r="E30" s="61" t="n"/>
      <c r="F30" s="38" t="n"/>
      <c r="G30" s="38">
        <f>IF(F30&gt;1,SUM(F30-F29),"")</f>
        <v/>
      </c>
      <c r="I30" s="61" t="n"/>
      <c r="J30" s="38" t="n"/>
      <c r="K30" s="38">
        <f>IF(J30&gt;1,SUM(J30-J29),"")</f>
        <v/>
      </c>
      <c r="M30" s="61" t="n"/>
      <c r="N30" s="38" t="n"/>
      <c r="O30" s="38">
        <f>IF(N30&gt;1,SUM(N30-N29),"")</f>
        <v/>
      </c>
    </row>
    <row r="31">
      <c r="A31" s="61" t="n"/>
      <c r="B31" s="38" t="n"/>
      <c r="C31" s="38">
        <f>IF(B31&gt;1,SUM(B31-B30),"")</f>
        <v/>
      </c>
      <c r="E31" s="61" t="n"/>
      <c r="F31" s="38" t="n"/>
      <c r="G31" s="38">
        <f>IF(F31&gt;1,SUM(F31-F30),"")</f>
        <v/>
      </c>
      <c r="I31" s="61" t="n"/>
      <c r="J31" s="38" t="n"/>
      <c r="K31" s="38">
        <f>IF(J31&gt;1,SUM(J31-J30),"")</f>
        <v/>
      </c>
      <c r="M31" s="61" t="n"/>
      <c r="N31" s="38" t="n"/>
      <c r="O31" s="38">
        <f>IF(N31&gt;1,SUM(N31-N30),"")</f>
        <v/>
      </c>
    </row>
    <row r="32">
      <c r="A32" s="61" t="n"/>
      <c r="B32" s="38" t="n"/>
      <c r="C32" s="38">
        <f>IF(B32&gt;1,SUM(B32-B31),"")</f>
        <v/>
      </c>
      <c r="E32" s="61" t="n"/>
      <c r="F32" s="38" t="n"/>
      <c r="G32" s="38">
        <f>IF(F32&gt;1,SUM(F32-F31),"")</f>
        <v/>
      </c>
      <c r="I32" s="61" t="n"/>
      <c r="J32" s="38" t="n"/>
      <c r="K32" s="38">
        <f>IF(J32&gt;1,SUM(J32-J31),"")</f>
        <v/>
      </c>
      <c r="M32" s="61" t="n"/>
      <c r="N32" s="38" t="n"/>
      <c r="O32" s="38">
        <f>IF(N32&gt;1,SUM(N32-N31),"")</f>
        <v/>
      </c>
    </row>
    <row r="33">
      <c r="A33" s="61" t="n"/>
      <c r="B33" s="38" t="n"/>
      <c r="C33" s="38">
        <f>IF(B33&gt;1,SUM(B33-B32),"")</f>
        <v/>
      </c>
      <c r="E33" s="61" t="n"/>
      <c r="F33" s="38" t="n"/>
      <c r="G33" s="38">
        <f>IF(F33&gt;1,SUM(F33-F32),"")</f>
        <v/>
      </c>
      <c r="I33" s="61" t="n"/>
      <c r="J33" s="38" t="n"/>
      <c r="K33" s="38">
        <f>IF(J33&gt;1,SUM(J33-J32),"")</f>
        <v/>
      </c>
      <c r="M33" s="61" t="n"/>
      <c r="N33" s="38" t="n"/>
      <c r="O33" s="38">
        <f>IF(N33&gt;1,SUM(N33-N32),"")</f>
        <v/>
      </c>
    </row>
    <row r="34">
      <c r="A34" s="61" t="n"/>
      <c r="B34" s="38" t="n"/>
      <c r="C34" s="38">
        <f>IF(B34&gt;1,SUM(B34-B33),"")</f>
        <v/>
      </c>
      <c r="E34" s="61" t="n"/>
      <c r="F34" s="38" t="n"/>
      <c r="G34" s="38">
        <f>IF(F34&gt;1,SUM(F34-F33),"")</f>
        <v/>
      </c>
      <c r="I34" s="61" t="n"/>
      <c r="J34" s="38" t="n"/>
      <c r="K34" s="38">
        <f>IF(J34&gt;1,SUM(J34-J33),"")</f>
        <v/>
      </c>
      <c r="M34" s="61" t="n"/>
      <c r="N34" s="38" t="n"/>
      <c r="O34" s="38">
        <f>IF(N34&gt;1,SUM(N34-N33),"")</f>
        <v/>
      </c>
    </row>
    <row r="35">
      <c r="A35" s="61" t="n"/>
      <c r="B35" s="38" t="n"/>
      <c r="C35" s="38">
        <f>IF(B35&gt;1,SUM(B35-B34),"")</f>
        <v/>
      </c>
      <c r="E35" s="61" t="n"/>
      <c r="F35" s="38" t="n"/>
      <c r="G35" s="38">
        <f>IF(F35&gt;1,SUM(F35-F34),"")</f>
        <v/>
      </c>
      <c r="I35" s="61" t="n"/>
      <c r="J35" s="38" t="n"/>
      <c r="K35" s="38">
        <f>IF(J35&gt;1,SUM(J35-J34),"")</f>
        <v/>
      </c>
      <c r="M35" s="61" t="n"/>
      <c r="N35" s="38" t="n"/>
      <c r="O35" s="38">
        <f>IF(N35&gt;1,SUM(N35-N34),"")</f>
        <v/>
      </c>
    </row>
    <row r="36">
      <c r="A36" s="38" t="n"/>
      <c r="B36" s="38" t="n"/>
      <c r="C36" s="38" t="n"/>
      <c r="E36" s="38" t="n"/>
      <c r="F36" s="38" t="n"/>
      <c r="G36" s="38" t="n"/>
      <c r="I36" s="38" t="n"/>
      <c r="J36" s="38" t="n"/>
      <c r="K36" s="38" t="n"/>
      <c r="M36" s="38" t="n"/>
      <c r="N36" s="38" t="n"/>
      <c r="O36" s="38" t="n"/>
    </row>
    <row r="37">
      <c r="A37" s="38" t="n"/>
      <c r="B37" s="38" t="n"/>
      <c r="C37" s="38" t="n"/>
      <c r="E37" s="38" t="n"/>
      <c r="F37" s="38" t="n"/>
      <c r="G37" s="38" t="n"/>
      <c r="I37" s="38" t="n"/>
      <c r="J37" s="38" t="n"/>
      <c r="K37" s="38" t="n"/>
      <c r="M37" s="38" t="n"/>
      <c r="N37" s="38" t="n"/>
      <c r="O37" s="38" t="n"/>
    </row>
    <row r="38">
      <c r="A38" s="38" t="n"/>
      <c r="B38" s="38" t="n"/>
      <c r="C38" s="38" t="n"/>
      <c r="E38" s="38" t="n"/>
      <c r="F38" s="38" t="n"/>
      <c r="G38" s="38" t="n"/>
      <c r="I38" s="38" t="n"/>
      <c r="J38" s="38" t="n"/>
      <c r="K38" s="38" t="n"/>
      <c r="M38" s="38" t="n"/>
      <c r="N38" s="38" t="n"/>
      <c r="O38" s="38" t="n"/>
    </row>
    <row r="39">
      <c r="A39" s="69" t="inlineStr">
        <is>
          <t>MTD Total</t>
        </is>
      </c>
      <c r="B39" s="26" t="n"/>
      <c r="C39" s="38">
        <f>SUM(C5:C35)</f>
        <v/>
      </c>
      <c r="E39" s="69" t="inlineStr">
        <is>
          <t>MTD Total</t>
        </is>
      </c>
      <c r="F39" s="26" t="n"/>
      <c r="G39" s="38">
        <f>SUM(G5:G35)</f>
        <v/>
      </c>
      <c r="I39" s="69" t="inlineStr">
        <is>
          <t>MTD Total</t>
        </is>
      </c>
      <c r="J39" s="26" t="n"/>
      <c r="K39" s="38">
        <f>SUM(K5:K35)</f>
        <v/>
      </c>
      <c r="M39" s="69" t="inlineStr">
        <is>
          <t>MTD Total</t>
        </is>
      </c>
      <c r="N39" s="26" t="n"/>
      <c r="O39" s="38">
        <f>SUM(O5:O35)</f>
        <v/>
      </c>
    </row>
    <row r="40">
      <c r="A40" s="69" t="inlineStr">
        <is>
          <t>MTD Daily Average</t>
        </is>
      </c>
      <c r="B40" s="26" t="n"/>
      <c r="C40" s="72">
        <f>IFERROR(AVERAGE(C5:C35),"")</f>
        <v/>
      </c>
      <c r="E40" s="69" t="inlineStr">
        <is>
          <t>MTD Daily Average</t>
        </is>
      </c>
      <c r="F40" s="26" t="n"/>
      <c r="G40" s="72">
        <f>IFERROR(AVERAGE(G5:G35),"")</f>
        <v/>
      </c>
      <c r="I40" s="69" t="inlineStr">
        <is>
          <t>MTD Daily Average</t>
        </is>
      </c>
      <c r="J40" s="26" t="n"/>
      <c r="K40" s="72">
        <f>IFERROR(AVERAGE(K5:K35),"")</f>
        <v/>
      </c>
      <c r="M40" s="69" t="inlineStr">
        <is>
          <t>MTD Daily Average</t>
        </is>
      </c>
      <c r="N40" s="26" t="n"/>
      <c r="O40" s="72">
        <f>IFERROR(AVERAGE(O5:O35),"")</f>
        <v/>
      </c>
    </row>
  </sheetData>
  <mergeCells count="8">
    <mergeCell ref="E2:G2"/>
    <mergeCell ref="I2:K2"/>
    <mergeCell ref="A1:C1"/>
    <mergeCell ref="I1:K1"/>
    <mergeCell ref="M1:O1"/>
    <mergeCell ref="M2:O2"/>
    <mergeCell ref="A2:C2"/>
    <mergeCell ref="E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2" sqref="A2:C2"/>
    </sheetView>
  </sheetViews>
  <sheetFormatPr baseColWidth="8" defaultRowHeight="12"/>
  <cols>
    <col width="11.7109375" customWidth="1" min="1" max="5"/>
    <col width="3.7109375" customWidth="1" min="6" max="6"/>
    <col width="11.7109375" customWidth="1" min="7" max="11"/>
  </cols>
  <sheetData>
    <row r="1" ht="14.4" customHeight="1">
      <c r="A1" s="56" t="inlineStr">
        <is>
          <t>Fire Pump 1</t>
        </is>
      </c>
      <c r="B1" s="118" t="n"/>
      <c r="C1" s="113" t="n"/>
      <c r="D1" s="56" t="n"/>
      <c r="E1" s="27" t="inlineStr">
        <is>
          <t>Usage - Liters per Hour</t>
        </is>
      </c>
      <c r="F1" s="45" t="n"/>
      <c r="G1" s="56" t="inlineStr">
        <is>
          <t>Fire Pump 2</t>
        </is>
      </c>
      <c r="H1" s="118" t="n"/>
      <c r="I1" s="113" t="n"/>
      <c r="J1" s="56" t="n"/>
      <c r="K1" s="27" t="inlineStr">
        <is>
          <t>Usage - Liters per Hour</t>
        </is>
      </c>
    </row>
    <row r="2" ht="14.4" customHeight="1">
      <c r="A2" s="28" t="n">
        <v>0</v>
      </c>
      <c r="B2" s="118" t="n"/>
      <c r="C2" s="113" t="n"/>
      <c r="D2" s="27" t="inlineStr">
        <is>
          <t>Total Diesel Issue</t>
        </is>
      </c>
      <c r="E2" s="116" t="n"/>
      <c r="F2" s="45" t="n"/>
      <c r="G2" s="28" t="n">
        <v>0</v>
      </c>
      <c r="H2" s="118" t="n"/>
      <c r="I2" s="113" t="n"/>
      <c r="J2" s="27" t="inlineStr">
        <is>
          <t>Total Diesel Issue</t>
        </is>
      </c>
      <c r="K2" s="116" t="n"/>
    </row>
    <row r="3" ht="30.6" customHeight="1">
      <c r="A3" s="28" t="inlineStr">
        <is>
          <t>Date</t>
        </is>
      </c>
      <c r="B3" s="27" t="inlineStr">
        <is>
          <t>Hour Meter Reading</t>
        </is>
      </c>
      <c r="C3" s="27" t="inlineStr">
        <is>
          <t>ADM Running Time</t>
        </is>
      </c>
      <c r="D3" s="117" t="n"/>
      <c r="E3" s="117" t="n"/>
      <c r="F3" s="45" t="n"/>
      <c r="G3" s="28" t="inlineStr">
        <is>
          <t>Date</t>
        </is>
      </c>
      <c r="H3" s="27" t="inlineStr">
        <is>
          <t>Hour Meter Reading</t>
        </is>
      </c>
      <c r="I3" s="27" t="inlineStr">
        <is>
          <t>ADM Running Time</t>
        </is>
      </c>
      <c r="J3" s="117" t="n"/>
      <c r="K3" s="117" t="n"/>
    </row>
    <row r="4" ht="14.4" customHeight="1">
      <c r="A4" s="61" t="n"/>
      <c r="B4" s="38" t="n"/>
      <c r="C4" s="52" t="n"/>
      <c r="D4" s="52" t="n"/>
      <c r="E4" s="76" t="n"/>
      <c r="F4" s="45" t="n"/>
      <c r="G4" s="61" t="n"/>
      <c r="H4" s="38" t="n"/>
      <c r="I4" s="52" t="n"/>
      <c r="J4" s="52" t="n"/>
      <c r="K4" s="76" t="n"/>
    </row>
    <row r="5" ht="14.4" customHeight="1">
      <c r="A5" s="61" t="n"/>
      <c r="B5" s="38" t="n"/>
      <c r="C5" s="38">
        <f>IF(B5&gt;1,SUM(B5-B4),"")</f>
        <v/>
      </c>
      <c r="D5" s="38" t="n"/>
      <c r="E5" s="28" t="n"/>
      <c r="F5" s="45" t="n"/>
      <c r="G5" s="61" t="n"/>
      <c r="H5" s="38" t="n"/>
      <c r="I5" s="38">
        <f>IF(H5&gt;1,SUM(H5-H4),"")</f>
        <v/>
      </c>
      <c r="J5" s="38" t="n"/>
      <c r="K5" s="28" t="n"/>
    </row>
    <row r="6" ht="14.4" customHeight="1">
      <c r="A6" s="61" t="n"/>
      <c r="B6" s="38" t="n"/>
      <c r="C6" s="38">
        <f>IF(B6&gt;1,SUM(B6-B5),"")</f>
        <v/>
      </c>
      <c r="D6" s="38" t="n"/>
      <c r="E6" s="66" t="n"/>
      <c r="F6" s="45" t="n"/>
      <c r="G6" s="61" t="n"/>
      <c r="H6" s="38" t="n"/>
      <c r="I6" s="38">
        <f>IF(H6&gt;1,SUM(H6-H5),"")</f>
        <v/>
      </c>
      <c r="J6" s="38" t="n"/>
      <c r="K6" s="66" t="n"/>
    </row>
    <row r="7" ht="14.4" customHeight="1">
      <c r="A7" s="61" t="n"/>
      <c r="B7" s="38" t="n"/>
      <c r="C7" s="38">
        <f>IF(B7&gt;1,SUM(B7-B6),"")</f>
        <v/>
      </c>
      <c r="D7" s="38" t="n"/>
      <c r="E7" s="28" t="n"/>
      <c r="F7" s="45" t="n"/>
      <c r="G7" s="61" t="n"/>
      <c r="H7" s="38" t="n"/>
      <c r="I7" s="38">
        <f>IF(H7&gt;1,SUM(H7-H6),"")</f>
        <v/>
      </c>
      <c r="J7" s="38" t="n"/>
      <c r="K7" s="28" t="n"/>
    </row>
    <row r="8" ht="14.4" customHeight="1">
      <c r="A8" s="61" t="n"/>
      <c r="B8" s="38" t="n"/>
      <c r="C8" s="38">
        <f>IF(B8&gt;1,SUM(B8-B7),"")</f>
        <v/>
      </c>
      <c r="D8" s="38" t="n"/>
      <c r="E8" s="28" t="n"/>
      <c r="F8" s="45" t="n"/>
      <c r="G8" s="61" t="n"/>
      <c r="H8" s="38" t="n"/>
      <c r="I8" s="38">
        <f>IF(H8&gt;1,SUM(H8-H7),"")</f>
        <v/>
      </c>
      <c r="J8" s="38" t="n"/>
      <c r="K8" s="28" t="n"/>
    </row>
    <row r="9" ht="14.4" customHeight="1">
      <c r="A9" s="61" t="n"/>
      <c r="B9" s="38" t="n"/>
      <c r="C9" s="38">
        <f>IF(B9&gt;1,SUM(B9-B8),"")</f>
        <v/>
      </c>
      <c r="D9" s="38" t="n"/>
      <c r="E9" s="28" t="n"/>
      <c r="F9" s="45" t="n"/>
      <c r="G9" s="61" t="n"/>
      <c r="H9" s="38" t="n"/>
      <c r="I9" s="38">
        <f>IF(H9&gt;1,SUM(H9-H8),"")</f>
        <v/>
      </c>
      <c r="J9" s="38" t="n"/>
      <c r="K9" s="28" t="n"/>
    </row>
    <row r="10" ht="14.4" customHeight="1">
      <c r="A10" s="61" t="n"/>
      <c r="B10" s="38" t="n"/>
      <c r="C10" s="38">
        <f>IF(B10&gt;1,SUM(B10-B9),"")</f>
        <v/>
      </c>
      <c r="D10" s="38" t="n"/>
      <c r="E10" s="28" t="n"/>
      <c r="F10" s="45" t="n"/>
      <c r="G10" s="61" t="n"/>
      <c r="H10" s="38" t="n"/>
      <c r="I10" s="38">
        <f>IF(H10&gt;1,SUM(H10-H9),"")</f>
        <v/>
      </c>
      <c r="J10" s="38" t="n"/>
      <c r="K10" s="28" t="n"/>
    </row>
    <row r="11" ht="14.4" customHeight="1">
      <c r="A11" s="61" t="n"/>
      <c r="B11" s="38" t="n"/>
      <c r="C11" s="38">
        <f>IF(B11&gt;1,SUM(B11-B10),"")</f>
        <v/>
      </c>
      <c r="D11" s="38" t="n"/>
      <c r="E11" s="28" t="n"/>
      <c r="F11" s="45" t="n"/>
      <c r="G11" s="61" t="n"/>
      <c r="H11" s="38" t="n"/>
      <c r="I11" s="38">
        <f>IF(H11&gt;1,SUM(H11-H10),"")</f>
        <v/>
      </c>
      <c r="J11" s="38" t="n"/>
      <c r="K11" s="28" t="n"/>
    </row>
    <row r="12" ht="14.4" customHeight="1">
      <c r="A12" s="61" t="n"/>
      <c r="B12" s="38" t="n"/>
      <c r="C12" s="38">
        <f>IF(B12&gt;1,SUM(B12-B11),"")</f>
        <v/>
      </c>
      <c r="D12" s="38" t="n"/>
      <c r="E12" s="28" t="n"/>
      <c r="F12" s="45" t="n"/>
      <c r="G12" s="61" t="n"/>
      <c r="H12" s="38" t="n"/>
      <c r="I12" s="38">
        <f>IF(H12&gt;1,SUM(H12-H11),"")</f>
        <v/>
      </c>
      <c r="J12" s="38" t="n"/>
      <c r="K12" s="28" t="n"/>
    </row>
    <row r="13" ht="14.4" customHeight="1">
      <c r="A13" s="61" t="n"/>
      <c r="B13" s="38" t="n"/>
      <c r="C13" s="38">
        <f>IF(B13&gt;1,SUM(B13-B12),"")</f>
        <v/>
      </c>
      <c r="D13" s="38" t="n"/>
      <c r="E13" s="28" t="n"/>
      <c r="F13" s="45" t="n"/>
      <c r="G13" s="61" t="n"/>
      <c r="H13" s="38" t="n"/>
      <c r="I13" s="38">
        <f>IF(H13&gt;1,SUM(H13-H12),"")</f>
        <v/>
      </c>
      <c r="J13" s="38" t="n"/>
      <c r="K13" s="28" t="n"/>
    </row>
    <row r="14" ht="14.4" customHeight="1">
      <c r="A14" s="61" t="n"/>
      <c r="B14" s="38" t="n"/>
      <c r="C14" s="38">
        <f>IF(B14&gt;1,SUM(B14-B13),"")</f>
        <v/>
      </c>
      <c r="D14" s="38" t="n"/>
      <c r="E14" s="28" t="n"/>
      <c r="F14" s="45" t="n"/>
      <c r="G14" s="61" t="n"/>
      <c r="H14" s="38" t="n"/>
      <c r="I14" s="38">
        <f>IF(H14&gt;1,SUM(H14-H13),"")</f>
        <v/>
      </c>
      <c r="J14" s="38" t="n"/>
      <c r="K14" s="28" t="n"/>
    </row>
    <row r="15" ht="14.4" customHeight="1">
      <c r="A15" s="61" t="n"/>
      <c r="B15" s="38" t="n"/>
      <c r="C15" s="38">
        <f>IF(B15&gt;1,SUM(B15-B14),"")</f>
        <v/>
      </c>
      <c r="D15" s="38" t="n"/>
      <c r="E15" s="28" t="n"/>
      <c r="F15" s="45" t="n"/>
      <c r="G15" s="61" t="n"/>
      <c r="H15" s="38" t="n"/>
      <c r="I15" s="38">
        <f>IF(H15&gt;1,SUM(H15-H14),"")</f>
        <v/>
      </c>
      <c r="J15" s="38" t="n"/>
      <c r="K15" s="28" t="n"/>
    </row>
    <row r="16" ht="14.4" customHeight="1">
      <c r="A16" s="61" t="n"/>
      <c r="B16" s="38" t="n"/>
      <c r="C16" s="38">
        <f>IF(B16&gt;1,SUM(B16-B15),"")</f>
        <v/>
      </c>
      <c r="D16" s="38" t="n"/>
      <c r="E16" s="28" t="n"/>
      <c r="F16" s="45" t="n"/>
      <c r="G16" s="61" t="n"/>
      <c r="H16" s="38" t="n"/>
      <c r="I16" s="38">
        <f>IF(H16&gt;1,SUM(H16-H15),"")</f>
        <v/>
      </c>
      <c r="J16" s="38" t="n"/>
      <c r="K16" s="28" t="n"/>
    </row>
    <row r="17" ht="14.4" customHeight="1">
      <c r="A17" s="61" t="n"/>
      <c r="B17" s="38" t="n"/>
      <c r="C17" s="38">
        <f>IF(B17&gt;1,SUM(B17-B16),"")</f>
        <v/>
      </c>
      <c r="D17" s="38" t="n"/>
      <c r="E17" s="28" t="n"/>
      <c r="F17" s="45" t="n"/>
      <c r="G17" s="61" t="n"/>
      <c r="H17" s="38" t="n"/>
      <c r="I17" s="38">
        <f>IF(H17&gt;1,SUM(H17-H16),"")</f>
        <v/>
      </c>
      <c r="J17" s="38" t="n"/>
      <c r="K17" s="28" t="n"/>
    </row>
    <row r="18" ht="14.4" customHeight="1">
      <c r="A18" s="61" t="n"/>
      <c r="B18" s="38" t="n"/>
      <c r="C18" s="38">
        <f>IF(B18&gt;1,SUM(B18-B17),"")</f>
        <v/>
      </c>
      <c r="D18" s="38" t="n"/>
      <c r="E18" s="28" t="n"/>
      <c r="F18" s="45" t="n"/>
      <c r="G18" s="61" t="n"/>
      <c r="H18" s="38" t="n"/>
      <c r="I18" s="38">
        <f>IF(H18&gt;1,SUM(H18-H17),"")</f>
        <v/>
      </c>
      <c r="J18" s="38" t="n"/>
      <c r="K18" s="28" t="n"/>
    </row>
    <row r="19" ht="14.4" customHeight="1">
      <c r="A19" s="61" t="n"/>
      <c r="B19" s="38" t="n"/>
      <c r="C19" s="38">
        <f>IF(B19&gt;1,SUM(B19-B18),"")</f>
        <v/>
      </c>
      <c r="D19" s="38" t="n"/>
      <c r="E19" s="28" t="n"/>
      <c r="F19" s="45" t="n"/>
      <c r="G19" s="61" t="n"/>
      <c r="H19" s="38" t="n"/>
      <c r="I19" s="38">
        <f>IF(H19&gt;1,SUM(H19-H18),"")</f>
        <v/>
      </c>
      <c r="J19" s="38" t="n"/>
      <c r="K19" s="28" t="n"/>
    </row>
    <row r="20" ht="14.4" customHeight="1">
      <c r="A20" s="61" t="n"/>
      <c r="B20" s="38" t="n"/>
      <c r="C20" s="38">
        <f>IF(B20&gt;1,SUM(B20-B19),"")</f>
        <v/>
      </c>
      <c r="D20" s="38" t="n"/>
      <c r="E20" s="28" t="n"/>
      <c r="F20" s="45" t="n"/>
      <c r="G20" s="61" t="n"/>
      <c r="H20" s="38" t="n"/>
      <c r="I20" s="38">
        <f>IF(H20&gt;1,SUM(H20-H19),"")</f>
        <v/>
      </c>
      <c r="J20" s="38" t="n"/>
      <c r="K20" s="28" t="n"/>
    </row>
    <row r="21" ht="14.4" customHeight="1">
      <c r="A21" s="61" t="n"/>
      <c r="B21" s="38" t="n"/>
      <c r="C21" s="38">
        <f>IF(B21&gt;1,SUM(B21-B20),"")</f>
        <v/>
      </c>
      <c r="D21" s="38" t="n"/>
      <c r="E21" s="28" t="n"/>
      <c r="F21" s="45" t="n"/>
      <c r="G21" s="61" t="n"/>
      <c r="H21" s="38" t="n"/>
      <c r="I21" s="38">
        <f>IF(H21&gt;1,SUM(H21-H20),"")</f>
        <v/>
      </c>
      <c r="J21" s="38" t="n"/>
      <c r="K21" s="28" t="n"/>
    </row>
    <row r="22" ht="14.4" customHeight="1">
      <c r="A22" s="61" t="n"/>
      <c r="B22" s="38" t="n"/>
      <c r="C22" s="38">
        <f>IF(B22&gt;1,SUM(B22-B21),"")</f>
        <v/>
      </c>
      <c r="D22" s="38" t="n"/>
      <c r="E22" s="28" t="n"/>
      <c r="F22" s="45" t="n"/>
      <c r="G22" s="61" t="n"/>
      <c r="H22" s="38" t="n"/>
      <c r="I22" s="38">
        <f>IF(H22&gt;1,SUM(H22-H21),"")</f>
        <v/>
      </c>
      <c r="J22" s="38" t="n"/>
      <c r="K22" s="28" t="n"/>
    </row>
    <row r="23" ht="14.4" customHeight="1">
      <c r="A23" s="61" t="n"/>
      <c r="B23" s="38" t="n"/>
      <c r="C23" s="38">
        <f>IF(B23&gt;1,SUM(B23-B22),"")</f>
        <v/>
      </c>
      <c r="D23" s="38" t="n"/>
      <c r="E23" s="28" t="n"/>
      <c r="F23" s="45" t="n"/>
      <c r="G23" s="61" t="n"/>
      <c r="H23" s="38" t="n"/>
      <c r="I23" s="38">
        <f>IF(H23&gt;1,SUM(H23-H22),"")</f>
        <v/>
      </c>
      <c r="J23" s="38" t="n"/>
      <c r="K23" s="28" t="n"/>
    </row>
    <row r="24" ht="14.4" customHeight="1">
      <c r="A24" s="61" t="n"/>
      <c r="B24" s="38" t="n"/>
      <c r="C24" s="38">
        <f>IF(B24&gt;1,SUM(B24-B23),"")</f>
        <v/>
      </c>
      <c r="D24" s="38" t="n"/>
      <c r="E24" s="28" t="n"/>
      <c r="F24" s="45" t="n"/>
      <c r="G24" s="61" t="n"/>
      <c r="H24" s="38" t="n"/>
      <c r="I24" s="38">
        <f>IF(H24&gt;1,SUM(H24-H23),"")</f>
        <v/>
      </c>
      <c r="J24" s="38" t="n"/>
      <c r="K24" s="28" t="n"/>
    </row>
    <row r="25" ht="14.4" customHeight="1">
      <c r="A25" s="61" t="n"/>
      <c r="B25" s="38" t="n"/>
      <c r="C25" s="38">
        <f>IF(B25&gt;1,SUM(B25-B24),"")</f>
        <v/>
      </c>
      <c r="D25" s="38" t="n"/>
      <c r="E25" s="28" t="n"/>
      <c r="F25" s="45" t="n"/>
      <c r="G25" s="61" t="n"/>
      <c r="H25" s="38" t="n"/>
      <c r="I25" s="38">
        <f>IF(H25&gt;1,SUM(H25-H24),"")</f>
        <v/>
      </c>
      <c r="J25" s="38" t="n"/>
      <c r="K25" s="28" t="n"/>
    </row>
    <row r="26" ht="14.4" customHeight="1">
      <c r="A26" s="61" t="n"/>
      <c r="B26" s="38" t="n"/>
      <c r="C26" s="38">
        <f>IF(B26&gt;1,SUM(B26-B25),"")</f>
        <v/>
      </c>
      <c r="D26" s="38" t="n"/>
      <c r="E26" s="28" t="n"/>
      <c r="F26" s="45" t="n"/>
      <c r="G26" s="61" t="n"/>
      <c r="H26" s="38" t="n"/>
      <c r="I26" s="38">
        <f>IF(H26&gt;1,SUM(H26-H25),"")</f>
        <v/>
      </c>
      <c r="J26" s="38" t="n"/>
      <c r="K26" s="28" t="n"/>
    </row>
    <row r="27" ht="14.4" customHeight="1">
      <c r="A27" s="61" t="n"/>
      <c r="B27" s="38" t="n"/>
      <c r="C27" s="38">
        <f>IF(B27&gt;1,SUM(B27-B26),"")</f>
        <v/>
      </c>
      <c r="D27" s="38" t="n"/>
      <c r="E27" s="28" t="n"/>
      <c r="F27" s="45" t="n"/>
      <c r="G27" s="61" t="n"/>
      <c r="H27" s="38" t="n"/>
      <c r="I27" s="38">
        <f>IF(H27&gt;1,SUM(H27-H26),"")</f>
        <v/>
      </c>
      <c r="J27" s="38" t="n"/>
      <c r="K27" s="28" t="n"/>
    </row>
    <row r="28" ht="14.4" customHeight="1">
      <c r="A28" s="61" t="n"/>
      <c r="B28" s="38" t="n"/>
      <c r="C28" s="38">
        <f>IF(B28&gt;1,SUM(B28-B27),"")</f>
        <v/>
      </c>
      <c r="D28" s="38" t="n"/>
      <c r="E28" s="28" t="n"/>
      <c r="F28" s="45" t="n"/>
      <c r="G28" s="61" t="n"/>
      <c r="H28" s="38" t="n"/>
      <c r="I28" s="38">
        <f>IF(H28&gt;1,SUM(H28-H27),"")</f>
        <v/>
      </c>
      <c r="J28" s="38" t="n"/>
      <c r="K28" s="28" t="n"/>
    </row>
    <row r="29" ht="14.4" customHeight="1">
      <c r="A29" s="61" t="n"/>
      <c r="B29" s="38" t="n"/>
      <c r="C29" s="38">
        <f>IF(B29&gt;1,SUM(B29-B28),"")</f>
        <v/>
      </c>
      <c r="D29" s="38" t="n"/>
      <c r="E29" s="28" t="n"/>
      <c r="F29" s="45" t="n"/>
      <c r="G29" s="61" t="n"/>
      <c r="H29" s="38" t="n"/>
      <c r="I29" s="38">
        <f>IF(H29&gt;1,SUM(H29-H28),"")</f>
        <v/>
      </c>
      <c r="J29" s="38" t="n"/>
      <c r="K29" s="28" t="n"/>
    </row>
    <row r="30" ht="14.4" customHeight="1">
      <c r="A30" s="61" t="n"/>
      <c r="B30" s="38" t="n"/>
      <c r="C30" s="38">
        <f>IF(B30&gt;1,SUM(B30-B29),"")</f>
        <v/>
      </c>
      <c r="D30" s="38" t="n"/>
      <c r="E30" s="28" t="n"/>
      <c r="F30" s="45" t="n"/>
      <c r="G30" s="61" t="n"/>
      <c r="H30" s="38" t="n"/>
      <c r="I30" s="38">
        <f>IF(H30&gt;1,SUM(H30-H29),"")</f>
        <v/>
      </c>
      <c r="J30" s="38" t="n"/>
      <c r="K30" s="28" t="n"/>
    </row>
    <row r="31" ht="14.4" customHeight="1">
      <c r="A31" s="61" t="n"/>
      <c r="B31" s="38" t="n"/>
      <c r="C31" s="38">
        <f>IF(B31&gt;1,SUM(B31-B30),"")</f>
        <v/>
      </c>
      <c r="D31" s="38" t="n"/>
      <c r="E31" s="28" t="n"/>
      <c r="F31" s="45" t="n"/>
      <c r="G31" s="61" t="n"/>
      <c r="H31" s="38" t="n"/>
      <c r="I31" s="38">
        <f>IF(H31&gt;1,SUM(H31-H30),"")</f>
        <v/>
      </c>
      <c r="J31" s="38" t="n"/>
      <c r="K31" s="28" t="n"/>
    </row>
    <row r="32" ht="14.4" customHeight="1">
      <c r="A32" s="61" t="n"/>
      <c r="B32" s="38" t="n"/>
      <c r="C32" s="38">
        <f>IF(B32&gt;1,SUM(B32-B31),"")</f>
        <v/>
      </c>
      <c r="D32" s="38" t="n"/>
      <c r="E32" s="28" t="n"/>
      <c r="F32" s="45" t="n"/>
      <c r="G32" s="61" t="n"/>
      <c r="H32" s="38" t="n"/>
      <c r="I32" s="38">
        <f>IF(H32&gt;1,SUM(H32-H31),"")</f>
        <v/>
      </c>
      <c r="J32" s="38" t="n"/>
      <c r="K32" s="28" t="n"/>
    </row>
    <row r="33" ht="14.4" customHeight="1">
      <c r="A33" s="61" t="n"/>
      <c r="B33" s="38" t="n"/>
      <c r="C33" s="38">
        <f>IF(B33&gt;1,SUM(B33-B32),"")</f>
        <v/>
      </c>
      <c r="D33" s="38" t="n"/>
      <c r="E33" s="28" t="n"/>
      <c r="F33" s="45" t="n"/>
      <c r="G33" s="61" t="n"/>
      <c r="H33" s="38" t="n"/>
      <c r="I33" s="38">
        <f>IF(H33&gt;1,SUM(H33-H32),"")</f>
        <v/>
      </c>
      <c r="J33" s="38" t="n"/>
      <c r="K33" s="28" t="n"/>
    </row>
    <row r="34" ht="14.4" customHeight="1">
      <c r="A34" s="61" t="n"/>
      <c r="B34" s="38" t="n"/>
      <c r="C34" s="38">
        <f>IF(B34&gt;1,SUM(B34-B33),"")</f>
        <v/>
      </c>
      <c r="D34" s="38" t="n"/>
      <c r="E34" s="28" t="n"/>
      <c r="F34" s="45" t="n"/>
      <c r="G34" s="61" t="n"/>
      <c r="H34" s="38" t="n"/>
      <c r="I34" s="38">
        <f>IF(H34&gt;1,SUM(H34-H33),"")</f>
        <v/>
      </c>
      <c r="J34" s="38" t="n"/>
      <c r="K34" s="28" t="n"/>
    </row>
    <row r="35" ht="14.4" customHeight="1">
      <c r="A35" s="61" t="n"/>
      <c r="B35" s="38" t="n"/>
      <c r="C35" s="38">
        <f>IF(B35&gt;1,SUM(B35-B34),"")</f>
        <v/>
      </c>
      <c r="D35" s="38" t="n"/>
      <c r="E35" s="28" t="n"/>
      <c r="F35" s="45" t="n"/>
      <c r="G35" s="61" t="n"/>
      <c r="H35" s="38" t="n"/>
      <c r="I35" s="38">
        <f>IF(H35&gt;1,SUM(H35-H34),"")</f>
        <v/>
      </c>
      <c r="J35" s="38" t="n"/>
      <c r="K35" s="28" t="n"/>
    </row>
    <row r="36" ht="14.4" customHeight="1">
      <c r="A36" s="38" t="n"/>
      <c r="B36" s="38" t="n"/>
      <c r="C36" s="38" t="n"/>
      <c r="D36" s="38" t="n"/>
      <c r="E36" s="28" t="n"/>
      <c r="F36" s="45" t="n"/>
      <c r="G36" s="38" t="n"/>
      <c r="H36" s="38" t="n"/>
      <c r="I36" s="38" t="n"/>
      <c r="J36" s="38" t="n"/>
      <c r="K36" s="28" t="n"/>
    </row>
    <row r="37" ht="14.4" customHeight="1">
      <c r="A37" s="38" t="n"/>
      <c r="B37" s="38" t="n"/>
      <c r="C37" s="38" t="n"/>
      <c r="D37" s="38" t="n"/>
      <c r="E37" s="28" t="n"/>
      <c r="F37" s="45" t="n"/>
      <c r="G37" s="38" t="n"/>
      <c r="H37" s="38" t="n"/>
      <c r="I37" s="38" t="n"/>
      <c r="J37" s="38" t="n"/>
      <c r="K37" s="28" t="n"/>
    </row>
    <row r="38" ht="14.4" customHeight="1">
      <c r="A38" s="38" t="n"/>
      <c r="B38" s="38" t="n"/>
      <c r="C38" s="38" t="n"/>
      <c r="D38" s="38" t="n"/>
      <c r="E38" s="28" t="n"/>
      <c r="F38" s="45" t="n"/>
      <c r="G38" s="38" t="n"/>
      <c r="H38" s="38" t="n"/>
      <c r="I38" s="38" t="n"/>
      <c r="J38" s="38" t="n"/>
      <c r="K38" s="28" t="n"/>
    </row>
    <row r="39" ht="14.4" customHeight="1">
      <c r="A39" s="69" t="inlineStr">
        <is>
          <t>MTD Total</t>
        </is>
      </c>
      <c r="B39" s="26" t="n"/>
      <c r="C39" s="38">
        <f>SUM(C5:C35)</f>
        <v/>
      </c>
      <c r="D39" s="26" t="n">
        <v>0</v>
      </c>
      <c r="E39" s="68">
        <f>IFERROR((D39/C39),"")</f>
        <v/>
      </c>
      <c r="F39" s="45" t="n"/>
      <c r="G39" s="69" t="inlineStr">
        <is>
          <t>MTD Total</t>
        </is>
      </c>
      <c r="H39" s="26" t="n"/>
      <c r="I39" s="38">
        <f>SUM(I5:I35)</f>
        <v/>
      </c>
      <c r="J39" s="26" t="n">
        <v>0</v>
      </c>
      <c r="K39" s="68">
        <f>IFERROR((J39/I39),"")</f>
        <v/>
      </c>
    </row>
    <row r="40" ht="14.4" customHeight="1">
      <c r="A40" s="69" t="inlineStr">
        <is>
          <t>MTD Daily Average</t>
        </is>
      </c>
      <c r="B40" s="26" t="n"/>
      <c r="C40" s="72">
        <f>IFERROR(AVERAGE(C5:C35),"")</f>
        <v/>
      </c>
      <c r="D40" s="72">
        <f>IFERROR(AVERAGE(D5:D35),"")</f>
        <v/>
      </c>
      <c r="E40" s="26" t="n"/>
      <c r="F40" s="45" t="n"/>
      <c r="G40" s="69" t="inlineStr">
        <is>
          <t>MTD Daily Average</t>
        </is>
      </c>
      <c r="H40" s="26" t="n"/>
      <c r="I40" s="72">
        <f>IFERROR(AVERAGE(I5:I35),"")</f>
        <v/>
      </c>
      <c r="J40" s="72">
        <f>IFERROR(AVERAGE(J5:J35),"")</f>
        <v/>
      </c>
      <c r="K40" s="26" t="n"/>
    </row>
  </sheetData>
  <mergeCells count="8">
    <mergeCell ref="G2:I2"/>
    <mergeCell ref="A1:C1"/>
    <mergeCell ref="K1:K3"/>
    <mergeCell ref="A2:C2"/>
    <mergeCell ref="D2:D3"/>
    <mergeCell ref="E1:E3"/>
    <mergeCell ref="J2:J3"/>
    <mergeCell ref="G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B19" sqref="B19:B22"/>
    </sheetView>
  </sheetViews>
  <sheetFormatPr baseColWidth="8" defaultRowHeight="12"/>
  <cols>
    <col width="18.140625" bestFit="1" customWidth="1" min="1" max="1"/>
    <col width="26" bestFit="1" customWidth="1" min="2" max="2"/>
    <col width="33.140625" bestFit="1" customWidth="1" min="3" max="3"/>
    <col width="14" bestFit="1" customWidth="1" min="4" max="4"/>
    <col width="12.7109375" customWidth="1" min="5" max="5"/>
    <col width="29" bestFit="1" customWidth="1" min="6" max="6"/>
    <col width="36" bestFit="1" customWidth="1" style="10" min="7" max="7"/>
    <col width="29" customWidth="1" min="8" max="8"/>
  </cols>
  <sheetData>
    <row r="1">
      <c r="A1" t="inlineStr">
        <is>
          <t>Equipment ID</t>
        </is>
      </c>
      <c r="B1" t="inlineStr">
        <is>
          <t>Production Department</t>
        </is>
      </c>
      <c r="C1" t="inlineStr">
        <is>
          <t>Equipment Name</t>
        </is>
      </c>
      <c r="D1" t="inlineStr">
        <is>
          <t>Area</t>
        </is>
      </c>
      <c r="E1" t="inlineStr">
        <is>
          <t>Criticality</t>
        </is>
      </c>
      <c r="F1" t="inlineStr">
        <is>
          <t>Planned Runtime (hrs/day)</t>
        </is>
      </c>
      <c r="G1" s="10" t="inlineStr">
        <is>
          <t>Planned working day in the month</t>
        </is>
      </c>
      <c r="H1" t="inlineStr">
        <is>
          <t>Planned Runtime (hrs/month)</t>
        </is>
      </c>
    </row>
    <row r="2">
      <c r="A2" s="3" t="inlineStr">
        <is>
          <t>RDB-001 - DE-005</t>
        </is>
      </c>
      <c r="B2" s="3" t="inlineStr">
        <is>
          <t>Wetmill</t>
        </is>
      </c>
      <c r="C2" s="3" t="inlineStr">
        <is>
          <t>Ring Debarker 1 - VK800</t>
        </is>
      </c>
      <c r="D2" t="inlineStr">
        <is>
          <t>PRM-WM-002</t>
        </is>
      </c>
      <c r="E2" t="inlineStr">
        <is>
          <t>High</t>
        </is>
      </c>
      <c r="F2" t="n">
        <v>18</v>
      </c>
      <c r="G2" s="10" t="n">
        <v>23</v>
      </c>
      <c r="H2">
        <f>SUM(tblEquipment[[#This Row],[Planned Runtime (hrs/day)]]*tblEquipment[[#This Row],[Planned working day in the month]])</f>
        <v/>
      </c>
    </row>
    <row r="3">
      <c r="A3" s="4" t="inlineStr">
        <is>
          <t>BDS-001 - BE-004</t>
        </is>
      </c>
      <c r="B3" s="3" t="inlineStr">
        <is>
          <t>Wetmill</t>
        </is>
      </c>
      <c r="C3" s="4" t="inlineStr">
        <is>
          <t>Bandsaw 1 - Romeo</t>
        </is>
      </c>
      <c r="D3" t="inlineStr">
        <is>
          <t>PRM-WM-003</t>
        </is>
      </c>
      <c r="E3" t="inlineStr">
        <is>
          <t>High</t>
        </is>
      </c>
      <c r="F3" t="n">
        <v>18</v>
      </c>
      <c r="G3" s="10" t="n">
        <v>23</v>
      </c>
      <c r="H3">
        <f>SUM(tblEquipment[[#This Row],[Planned Runtime (hrs/day)]]*tblEquipment[[#This Row],[Planned working day in the month]])</f>
        <v/>
      </c>
    </row>
    <row r="4">
      <c r="A4" s="4" t="inlineStr">
        <is>
          <t>BDS-002 - BE-007</t>
        </is>
      </c>
      <c r="B4" s="3" t="inlineStr">
        <is>
          <t>Wetmill</t>
        </is>
      </c>
      <c r="C4" s="4" t="inlineStr">
        <is>
          <t>Bandsaw 2 - Juliet</t>
        </is>
      </c>
      <c r="D4" t="inlineStr">
        <is>
          <t>PRM-WM-003</t>
        </is>
      </c>
      <c r="E4" t="inlineStr">
        <is>
          <t>High</t>
        </is>
      </c>
      <c r="F4" t="n">
        <v>18</v>
      </c>
      <c r="G4" s="10" t="n">
        <v>23</v>
      </c>
      <c r="H4">
        <f>SUM(tblEquipment[[#This Row],[Planned Runtime (hrs/day)]]*tblEquipment[[#This Row],[Planned working day in the month]])</f>
        <v/>
      </c>
    </row>
    <row r="5">
      <c r="A5" s="4" t="inlineStr">
        <is>
          <t>BDS-003 - FE-003</t>
        </is>
      </c>
      <c r="B5" s="3" t="inlineStr">
        <is>
          <t>Wetmill</t>
        </is>
      </c>
      <c r="C5" s="4" t="inlineStr">
        <is>
          <t>Bandsaw 3 - Teletwin</t>
        </is>
      </c>
      <c r="D5" t="inlineStr">
        <is>
          <t>PRM-WM-003</t>
        </is>
      </c>
      <c r="E5" t="inlineStr">
        <is>
          <t>Medium</t>
        </is>
      </c>
      <c r="F5" t="n">
        <v>9</v>
      </c>
      <c r="G5" s="10" t="n">
        <v>23</v>
      </c>
      <c r="H5">
        <f>SUM(tblEquipment[[#This Row],[Planned Runtime (hrs/day)]]*tblEquipment[[#This Row],[Planned working day in the month]])</f>
        <v/>
      </c>
    </row>
    <row r="6">
      <c r="A6" s="4" t="inlineStr">
        <is>
          <t>BKO-001 - RE-007</t>
        </is>
      </c>
      <c r="B6" s="3" t="inlineStr">
        <is>
          <t>Wetmill</t>
        </is>
      </c>
      <c r="C6" s="4" t="inlineStr">
        <is>
          <t>Board Edger 1 - EWD</t>
        </is>
      </c>
      <c r="D6" t="inlineStr">
        <is>
          <t>PRM-WM-004</t>
        </is>
      </c>
      <c r="E6" t="inlineStr">
        <is>
          <t>High</t>
        </is>
      </c>
      <c r="F6" t="n">
        <v>18</v>
      </c>
      <c r="G6" s="10" t="n">
        <v>23</v>
      </c>
      <c r="H6">
        <f>SUM(tblEquipment[[#This Row],[Planned Runtime (hrs/day)]]*tblEquipment[[#This Row],[Planned working day in the month]])</f>
        <v/>
      </c>
    </row>
    <row r="7">
      <c r="A7" s="4" t="inlineStr">
        <is>
          <t>GNS-001 - BE-008</t>
        </is>
      </c>
      <c r="B7" s="3" t="inlineStr">
        <is>
          <t>Wetmill</t>
        </is>
      </c>
      <c r="C7" s="4" t="inlineStr">
        <is>
          <t>Gangsaw 1 - Multirip 240</t>
        </is>
      </c>
      <c r="D7" t="inlineStr">
        <is>
          <t>PRM-WM-004</t>
        </is>
      </c>
      <c r="E7" t="inlineStr">
        <is>
          <t>High</t>
        </is>
      </c>
      <c r="F7" t="n">
        <v>18</v>
      </c>
      <c r="G7" s="10" t="n">
        <v>23</v>
      </c>
      <c r="H7">
        <f>SUM(tblEquipment[[#This Row],[Planned Runtime (hrs/day)]]*tblEquipment[[#This Row],[Planned working day in the month]])</f>
        <v/>
      </c>
    </row>
    <row r="8">
      <c r="A8" s="4" t="inlineStr">
        <is>
          <t>GNS-002 - FE-010</t>
        </is>
      </c>
      <c r="B8" s="3" t="inlineStr">
        <is>
          <t>Wetmill</t>
        </is>
      </c>
      <c r="C8" s="4" t="inlineStr">
        <is>
          <t>Gangsaw 2 - DAMR</t>
        </is>
      </c>
      <c r="D8" t="inlineStr">
        <is>
          <t>PRM-WM-004</t>
        </is>
      </c>
      <c r="E8" t="inlineStr">
        <is>
          <t>Medium</t>
        </is>
      </c>
      <c r="F8" t="n">
        <v>9</v>
      </c>
      <c r="G8" s="10" t="n">
        <v>23</v>
      </c>
      <c r="H8">
        <f>SUM(tblEquipment[[#This Row],[Planned Runtime (hrs/day)]]*tblEquipment[[#This Row],[Planned working day in the month]])</f>
        <v/>
      </c>
    </row>
    <row r="9">
      <c r="A9" s="4" t="inlineStr">
        <is>
          <t>TMT-001 - ME-002</t>
        </is>
      </c>
      <c r="B9" s="3" t="inlineStr">
        <is>
          <t>Wetmill</t>
        </is>
      </c>
      <c r="C9" s="4" t="inlineStr">
        <is>
          <t>Trim Table 1 - Green chain Trimdeck</t>
        </is>
      </c>
      <c r="D9" t="inlineStr">
        <is>
          <t>PRM-WM-005</t>
        </is>
      </c>
      <c r="E9" t="inlineStr">
        <is>
          <t>High</t>
        </is>
      </c>
      <c r="F9" t="n">
        <v>18</v>
      </c>
      <c r="G9" s="10" t="n">
        <v>23</v>
      </c>
      <c r="H9">
        <f>SUM(tblEquipment[[#This Row],[Planned Runtime (hrs/day)]]*tblEquipment[[#This Row],[Planned working day in the month]])</f>
        <v/>
      </c>
    </row>
    <row r="10">
      <c r="A10" s="4" t="inlineStr">
        <is>
          <t>TMT-002 - FE-022</t>
        </is>
      </c>
      <c r="B10" s="3" t="inlineStr">
        <is>
          <t>Wetmill</t>
        </is>
      </c>
      <c r="C10" s="4" t="inlineStr">
        <is>
          <t>Trim Table 2 - Sky Trimmer</t>
        </is>
      </c>
      <c r="D10" t="inlineStr">
        <is>
          <t>PRM-WM-005</t>
        </is>
      </c>
      <c r="E10" t="inlineStr">
        <is>
          <t>Medium</t>
        </is>
      </c>
      <c r="F10" t="n">
        <v>9</v>
      </c>
      <c r="G10" s="10" t="n">
        <v>23</v>
      </c>
      <c r="H10">
        <f>SUM(tblEquipment[[#This Row],[Planned Runtime (hrs/day)]]*tblEquipment[[#This Row],[Planned working day in the month]])</f>
        <v/>
      </c>
    </row>
    <row r="11">
      <c r="A11" s="4" t="inlineStr">
        <is>
          <t>RDT-001 - ME-006</t>
        </is>
      </c>
      <c r="B11" s="3" t="inlineStr">
        <is>
          <t>Wetmill</t>
        </is>
      </c>
      <c r="C11" s="4" t="inlineStr">
        <is>
          <t>Roundtable 1</t>
        </is>
      </c>
      <c r="D11" t="inlineStr">
        <is>
          <t>PRM-WM-005</t>
        </is>
      </c>
      <c r="E11" t="inlineStr">
        <is>
          <t>High</t>
        </is>
      </c>
      <c r="F11" t="n">
        <v>18</v>
      </c>
      <c r="G11" s="10" t="n">
        <v>23</v>
      </c>
      <c r="H11">
        <f>SUM(tblEquipment[[#This Row],[Planned Runtime (hrs/day)]]*tblEquipment[[#This Row],[Planned working day in the month]])</f>
        <v/>
      </c>
    </row>
    <row r="12">
      <c r="A12" s="4" t="inlineStr">
        <is>
          <t>STR-001 - ME-007</t>
        </is>
      </c>
      <c r="B12" s="3" t="inlineStr">
        <is>
          <t>Wetmill</t>
        </is>
      </c>
      <c r="C12" s="4" t="inlineStr">
        <is>
          <t>Autostacker 1</t>
        </is>
      </c>
      <c r="D12" t="inlineStr">
        <is>
          <t>PRM-WM-005</t>
        </is>
      </c>
      <c r="E12" t="inlineStr">
        <is>
          <t>High</t>
        </is>
      </c>
      <c r="F12" t="n">
        <v>18</v>
      </c>
      <c r="G12" s="10" t="n">
        <v>23</v>
      </c>
      <c r="H12">
        <f>SUM(tblEquipment[[#This Row],[Planned Runtime (hrs/day)]]*tblEquipment[[#This Row],[Planned working day in the month]])</f>
        <v/>
      </c>
    </row>
    <row r="13">
      <c r="A13" s="4" t="inlineStr">
        <is>
          <t>CPR-001 - BE-018</t>
        </is>
      </c>
      <c r="B13" s="3" t="inlineStr">
        <is>
          <t>Wetmill</t>
        </is>
      </c>
      <c r="C13" s="4" t="inlineStr">
        <is>
          <t>Chipper 1 - Bandline</t>
        </is>
      </c>
      <c r="D13" t="inlineStr">
        <is>
          <t>PRM-WM-006</t>
        </is>
      </c>
      <c r="E13" t="inlineStr">
        <is>
          <t>High</t>
        </is>
      </c>
      <c r="F13" t="n">
        <v>18</v>
      </c>
      <c r="G13" s="10" t="n">
        <v>23</v>
      </c>
      <c r="H13">
        <f>SUM(tblEquipment[[#This Row],[Planned Runtime (hrs/day)]]*tblEquipment[[#This Row],[Planned working day in the month]])</f>
        <v/>
      </c>
    </row>
    <row r="14">
      <c r="A14" s="4" t="inlineStr">
        <is>
          <t>CPR-002 - FE-020</t>
        </is>
      </c>
      <c r="B14" s="3" t="inlineStr">
        <is>
          <t>Wetmill</t>
        </is>
      </c>
      <c r="C14" s="4" t="inlineStr">
        <is>
          <t>Chipper 2 - Frameline</t>
        </is>
      </c>
      <c r="D14" t="inlineStr">
        <is>
          <t>PRM-WM-006</t>
        </is>
      </c>
      <c r="E14" t="inlineStr">
        <is>
          <t>Medium</t>
        </is>
      </c>
      <c r="F14" t="n">
        <v>18</v>
      </c>
      <c r="G14" s="10" t="n">
        <v>23</v>
      </c>
      <c r="H14">
        <f>SUM(tblEquipment[[#This Row],[Planned Runtime (hrs/day)]]*tblEquipment[[#This Row],[Planned working day in the month]])</f>
        <v/>
      </c>
    </row>
    <row r="15">
      <c r="A15" s="4" t="inlineStr">
        <is>
          <t>SKR-001 - BE-020</t>
        </is>
      </c>
      <c r="B15" s="3" t="inlineStr">
        <is>
          <t>Wetmill</t>
        </is>
      </c>
      <c r="C15" s="4" t="inlineStr">
        <is>
          <t>Shaker 1 - Two Screen</t>
        </is>
      </c>
      <c r="D15" t="inlineStr">
        <is>
          <t>PRM-WM-006</t>
        </is>
      </c>
      <c r="E15" t="inlineStr">
        <is>
          <t>High</t>
        </is>
      </c>
      <c r="F15" t="n">
        <v>18</v>
      </c>
      <c r="G15" s="10" t="n">
        <v>23</v>
      </c>
      <c r="H15">
        <f>SUM(tblEquipment[[#This Row],[Planned Runtime (hrs/day)]]*tblEquipment[[#This Row],[Planned working day in the month]])</f>
        <v/>
      </c>
    </row>
    <row r="16">
      <c r="A16" s="4" t="inlineStr">
        <is>
          <t>SKR-002 - FE-021</t>
        </is>
      </c>
      <c r="B16" s="3" t="inlineStr">
        <is>
          <t>Wetmill</t>
        </is>
      </c>
      <c r="C16" s="4" t="inlineStr">
        <is>
          <t>Shaker 2 - One screen</t>
        </is>
      </c>
      <c r="D16" t="inlineStr">
        <is>
          <t>PRM-WM-006</t>
        </is>
      </c>
      <c r="E16" t="inlineStr">
        <is>
          <t>Medium</t>
        </is>
      </c>
      <c r="F16" t="n">
        <v>18</v>
      </c>
      <c r="G16" s="10" t="n">
        <v>23</v>
      </c>
      <c r="H16">
        <f>SUM(tblEquipment[[#This Row],[Planned Runtime (hrs/day)]]*tblEquipment[[#This Row],[Planned working day in the month]])</f>
        <v/>
      </c>
    </row>
    <row r="17">
      <c r="A17" s="4" t="inlineStr">
        <is>
          <t>SLR-001 - FE-019</t>
        </is>
      </c>
      <c r="B17" s="3" t="inlineStr">
        <is>
          <t>Wetmill</t>
        </is>
      </c>
      <c r="C17" s="4" t="inlineStr">
        <is>
          <t>Scalper 1 - Rotor</t>
        </is>
      </c>
      <c r="D17" t="inlineStr">
        <is>
          <t>PRM-WM-006</t>
        </is>
      </c>
      <c r="E17" t="inlineStr">
        <is>
          <t>Medium</t>
        </is>
      </c>
      <c r="F17" t="n">
        <v>18</v>
      </c>
      <c r="G17" s="10" t="n">
        <v>23</v>
      </c>
      <c r="H17">
        <f>SUM(tblEquipment[[#This Row],[Planned Runtime (hrs/day)]]*tblEquipment[[#This Row],[Planned working day in the month]])</f>
        <v/>
      </c>
    </row>
    <row r="18">
      <c r="A18" s="4" t="inlineStr">
        <is>
          <t>KLN-001 - KE-003</t>
        </is>
      </c>
      <c r="B18" s="4" t="inlineStr">
        <is>
          <t>Kilns</t>
        </is>
      </c>
      <c r="C18" s="4" t="inlineStr">
        <is>
          <t>Kiln 1 - Bollman 1</t>
        </is>
      </c>
      <c r="D18" s="5" t="inlineStr">
        <is>
          <t>PRM-DM-007</t>
        </is>
      </c>
      <c r="E18" t="inlineStr">
        <is>
          <t>High</t>
        </is>
      </c>
      <c r="F18" t="n">
        <v>24</v>
      </c>
      <c r="G18" s="10" t="n">
        <v>23</v>
      </c>
      <c r="H18">
        <f>SUM(tblEquipment[[#This Row],[Planned Runtime (hrs/day)]]*tblEquipment[[#This Row],[Planned working day in the month]])</f>
        <v/>
      </c>
    </row>
    <row r="19">
      <c r="A19" s="4" t="inlineStr">
        <is>
          <t>KLN-002 - KE-004</t>
        </is>
      </c>
      <c r="B19" s="4" t="inlineStr">
        <is>
          <t>Kilns</t>
        </is>
      </c>
      <c r="C19" s="4" t="inlineStr">
        <is>
          <t>Kiln 2 - Bollman 2</t>
        </is>
      </c>
      <c r="D19" s="5" t="inlineStr">
        <is>
          <t>PRM-DM-007</t>
        </is>
      </c>
      <c r="E19" t="inlineStr">
        <is>
          <t>High</t>
        </is>
      </c>
      <c r="F19" t="n">
        <v>24</v>
      </c>
      <c r="G19" s="10" t="n">
        <v>23</v>
      </c>
      <c r="H19">
        <f>SUM(tblEquipment[[#This Row],[Planned Runtime (hrs/day)]]*tblEquipment[[#This Row],[Planned working day in the month]])</f>
        <v/>
      </c>
    </row>
    <row r="20">
      <c r="A20" s="4" t="inlineStr">
        <is>
          <t>KLN-003 - KE-002</t>
        </is>
      </c>
      <c r="B20" s="4" t="inlineStr">
        <is>
          <t>Kilns</t>
        </is>
      </c>
      <c r="C20" s="4" t="inlineStr">
        <is>
          <t>Kiln 3 - Winsor 2</t>
        </is>
      </c>
      <c r="D20" s="5" t="inlineStr">
        <is>
          <t>PRM-DM-007</t>
        </is>
      </c>
      <c r="E20" t="inlineStr">
        <is>
          <t>High</t>
        </is>
      </c>
      <c r="F20" t="n">
        <v>24</v>
      </c>
      <c r="G20" s="10" t="n">
        <v>23</v>
      </c>
      <c r="H20">
        <f>SUM(tblEquipment[[#This Row],[Planned Runtime (hrs/day)]]*tblEquipment[[#This Row],[Planned working day in the month]])</f>
        <v/>
      </c>
    </row>
    <row r="21">
      <c r="A21" s="4" t="inlineStr">
        <is>
          <t>KLN-004 - KE-001</t>
        </is>
      </c>
      <c r="B21" s="4" t="inlineStr">
        <is>
          <t>Kilns</t>
        </is>
      </c>
      <c r="C21" s="4" t="inlineStr">
        <is>
          <t>Kiln 4 - Winsor 1</t>
        </is>
      </c>
      <c r="D21" s="5" t="inlineStr">
        <is>
          <t>PRM-DM-007</t>
        </is>
      </c>
      <c r="E21" t="inlineStr">
        <is>
          <t>High</t>
        </is>
      </c>
      <c r="F21" t="n">
        <v>24</v>
      </c>
      <c r="G21" s="10" t="n">
        <v>23</v>
      </c>
      <c r="H21">
        <f>SUM(tblEquipment[[#This Row],[Planned Runtime (hrs/day)]]*tblEquipment[[#This Row],[Planned working day in the month]])</f>
        <v/>
      </c>
    </row>
    <row r="22">
      <c r="A22" s="4" t="inlineStr">
        <is>
          <t>KLN-005 - KE-005</t>
        </is>
      </c>
      <c r="B22" s="4" t="inlineStr">
        <is>
          <t>Kilns</t>
        </is>
      </c>
      <c r="C22" s="4" t="inlineStr">
        <is>
          <t>Kiln 5 - TFD 1</t>
        </is>
      </c>
      <c r="D22" s="5" t="inlineStr">
        <is>
          <t>PRM-DM-007</t>
        </is>
      </c>
      <c r="E22" t="inlineStr">
        <is>
          <t>High</t>
        </is>
      </c>
      <c r="F22" t="n">
        <v>24</v>
      </c>
      <c r="G22" s="10" t="n">
        <v>23</v>
      </c>
      <c r="H22">
        <f>SUM(tblEquipment[[#This Row],[Planned Runtime (hrs/day)]]*tblEquipment[[#This Row],[Planned working day in the month]])</f>
        <v/>
      </c>
    </row>
    <row r="23">
      <c r="A23" s="6" t="inlineStr">
        <is>
          <t>PGS-001 - DE-001</t>
        </is>
      </c>
      <c r="B23" s="6" t="inlineStr">
        <is>
          <t>Drymill</t>
        </is>
      </c>
      <c r="C23" s="6" t="inlineStr">
        <is>
          <t>Plank Grader-Stacker 1 - Odden</t>
        </is>
      </c>
      <c r="D23" s="5" t="inlineStr">
        <is>
          <t>PRM-DM-008</t>
        </is>
      </c>
      <c r="E23" t="inlineStr">
        <is>
          <t>High</t>
        </is>
      </c>
      <c r="F23" t="n">
        <v>9</v>
      </c>
      <c r="G23" s="10" t="n">
        <v>23</v>
      </c>
      <c r="H23">
        <f>SUM(tblEquipment[[#This Row],[Planned Runtime (hrs/day)]]*tblEquipment[[#This Row],[Planned working day in the month]])</f>
        <v/>
      </c>
    </row>
    <row r="24">
      <c r="A24" s="6" t="inlineStr">
        <is>
          <t>OXC-001 - DE-101</t>
        </is>
      </c>
      <c r="B24" s="6" t="inlineStr">
        <is>
          <t>Drymill</t>
        </is>
      </c>
      <c r="C24" s="6" t="inlineStr">
        <is>
          <t>Optimizing Cross Cutter 1 - Paul</t>
        </is>
      </c>
      <c r="D24" s="5" t="inlineStr">
        <is>
          <t>PRM-DM-008</t>
        </is>
      </c>
      <c r="E24" t="inlineStr">
        <is>
          <t>Medium</t>
        </is>
      </c>
      <c r="F24" t="n">
        <v>18</v>
      </c>
      <c r="G24" s="10" t="n">
        <v>23</v>
      </c>
      <c r="H24">
        <f>SUM(tblEquipment[[#This Row],[Planned Runtime (hrs/day)]]*tblEquipment[[#This Row],[Planned working day in the month]])</f>
        <v/>
      </c>
    </row>
    <row r="25">
      <c r="A25" s="4" t="inlineStr">
        <is>
          <t>PLR-001 - DE-001</t>
        </is>
      </c>
      <c r="B25" s="6" t="inlineStr">
        <is>
          <t>Drymill</t>
        </is>
      </c>
      <c r="C25" s="4" t="inlineStr">
        <is>
          <t>Planer 1 - Rex 1</t>
        </is>
      </c>
      <c r="D25" s="5" t="inlineStr">
        <is>
          <t>PRM-DM-009</t>
        </is>
      </c>
      <c r="E25" t="inlineStr">
        <is>
          <t>High</t>
        </is>
      </c>
      <c r="F25" t="n">
        <v>18</v>
      </c>
      <c r="G25" s="10" t="n">
        <v>23</v>
      </c>
      <c r="H25">
        <f>SUM(tblEquipment[[#This Row],[Planned Runtime (hrs/day)]]*tblEquipment[[#This Row],[Planned working day in the month]])</f>
        <v/>
      </c>
    </row>
    <row r="26">
      <c r="A26" s="4" t="inlineStr">
        <is>
          <t>PLR-002 - DE-002</t>
        </is>
      </c>
      <c r="B26" s="6" t="inlineStr">
        <is>
          <t>Drymill</t>
        </is>
      </c>
      <c r="C26" s="4" t="inlineStr">
        <is>
          <t>Planer 2 - Rex 2</t>
        </is>
      </c>
      <c r="D26" s="5" t="inlineStr">
        <is>
          <t>PRM-DM-009</t>
        </is>
      </c>
      <c r="E26" t="inlineStr">
        <is>
          <t>Medium</t>
        </is>
      </c>
      <c r="F26" t="n">
        <v>9</v>
      </c>
      <c r="G26" s="10" t="n">
        <v>23</v>
      </c>
      <c r="H26">
        <f>SUM(tblEquipment[[#This Row],[Planned Runtime (hrs/day)]]*tblEquipment[[#This Row],[Planned working day in the month]])</f>
        <v/>
      </c>
    </row>
    <row r="27">
      <c r="A27" s="4" t="inlineStr">
        <is>
          <t>JTR-001 - DE-102</t>
        </is>
      </c>
      <c r="B27" s="6" t="inlineStr">
        <is>
          <t>Drymill</t>
        </is>
      </c>
      <c r="C27" s="4" t="inlineStr">
        <is>
          <t>Jointer 1 - Finger Jointer</t>
        </is>
      </c>
      <c r="D27" s="5" t="inlineStr">
        <is>
          <t>PRM-DM-010</t>
        </is>
      </c>
      <c r="E27" t="inlineStr">
        <is>
          <t>Medium</t>
        </is>
      </c>
      <c r="F27" t="n">
        <v>9</v>
      </c>
      <c r="G27" s="10" t="n">
        <v>23</v>
      </c>
      <c r="H27">
        <f>SUM(tblEquipment[[#This Row],[Planned Runtime (hrs/day)]]*tblEquipment[[#This Row],[Planned working day in the month]])</f>
        <v/>
      </c>
    </row>
    <row r="28">
      <c r="A28" s="4" t="inlineStr">
        <is>
          <t>CPR-003 - DE-002</t>
        </is>
      </c>
      <c r="B28" s="6" t="inlineStr">
        <is>
          <t>Drymill</t>
        </is>
      </c>
      <c r="C28" s="4" t="inlineStr">
        <is>
          <t>Chipper 3 - Drymill</t>
        </is>
      </c>
      <c r="D28" s="5" t="inlineStr">
        <is>
          <t>PRM-DM-013</t>
        </is>
      </c>
      <c r="E28" t="inlineStr">
        <is>
          <t>High</t>
        </is>
      </c>
      <c r="F28" t="n">
        <v>18</v>
      </c>
      <c r="G28" s="10" t="n">
        <v>23</v>
      </c>
      <c r="H28">
        <f>SUM(tblEquipment[[#This Row],[Planned Runtime (hrs/day)]]*tblEquipment[[#This Row],[Planned working day in the month]])</f>
        <v/>
      </c>
    </row>
    <row r="29">
      <c r="A29" s="4" t="inlineStr">
        <is>
          <t>GEN-523 - Perkings</t>
        </is>
      </c>
      <c r="B29" s="6" t="inlineStr">
        <is>
          <t>Wetmill</t>
        </is>
      </c>
      <c r="C29" s="4" t="inlineStr">
        <is>
          <t>Generator 523 - 2000KVA</t>
        </is>
      </c>
      <c r="D29" s="5" t="inlineStr">
        <is>
          <t>PRM-UTI-016</t>
        </is>
      </c>
      <c r="E29" t="inlineStr">
        <is>
          <t>Medium</t>
        </is>
      </c>
      <c r="F29" t="n">
        <v>24</v>
      </c>
      <c r="G29" s="10" t="n">
        <v>23</v>
      </c>
      <c r="H29">
        <f>SUM(tblEquipment[[#This Row],[Planned Runtime (hrs/day)]]*tblEquipment[[#This Row],[Planned working day in the month]])</f>
        <v/>
      </c>
    </row>
    <row r="30">
      <c r="A30" s="4" t="inlineStr">
        <is>
          <t>GEN-018 - Cummings</t>
        </is>
      </c>
      <c r="B30" s="6" t="inlineStr">
        <is>
          <t>Drymill</t>
        </is>
      </c>
      <c r="C30" s="4" t="inlineStr">
        <is>
          <t>Generator 18 - 1000KVA</t>
        </is>
      </c>
      <c r="D30" s="5" t="inlineStr">
        <is>
          <t>PRM-UTI-016</t>
        </is>
      </c>
      <c r="E30" t="inlineStr">
        <is>
          <t>Medium</t>
        </is>
      </c>
      <c r="F30" t="n">
        <v>24</v>
      </c>
      <c r="G30" s="10" t="n">
        <v>23</v>
      </c>
      <c r="H30">
        <f>SUM(tblEquipment[[#This Row],[Planned Runtime (hrs/day)]]*tblEquipment[[#This Row],[Planned working day in the month]])</f>
        <v/>
      </c>
    </row>
    <row r="31">
      <c r="A31" s="4" t="inlineStr">
        <is>
          <t>GEN-148 - Perkins</t>
        </is>
      </c>
      <c r="B31" s="4" t="inlineStr">
        <is>
          <t>Boilers &amp; Kilns</t>
        </is>
      </c>
      <c r="C31" s="4" t="inlineStr">
        <is>
          <t>Generator 149 - 800KVA</t>
        </is>
      </c>
      <c r="D31" s="5" t="inlineStr">
        <is>
          <t>PRM-UTI-016</t>
        </is>
      </c>
      <c r="E31" t="inlineStr">
        <is>
          <t>Medium</t>
        </is>
      </c>
      <c r="F31" t="n">
        <v>24</v>
      </c>
      <c r="G31" s="10" t="n">
        <v>23</v>
      </c>
      <c r="H31">
        <f>SUM(tblEquipment[[#This Row],[Planned Runtime (hrs/day)]]*tblEquipment[[#This Row],[Planned working day in the month]])</f>
        <v/>
      </c>
    </row>
    <row r="32">
      <c r="A32" s="4" t="inlineStr">
        <is>
          <t>SOL-001 - FARM</t>
        </is>
      </c>
      <c r="B32" s="6" t="inlineStr">
        <is>
          <t>Utility - Electrical</t>
        </is>
      </c>
      <c r="C32" s="4" t="inlineStr">
        <is>
          <t>Solar farm 1 - Inverter</t>
        </is>
      </c>
      <c r="D32" s="5" t="inlineStr">
        <is>
          <t>PRM-UTI-016</t>
        </is>
      </c>
      <c r="E32" t="inlineStr">
        <is>
          <t>High</t>
        </is>
      </c>
      <c r="F32" t="n">
        <v>24</v>
      </c>
      <c r="G32" s="10" t="n">
        <v>31</v>
      </c>
      <c r="H32">
        <f>SUM(tblEquipment[[#This Row],[Planned Runtime (hrs/day)]]*tblEquipment[[#This Row],[Planned working day in the month]])</f>
        <v/>
      </c>
    </row>
    <row r="33">
      <c r="A33" s="4" t="inlineStr">
        <is>
          <t>VCT -001</t>
        </is>
      </c>
      <c r="B33" s="4" t="inlineStr">
        <is>
          <t>Sawmill</t>
        </is>
      </c>
      <c r="C33" s="4" t="inlineStr">
        <is>
          <t>Voltage-Current Transformer 1</t>
        </is>
      </c>
      <c r="D33" s="5" t="inlineStr">
        <is>
          <t>PRM-UTI-016</t>
        </is>
      </c>
      <c r="E33" t="inlineStr">
        <is>
          <t>High</t>
        </is>
      </c>
      <c r="F33" t="n">
        <v>24</v>
      </c>
      <c r="G33" s="10" t="n">
        <v>23</v>
      </c>
      <c r="H33">
        <f>SUM(tblEquipment[[#This Row],[Planned Runtime (hrs/day)]]*tblEquipment[[#This Row],[Planned working day in the month]])</f>
        <v/>
      </c>
    </row>
    <row r="34">
      <c r="A34" s="4" t="inlineStr">
        <is>
          <t>BLR-001</t>
        </is>
      </c>
      <c r="B34" s="4" t="inlineStr">
        <is>
          <t>Boilers</t>
        </is>
      </c>
      <c r="C34" s="4" t="inlineStr">
        <is>
          <t>Boiler 1 - 12TpH</t>
        </is>
      </c>
      <c r="D34" s="5" t="inlineStr">
        <is>
          <t>PRM-UTI-018</t>
        </is>
      </c>
      <c r="E34" t="inlineStr">
        <is>
          <t>High</t>
        </is>
      </c>
      <c r="F34" t="n">
        <v>24</v>
      </c>
      <c r="G34" s="10" t="n">
        <v>31</v>
      </c>
      <c r="H34">
        <f>SUM(tblEquipment[[#This Row],[Planned Runtime (hrs/day)]]*tblEquipment[[#This Row],[Planned working day in the month]])</f>
        <v/>
      </c>
    </row>
    <row r="35">
      <c r="A35" s="4" t="inlineStr">
        <is>
          <t>BLR-002</t>
        </is>
      </c>
      <c r="B35" s="4" t="inlineStr">
        <is>
          <t>Boilers</t>
        </is>
      </c>
      <c r="C35" s="4" t="inlineStr">
        <is>
          <t>Boiler 2 - 10TpH</t>
        </is>
      </c>
      <c r="D35" s="5" t="inlineStr">
        <is>
          <t>PRM-UTI-018</t>
        </is>
      </c>
      <c r="E35" t="inlineStr">
        <is>
          <t>High</t>
        </is>
      </c>
      <c r="F35" t="n">
        <v>24</v>
      </c>
      <c r="G35" s="10" t="n">
        <v>31</v>
      </c>
      <c r="H35">
        <f>SUM(tblEquipment[[#This Row],[Planned Runtime (hrs/day)]]*tblEquipment[[#This Row],[Planned working day in the month]])</f>
        <v/>
      </c>
    </row>
    <row r="36">
      <c r="A36" s="4" t="inlineStr">
        <is>
          <t>BLR-003</t>
        </is>
      </c>
      <c r="B36" s="4" t="inlineStr">
        <is>
          <t>Boilers</t>
        </is>
      </c>
      <c r="C36" s="4" t="inlineStr">
        <is>
          <t>Boiler 3 - 10TpH</t>
        </is>
      </c>
      <c r="D36" s="5" t="inlineStr">
        <is>
          <t>PRM-UTI-018</t>
        </is>
      </c>
      <c r="E36" t="inlineStr">
        <is>
          <t>High</t>
        </is>
      </c>
      <c r="F36" t="n">
        <v>24</v>
      </c>
      <c r="G36" s="10" t="n">
        <v>31</v>
      </c>
      <c r="H36">
        <f>SUM(tblEquipment[[#This Row],[Planned Runtime (hrs/day)]]*tblEquipment[[#This Row],[Planned working day in the month]])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Raymond Van Niekerk</dc:creator>
  <dcterms:created xsi:type="dcterms:W3CDTF">2026-05-07T08:10:56Z</dcterms:created>
  <dcterms:modified xsi:type="dcterms:W3CDTF">2026-06-12T15:13:35Z</dcterms:modified>
  <cp:lastModifiedBy>Roelof Kuit</cp:lastModifiedBy>
</cp:coreProperties>
</file>